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Goods values" sheetId="5" state="visible" r:id="rId7"/>
    <sheet name="Treaty Ports" sheetId="6" state="visible" r:id="rId8"/>
    <sheet name="POP Growth" sheetId="7" state="visible" r:id="rId9"/>
    <sheet name="Military" sheetId="8" state="visible" r:id="rId10"/>
    <sheet name="Colonial RGOs" sheetId="9" state="visible" r:id="rId11"/>
  </sheets>
  <definedNames>
    <definedName function="false" hidden="true" localSheetId="5" name="_xlnm._FilterDatabase" vbProcedure="false">'Treaty Ports'!$A$1:$H$27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<sst xmlns="http://schemas.openxmlformats.org/spreadsheetml/2006/main" count="437" uniqueCount="227">
  <si>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</si>
  <si>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</si>
  <si>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</si>
  <si>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</si>
  <si>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</si>
  <si>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</si>
  <si>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</si>
  <si>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</si>
  <si>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</si>
  <si>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</si>
  <si>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</si>
  <si>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</si>
  <si>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</si>
  <si>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</si>
  <si>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</si>
  <si>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</si>
  <si>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</si>
  <si>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</si>
  <si>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</si>
  <si>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</si>
  <si>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</si>
  <si>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</si>
  <si>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</si>
  <si>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</si>
  <si>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</si>
  <si>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</si>
  <si>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</si>
  <si>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</si>
  <si>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</si>
  <si>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</si>
  <si>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</si>
  <si>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</si>
  <si>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</si>
  <si>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</si>
  <si>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</si>
  <si>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</si>
  <si>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</si>
  <si>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</si>
  <si>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</si>
  <si>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</si>
  <si>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</si>
  <si>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</si>
  <si>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</si>
  <si>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</si>
  <si>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</si>
  <si>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</si>
  <si>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</si>
  <si>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</si>
  <si>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</si>
  <si>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</si>
  <si>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</si>
  <si>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</si>
  <si>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</si>
  <si>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</si>
  <si>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</si>
  <si>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</si>
  <si>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</si>
  <si>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</si>
  <si>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</si>
  <si>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</si>
  <si>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</si>
  <si>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</si>
  <si>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</si>
  <si>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</si>
  <si>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</si>
  <si>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</si>
  <si>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</si>
  <si>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</si>
  <si>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</si>
  <si>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</si>
  <si>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</si>
  <si>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</si>
  <si>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</si>
  <si>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</si>
  <si>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</si>
  <si>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</si>
  <si>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</si>
  <si>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</si>
  <si>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</si>
  <si>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</si>
  <si>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</si>
  <si>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</si>
  <si>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</si>
  <si>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</si>
  <si>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</si>
  <si>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</si>
  <si>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</si>
  <si>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</si>
  <si>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</si>
  <si>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</si>
  <si>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</si>
  <si>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</si>
  <si>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</si>
  <si>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</si>
  <si>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RGO Name</t>
  </si>
  <si>
    <t xml:space="preserve">Value</t>
  </si>
  <si>
    <t xml:space="preserve">Price</t>
  </si>
  <si>
    <t xml:space="preserve">Price per boi</t>
  </si>
  <si>
    <t xml:space="preserve">£ Output</t>
  </si>
  <si>
    <t xml:space="preserve">Farming Output</t>
  </si>
  <si>
    <t xml:space="preserve">Mining Output</t>
  </si>
  <si>
    <t xml:space="preserve">Goods Output</t>
  </si>
  <si>
    <t xml:space="preserve">Goods Throughput</t>
  </si>
  <si>
    <t xml:space="preserve">Railroad lvl</t>
  </si>
  <si>
    <t xml:space="preserve">Terrain Modifier</t>
  </si>
  <si>
    <t xml:space="preserve">Gold</t>
  </si>
  <si>
    <t xml:space="preserve">Bida</t>
  </si>
  <si>
    <t xml:space="preserve">Precious Goods</t>
  </si>
  <si>
    <t xml:space="preserve">Base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</si>
  <si>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</si>
  <si>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</si>
  <si>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</si>
  <si>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</si>
  <si>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</si>
  <si>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</si>
  <si>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</si>
  <si>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</si>
  <si>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</si>
  <si>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Wood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</si>
  <si>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</si>
  <si>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</si>
  <si>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</si>
  <si>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</si>
  <si>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</si>
  <si>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</si>
  <si>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</si>
  <si>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</si>
  <si>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</si>
  <si>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</si>
  <si>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</si>
  <si>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</si>
  <si>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</si>
  <si>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</si>
  <si>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</si>
  <si>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</si>
  <si>
    <t xml:space="preserve">Treaty Port</t>
  </si>
  <si>
    <t xml:space="preserve">Provinces in state</t>
  </si>
  <si>
    <t xml:space="preserve">Terrain</t>
  </si>
  <si>
    <t xml:space="preserve">Infrastructure</t>
  </si>
  <si>
    <t xml:space="preserve">Naval Base</t>
  </si>
  <si>
    <t xml:space="preserve">Output</t>
  </si>
  <si>
    <t xml:space="preserve">Base Income</t>
  </si>
  <si>
    <t xml:space="preserve">Max Infrastructure</t>
  </si>
  <si>
    <t xml:space="preserve">Good Output</t>
  </si>
  <si>
    <t xml:space="preserve">Admin Efficiency</t>
  </si>
  <si>
    <t xml:space="preserve">Tax Efficiency</t>
  </si>
  <si>
    <t xml:space="preserve">Ningpo</t>
  </si>
  <si>
    <t xml:space="preserve">Shanghai</t>
  </si>
  <si>
    <t xml:space="preserve">Kashing</t>
  </si>
  <si>
    <t xml:space="preserve">Sanmen</t>
  </si>
  <si>
    <t xml:space="preserve">Cheju</t>
  </si>
  <si>
    <t xml:space="preserve">Zanzibar</t>
  </si>
  <si>
    <t xml:space="preserve">Old Tientsin</t>
  </si>
  <si>
    <t xml:space="preserve">Kwangchowan</t>
  </si>
  <si>
    <t xml:space="preserve">Lushun</t>
  </si>
  <si>
    <t xml:space="preserve">Muqdisho</t>
  </si>
  <si>
    <t xml:space="preserve">Sado</t>
  </si>
  <si>
    <t xml:space="preserve">Chusan Islands</t>
  </si>
  <si>
    <t xml:space="preserve">Macao</t>
  </si>
  <si>
    <t xml:space="preserve">Socotra</t>
  </si>
  <si>
    <t xml:space="preserve">Weihaiwei</t>
  </si>
  <si>
    <t xml:space="preserve">Tsingtao</t>
  </si>
  <si>
    <t xml:space="preserve">Brunei</t>
  </si>
  <si>
    <t xml:space="preserve">Barbara</t>
  </si>
  <si>
    <t xml:space="preserve">Sidi Infi</t>
  </si>
  <si>
    <t xml:space="preserve">Hong Kong</t>
  </si>
  <si>
    <t xml:space="preserve">Tsushima</t>
  </si>
  <si>
    <t xml:space="preserve">Oki Islands</t>
  </si>
  <si>
    <t xml:space="preserve">Gwadar</t>
  </si>
  <si>
    <t xml:space="preserve">Qeshm</t>
  </si>
  <si>
    <t xml:space="preserve">Tarfaya</t>
  </si>
  <si>
    <t xml:space="preserve">Juzur Khuriya Muriya</t>
  </si>
  <si>
    <t xml:space="preserve">Hainan</t>
  </si>
  <si>
    <t xml:space="preserve">al-Jazair</t>
  </si>
  <si>
    <t xml:space="preserve">Wahran</t>
  </si>
  <si>
    <t xml:space="preserve">Ennab</t>
  </si>
  <si>
    <t xml:space="preserve">Bijaya</t>
  </si>
  <si>
    <t xml:space="preserve">Taiwan</t>
  </si>
  <si>
    <t xml:space="preserve">POP</t>
  </si>
  <si>
    <t xml:space="preserve">Starting POP</t>
  </si>
  <si>
    <t xml:space="preserve">Attacker</t>
  </si>
  <si>
    <t xml:space="preserve">Modifier</t>
  </si>
  <si>
    <t xml:space="preserve">Mil. Tac.</t>
  </si>
  <si>
    <t xml:space="preserve">Fort lvl</t>
  </si>
  <si>
    <t xml:space="preserve">Siege</t>
  </si>
  <si>
    <t xml:space="preserve">Exp</t>
  </si>
  <si>
    <t xml:space="preserve">Roll</t>
  </si>
  <si>
    <t xml:space="preserve">Attacker Damage</t>
  </si>
  <si>
    <t xml:space="preserve">Real Stats</t>
  </si>
  <si>
    <t xml:space="preserve">Casualties</t>
  </si>
  <si>
    <t xml:space="preserve">Frontline Unit</t>
  </si>
  <si>
    <t xml:space="preserve">Frontline</t>
  </si>
  <si>
    <t xml:space="preserve">Backline</t>
  </si>
  <si>
    <t xml:space="preserve">Frontline Attack</t>
  </si>
  <si>
    <t xml:space="preserve">Attack</t>
  </si>
  <si>
    <t xml:space="preserve">Discipline</t>
  </si>
  <si>
    <t xml:space="preserve">Backline Unit</t>
  </si>
  <si>
    <t xml:space="preserve">Backline Attack</t>
  </si>
  <si>
    <t xml:space="preserve">Support</t>
  </si>
  <si>
    <t xml:space="preserve">Defender</t>
  </si>
  <si>
    <t xml:space="preserve">Defender Damage</t>
  </si>
  <si>
    <t xml:space="preserve">Frontline Defence</t>
  </si>
  <si>
    <t xml:space="preserve">Defence</t>
  </si>
  <si>
    <t xml:space="preserve">Backline Defence</t>
  </si>
  <si>
    <t xml:space="preserve">Colony</t>
  </si>
  <si>
    <t xml:space="preserve">Total POPs</t>
  </si>
  <si>
    <t xml:space="preserve">%</t>
  </si>
  <si>
    <t xml:space="preserve">RGO</t>
  </si>
  <si>
    <t xml:space="preserve">Income</t>
  </si>
  <si>
    <t xml:space="preserve">Icon</t>
  </si>
  <si>
    <t xml:space="preserve">Mean Good Value</t>
  </si>
  <si>
    <t xml:space="preserve">Base Price</t>
  </si>
  <si>
    <t xml:space="preserve">Min Price</t>
  </si>
  <si>
    <t xml:space="preserve">Max Price</t>
  </si>
  <si>
    <t xml:space="preserve">Niger</t>
  </si>
  <si>
    <t xml:space="preserve">Ayuru</t>
  </si>
  <si>
    <t xml:space="preserve">Gaweye</t>
  </si>
  <si>
    <t xml:space="preserve">Say</t>
  </si>
  <si>
    <t xml:space="preserve">Nakoni</t>
  </si>
  <si>
    <t xml:space="preserve">Tshibiri</t>
  </si>
  <si>
    <t xml:space="preserve">Zinder</t>
  </si>
  <si>
    <t xml:space="preserve">Kufe</t>
  </si>
  <si>
    <t xml:space="preserve">Agadez</t>
  </si>
  <si>
    <t xml:space="preserve">Njiekime</t>
  </si>
  <si>
    <t xml:space="preserve">Test</t>
  </si>
  <si>
    <t xml:space="preserve">Silver</t>
  </si>
  <si>
    <t xml:space="preserve">Timber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</si>
</sst>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[$-415]#,##0"/>
    <numFmt numFmtId="173" formatCode="[$£-809]#,##0.00;[RED]\-[$£-809]#,##0.00"/>
    <numFmt numFmtId="174" formatCode="#,##0.00"/>
    <numFmt numFmtId="175" formatCode="0.000"/>
    <numFmt numFmtId="176" formatCode="0.0"/>
    <numFmt numFmtId="177" formatCode="[$-415]General"/>
    <numFmt numFmtId="178" formatCode="[$-415]#\ ##0"/>
    <numFmt numFmtId="179" formatCode="[$-415]0.00%"/>
  </numFmts>
  <fonts count="10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</fonts>
  <fills count="7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4586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7F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062058"/>
        <c:axId val="10918957"/>
      </c:lineChart>
      <c:catAx>
        <c:axId val="110620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918957"/>
        <c:crosses val="autoZero"/>
        <c:auto val="1"/>
        <c:lblAlgn val="ctr"/>
        <c:lblOffset val="100"/>
        <c:noMultiLvlLbl val="0"/>
      </c:catAx>
      <c:valAx>
        <c:axId val="109189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06205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834765"/>
        <c:axId val="71744171"/>
      </c:lineChart>
      <c:catAx>
        <c:axId val="55834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744171"/>
        <c:crosses val="autoZero"/>
        <c:auto val="1"/>
        <c:lblAlgn val="ctr"/>
        <c:lblOffset val="100"/>
        <c:noMultiLvlLbl val="0"/>
      </c:catAx>
      <c:valAx>
        <c:axId val="717441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8347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'POP Growth'!$A$2:$A$108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'POP Growth'!$B$2:$B$108</c:f>
              <c:numCache>
                <c:formatCode>[$-415]#,##0</c:formatCode>
                <c:ptCount val="107"/>
                <c:pt idx="0">
                  <c:v>452530</c:v>
                </c:pt>
                <c:pt idx="1">
                  <c:v>452575.253</c:v>
                </c:pt>
                <c:pt idx="2">
                  <c:v>452620.5105253</c:v>
                </c:pt>
                <c:pt idx="3">
                  <c:v>452665.772576352</c:v>
                </c:pt>
                <c:pt idx="4">
                  <c:v>452711.03915361</c:v>
                </c:pt>
                <c:pt idx="5">
                  <c:v>452801.581361441</c:v>
                </c:pt>
                <c:pt idx="6">
                  <c:v>452892.141677713</c:v>
                </c:pt>
                <c:pt idx="7">
                  <c:v>453028.009320216</c:v>
                </c:pt>
                <c:pt idx="8">
                  <c:v>453209.220523944</c:v>
                </c:pt>
                <c:pt idx="9">
                  <c:v>453435.825134206</c:v>
                </c:pt>
                <c:pt idx="10">
                  <c:v>453662.543046773</c:v>
                </c:pt>
                <c:pt idx="11">
                  <c:v>453934.740572602</c:v>
                </c:pt>
                <c:pt idx="12">
                  <c:v>454207.101416945</c:v>
                </c:pt>
                <c:pt idx="13">
                  <c:v>454479.625677795</c:v>
                </c:pt>
                <c:pt idx="14">
                  <c:v>454752.313453202</c:v>
                </c:pt>
                <c:pt idx="15">
                  <c:v>455025.164841274</c:v>
                </c:pt>
                <c:pt idx="16">
                  <c:v>455298.179940178</c:v>
                </c:pt>
                <c:pt idx="17">
                  <c:v>455571.358848143</c:v>
                </c:pt>
                <c:pt idx="18">
                  <c:v>455844.701663451</c:v>
                </c:pt>
                <c:pt idx="19">
                  <c:v>456118.208484449</c:v>
                </c:pt>
                <c:pt idx="20">
                  <c:v>456391.87940954</c:v>
                </c:pt>
                <c:pt idx="21">
                  <c:v>456665.714537186</c:v>
                </c:pt>
                <c:pt idx="22">
                  <c:v>456939.713965908</c:v>
                </c:pt>
                <c:pt idx="23">
                  <c:v>457213.877794288</c:v>
                </c:pt>
                <c:pt idx="24">
                  <c:v>457488.206120964</c:v>
                </c:pt>
                <c:pt idx="25">
                  <c:v>457762.699044637</c:v>
                </c:pt>
                <c:pt idx="26">
                  <c:v>458037.356664063</c:v>
                </c:pt>
                <c:pt idx="27">
                  <c:v>458312.179078062</c:v>
                </c:pt>
                <c:pt idx="28">
                  <c:v>458587.166385509</c:v>
                </c:pt>
                <c:pt idx="29">
                  <c:v>458862.31868534</c:v>
                </c:pt>
                <c:pt idx="30">
                  <c:v>459137.636076551</c:v>
                </c:pt>
                <c:pt idx="31">
                  <c:v>459413.118658197</c:v>
                </c:pt>
                <c:pt idx="32">
                  <c:v>459688.766529392</c:v>
                </c:pt>
                <c:pt idx="33">
                  <c:v>459964.57978931</c:v>
                </c:pt>
                <c:pt idx="34">
                  <c:v>460240.558537183</c:v>
                </c:pt>
                <c:pt idx="35">
                  <c:v>460516.702872305</c:v>
                </c:pt>
                <c:pt idx="36">
                  <c:v>460793.012894029</c:v>
                </c:pt>
                <c:pt idx="37">
                  <c:v>461069.488701765</c:v>
                </c:pt>
                <c:pt idx="38">
                  <c:v>461346.130394986</c:v>
                </c:pt>
                <c:pt idx="39">
                  <c:v>461622.938073223</c:v>
                </c:pt>
                <c:pt idx="40">
                  <c:v>461899.911836067</c:v>
                </c:pt>
                <c:pt idx="41">
                  <c:v>462177.051783169</c:v>
                </c:pt>
                <c:pt idx="42">
                  <c:v>462454.358014238</c:v>
                </c:pt>
                <c:pt idx="43">
                  <c:v>462731.830629047</c:v>
                </c:pt>
                <c:pt idx="44">
                  <c:v>463009.469727424</c:v>
                </c:pt>
                <c:pt idx="45">
                  <c:v>463333.576356233</c:v>
                </c:pt>
                <c:pt idx="46">
                  <c:v>463657.909859683</c:v>
                </c:pt>
                <c:pt idx="47">
                  <c:v>463982.470396585</c:v>
                </c:pt>
                <c:pt idx="48">
                  <c:v>464307.258125862</c:v>
                </c:pt>
                <c:pt idx="49">
                  <c:v>464632.27320655</c:v>
                </c:pt>
                <c:pt idx="50">
                  <c:v>464957.515797795</c:v>
                </c:pt>
                <c:pt idx="51">
                  <c:v>465282.986058853</c:v>
                </c:pt>
                <c:pt idx="52">
                  <c:v>465608.684149094</c:v>
                </c:pt>
                <c:pt idx="53">
                  <c:v>465934.610227999</c:v>
                </c:pt>
                <c:pt idx="54">
                  <c:v>466260.764455158</c:v>
                </c:pt>
                <c:pt idx="55">
                  <c:v>466587.146990277</c:v>
                </c:pt>
                <c:pt idx="56">
                  <c:v>466913.75799317</c:v>
                </c:pt>
                <c:pt idx="57">
                  <c:v>467240.597623765</c:v>
                </c:pt>
                <c:pt idx="58">
                  <c:v>467567.666042102</c:v>
                </c:pt>
                <c:pt idx="59">
                  <c:v>467894.963408331</c:v>
                </c:pt>
                <c:pt idx="60">
                  <c:v>468222.489882717</c:v>
                </c:pt>
                <c:pt idx="61">
                  <c:v>468550.245625635</c:v>
                </c:pt>
                <c:pt idx="62">
                  <c:v>468878.230797573</c:v>
                </c:pt>
                <c:pt idx="63">
                  <c:v>469206.445559131</c:v>
                </c:pt>
                <c:pt idx="64">
                  <c:v>469534.890071022</c:v>
                </c:pt>
                <c:pt idx="65">
                  <c:v>469863.564494072</c:v>
                </c:pt>
                <c:pt idx="66">
                  <c:v>470192.468989218</c:v>
                </c:pt>
                <c:pt idx="67">
                  <c:v>470521.60371751</c:v>
                </c:pt>
                <c:pt idx="68">
                  <c:v>470850.968840112</c:v>
                </c:pt>
                <c:pt idx="69">
                  <c:v>471180.5645183</c:v>
                </c:pt>
                <c:pt idx="70">
                  <c:v>471510.390913463</c:v>
                </c:pt>
                <c:pt idx="71">
                  <c:v>471840.448187103</c:v>
                </c:pt>
                <c:pt idx="72">
                  <c:v>472170.736500834</c:v>
                </c:pt>
                <c:pt idx="73">
                  <c:v>472501.256016384</c:v>
                </c:pt>
                <c:pt idx="74">
                  <c:v>472832.006895595</c:v>
                </c:pt>
                <c:pt idx="75">
                  <c:v>473162.989300422</c:v>
                </c:pt>
                <c:pt idx="76">
                  <c:v>473494.203392933</c:v>
                </c:pt>
                <c:pt idx="77">
                  <c:v>473825.649335308</c:v>
                </c:pt>
                <c:pt idx="78">
                  <c:v>474157.327289842</c:v>
                </c:pt>
                <c:pt idx="79">
                  <c:v>474536.653151674</c:v>
                </c:pt>
                <c:pt idx="80">
                  <c:v>474916.282474195</c:v>
                </c:pt>
                <c:pt idx="81">
                  <c:v>475296.215500175</c:v>
                </c:pt>
                <c:pt idx="82">
                  <c:v>475676.452472575</c:v>
                </c:pt>
                <c:pt idx="83">
                  <c:v>476104.5612798</c:v>
                </c:pt>
                <c:pt idx="84">
                  <c:v>476533.055384952</c:v>
                </c:pt>
                <c:pt idx="85">
                  <c:v>476961.935134798</c:v>
                </c:pt>
                <c:pt idx="86">
                  <c:v>477391.20087642</c:v>
                </c:pt>
                <c:pt idx="87">
                  <c:v>477820.852957208</c:v>
                </c:pt>
                <c:pt idx="88">
                  <c:v>478250.89172487</c:v>
                </c:pt>
                <c:pt idx="89">
                  <c:v>478681.317527422</c:v>
                </c:pt>
                <c:pt idx="90">
                  <c:v>479112.130713197</c:v>
                </c:pt>
                <c:pt idx="91">
                  <c:v>479543.331630838</c:v>
                </c:pt>
                <c:pt idx="92">
                  <c:v>479974.920629306</c:v>
                </c:pt>
                <c:pt idx="93">
                  <c:v>480406.898057873</c:v>
                </c:pt>
                <c:pt idx="94">
                  <c:v>480839.264266125</c:v>
                </c:pt>
                <c:pt idx="95">
                  <c:v>481272.019603964</c:v>
                </c:pt>
                <c:pt idx="96">
                  <c:v>481705.164421608</c:v>
                </c:pt>
                <c:pt idx="97">
                  <c:v>482138.699069587</c:v>
                </c:pt>
                <c:pt idx="98">
                  <c:v>482572.62389875</c:v>
                </c:pt>
                <c:pt idx="99">
                  <c:v>483006.939260258</c:v>
                </c:pt>
                <c:pt idx="100">
                  <c:v>483441.645505593</c:v>
                </c:pt>
                <c:pt idx="101">
                  <c:v>483876.742986548</c:v>
                </c:pt>
                <c:pt idx="102">
                  <c:v>484312.232055235</c:v>
                </c:pt>
                <c:pt idx="103">
                  <c:v>484748.113064085</c:v>
                </c:pt>
                <c:pt idx="104">
                  <c:v>485184.386365843</c:v>
                </c:pt>
                <c:pt idx="105">
                  <c:v>485621.052313572</c:v>
                </c:pt>
                <c:pt idx="106">
                  <c:v>486058.111260654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789072"/>
        <c:axId val="4849439"/>
      </c:lineChart>
      <c:catAx>
        <c:axId val="69789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49439"/>
        <c:crosses val="autoZero"/>
        <c:auto val="1"/>
        <c:lblAlgn val="ctr"/>
        <c:lblOffset val="100"/>
        <c:noMultiLvlLbl val="0"/>
      </c:catAx>
      <c:valAx>
        <c:axId val="484943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7890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221040</xdr:colOff>
      <xdr:row>141</xdr:row>
      <xdr:rowOff>22680</xdr:rowOff>
    </xdr:to>
    <xdr:graphicFrame>
      <xdr:nvGraphicFramePr>
        <xdr:cNvPr id="0" name="Wykres 1"/>
        <xdr:cNvGraphicFramePr/>
      </xdr:nvGraphicFramePr>
      <xdr:xfrm>
        <a:off x="415800" y="20764440"/>
        <a:ext cx="14994360" cy="61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475200</xdr:colOff>
      <xdr:row>26</xdr:row>
      <xdr:rowOff>139320</xdr:rowOff>
    </xdr:to>
    <xdr:graphicFrame>
      <xdr:nvGraphicFramePr>
        <xdr:cNvPr id="1" name="Wykres 1"/>
        <xdr:cNvGraphicFramePr/>
      </xdr:nvGraphicFramePr>
      <xdr:xfrm>
        <a:off x="9037080" y="0"/>
        <a:ext cx="7893000" cy="509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26280</xdr:colOff>
      <xdr:row>3</xdr:row>
      <xdr:rowOff>32040</xdr:rowOff>
    </xdr:from>
    <xdr:to>
      <xdr:col>13</xdr:col>
      <xdr:colOff>792000</xdr:colOff>
      <xdr:row>31</xdr:row>
      <xdr:rowOff>50400</xdr:rowOff>
    </xdr:to>
    <xdr:graphicFrame>
      <xdr:nvGraphicFramePr>
        <xdr:cNvPr id="2" name="Wykres 1"/>
        <xdr:cNvGraphicFramePr/>
      </xdr:nvGraphicFramePr>
      <xdr:xfrm>
        <a:off x="2679840" y="603720"/>
        <a:ext cx="8096400" cy="535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5400</xdr:colOff>
      <xdr:row>1</xdr:row>
      <xdr:rowOff>360</xdr:rowOff>
    </xdr:from>
    <xdr:to>
      <xdr:col>6</xdr:col>
      <xdr:colOff>224280</xdr:colOff>
      <xdr:row>1</xdr:row>
      <xdr:rowOff>169200</xdr:rowOff>
    </xdr:to>
    <xdr:pic>
      <xdr:nvPicPr>
        <xdr:cNvPr id="3" name="Obraz 1" descr=""/>
        <xdr:cNvPicPr/>
      </xdr:nvPicPr>
      <xdr:blipFill>
        <a:blip r:embed="rId1"/>
        <a:stretch/>
      </xdr:blipFill>
      <xdr:spPr>
        <a:xfrm>
          <a:off x="4882320" y="175680"/>
          <a:ext cx="218880" cy="16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247320</xdr:colOff>
      <xdr:row>9</xdr:row>
      <xdr:rowOff>174960</xdr:rowOff>
    </xdr:to>
    <xdr:pic>
      <xdr:nvPicPr>
        <xdr:cNvPr id="4" name="Obraz 2" descr=""/>
        <xdr:cNvPicPr/>
      </xdr:nvPicPr>
      <xdr:blipFill>
        <a:blip r:embed="rId2"/>
        <a:stretch/>
      </xdr:blipFill>
      <xdr:spPr>
        <a:xfrm>
          <a:off x="4876920" y="1577520"/>
          <a:ext cx="247320" cy="17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177840</xdr:colOff>
      <xdr:row>9</xdr:row>
      <xdr:rowOff>57960</xdr:rowOff>
    </xdr:to>
    <xdr:pic>
      <xdr:nvPicPr>
        <xdr:cNvPr id="5" name="Obraz 3" descr=""/>
        <xdr:cNvPicPr/>
      </xdr:nvPicPr>
      <xdr:blipFill>
        <a:blip r:embed="rId3"/>
        <a:stretch/>
      </xdr:blipFill>
      <xdr:spPr>
        <a:xfrm>
          <a:off x="4876920" y="1402200"/>
          <a:ext cx="177840" cy="23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257400</xdr:colOff>
      <xdr:row>6</xdr:row>
      <xdr:rowOff>57960</xdr:rowOff>
    </xdr:to>
    <xdr:pic>
      <xdr:nvPicPr>
        <xdr:cNvPr id="6" name="Obraz 4" descr=""/>
        <xdr:cNvPicPr/>
      </xdr:nvPicPr>
      <xdr:blipFill>
        <a:blip r:embed="rId4"/>
        <a:stretch/>
      </xdr:blipFill>
      <xdr:spPr>
        <a:xfrm>
          <a:off x="4876920" y="876240"/>
          <a:ext cx="257400" cy="23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227520</xdr:colOff>
      <xdr:row>23</xdr:row>
      <xdr:rowOff>57960</xdr:rowOff>
    </xdr:to>
    <xdr:pic>
      <xdr:nvPicPr>
        <xdr:cNvPr id="7" name="Obraz 5" descr=""/>
        <xdr:cNvPicPr/>
      </xdr:nvPicPr>
      <xdr:blipFill>
        <a:blip r:embed="rId5"/>
        <a:stretch/>
      </xdr:blipFill>
      <xdr:spPr>
        <a:xfrm>
          <a:off x="4876920" y="3855600"/>
          <a:ext cx="227520" cy="233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0" activeCellId="0" sqref="I20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5.85"/>
    <col collapsed="false" customWidth="true" hidden="false" outlineLevel="0" max="3" min="3" style="1" width="8"/>
    <col collapsed="false" customWidth="true" hidden="false" outlineLevel="0" max="4" min="4" style="1" width="10.57"/>
    <col collapsed="false" customWidth="true" hidden="false" outlineLevel="0" max="5" min="5" style="1" width="13.85"/>
    <col collapsed="false" customWidth="true" hidden="false" outlineLevel="0" max="6" min="6" style="1" width="22.57"/>
    <col collapsed="false" customWidth="true" hidden="false" outlineLevel="0" max="7" min="7" style="1" width="10.28"/>
    <col collapsed="false" customWidth="true" hidden="false" outlineLevel="0" max="8" min="8" style="2" width="15.85"/>
    <col collapsed="false" customWidth="true" hidden="false" outlineLevel="0" max="9" min="9" style="1" width="23.14"/>
    <col collapsed="false" customWidth="true" hidden="false" outlineLevel="0" max="10" min="10" style="3" width="24.57"/>
    <col collapsed="false" customWidth="true" hidden="false" outlineLevel="0" max="11" min="11" style="4" width="16.85"/>
    <col collapsed="false" customWidth="true" hidden="false" outlineLevel="0" max="12" min="12" style="1" width="6.42"/>
    <col collapsed="false" customWidth="true" hidden="false" outlineLevel="0" max="13" min="13" style="1" width="19.85"/>
    <col collapsed="false" customWidth="true" hidden="false" outlineLevel="0" max="14" min="14" style="0" width="13"/>
    <col collapsed="false" customWidth="false" hidden="false" outlineLevel="0" max="26" min="15" style="1" width="8.85"/>
    <col collapsed="false" customWidth="true" hidden="false" outlineLevel="0" max="27" min="27" style="1" width="11.14"/>
    <col collapsed="false" customWidth="true" hidden="false" outlineLevel="0" max="28" min="28" style="1" width="9.42"/>
    <col collapsed="false" customWidth="false" hidden="false" outlineLevel="0" max="16384" min="29" style="1" width="8.85"/>
  </cols>
  <sheetData>
    <row r="1" customFormat="fals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 t="s">
        <v>7</v>
      </c>
      <c r="I1" s="5" t="s">
        <v>8</v>
      </c>
      <c r="J1" s="6" t="s">
        <v>9</v>
      </c>
      <c r="K1" s="7" t="s">
        <v>10</v>
      </c>
      <c r="L1" s="5" t="s">
        <v>0</v>
      </c>
      <c r="M1" s="3" t="s">
        <v>11</v>
      </c>
    </row>
    <row r="2" customFormat="false" ht="15" hidden="false" customHeight="false" outlineLevel="0" collapsed="false">
      <c r="A2" s="5" t="n">
        <v>1830</v>
      </c>
      <c r="B2" s="8" t="n">
        <v>0.0098</v>
      </c>
      <c r="C2" s="8" t="n">
        <v>0.0041</v>
      </c>
      <c r="D2" s="8" t="n">
        <v>0.1</v>
      </c>
      <c r="E2" s="5" t="s">
        <v>12</v>
      </c>
      <c r="F2" s="9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9" t="n">
        <f aca="false">F2*(1+H2+G2)</f>
        <v>4.6475</v>
      </c>
      <c r="J2" s="6" t="n">
        <f aca="false">I2*365</f>
        <v>1696.3375</v>
      </c>
      <c r="K2" s="7" t="n">
        <v>244800</v>
      </c>
      <c r="L2" s="5" t="n">
        <v>1830</v>
      </c>
      <c r="M2" s="6" t="n">
        <f aca="false">MAX(K2-J2,0)</f>
        <v>243103.6625</v>
      </c>
    </row>
    <row r="3" customFormat="false" ht="15" hidden="false" customHeight="false" outlineLevel="0" collapsed="false">
      <c r="A3" s="5" t="n">
        <v>1831</v>
      </c>
      <c r="B3" s="8" t="n">
        <v>0.01</v>
      </c>
      <c r="C3" s="8" t="n">
        <v>0.0043</v>
      </c>
      <c r="D3" s="8" t="n">
        <v>0.101714285714286</v>
      </c>
      <c r="E3" s="5" t="s">
        <v>12</v>
      </c>
      <c r="F3" s="9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9" t="n">
        <f aca="false">F3*(1+H3+G3)</f>
        <v>4.74704742857143</v>
      </c>
      <c r="J3" s="6" t="n">
        <f aca="false">I3*365</f>
        <v>1732.67231142857</v>
      </c>
      <c r="K3" s="7"/>
      <c r="L3" s="5" t="n">
        <v>1831</v>
      </c>
      <c r="M3" s="6" t="n">
        <f aca="false">MAX((M2+K3-J3)*0.994,0)</f>
        <v>239922.76424744</v>
      </c>
    </row>
    <row r="4" customFormat="false" ht="15" hidden="false" customHeight="false" outlineLevel="0" collapsed="false">
      <c r="A4" s="5" t="n">
        <v>1832</v>
      </c>
      <c r="B4" s="8" t="n">
        <v>0.0108</v>
      </c>
      <c r="C4" s="8" t="n">
        <v>0.0045</v>
      </c>
      <c r="D4" s="8" t="n">
        <v>0.1036</v>
      </c>
      <c r="E4" s="5" t="s">
        <v>12</v>
      </c>
      <c r="F4" s="9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9" t="n">
        <f aca="false">F4*(1+H4+G4)</f>
        <v>4.96742053333333</v>
      </c>
      <c r="J4" s="6" t="n">
        <f aca="false">I4*365</f>
        <v>1813.10849466667</v>
      </c>
      <c r="K4" s="7"/>
      <c r="L4" s="5" t="n">
        <v>1832</v>
      </c>
      <c r="M4" s="6" t="n">
        <f aca="false">MAX((M3+K4-J4)*0.994,0)</f>
        <v>236680.997818257</v>
      </c>
    </row>
    <row r="5" customFormat="false" ht="15" hidden="false" customHeight="false" outlineLevel="0" collapsed="false">
      <c r="A5" s="5" t="n">
        <v>1833</v>
      </c>
      <c r="B5" s="8" t="n">
        <v>0.0116</v>
      </c>
      <c r="C5" s="8" t="n">
        <v>0.0047</v>
      </c>
      <c r="D5" s="8" t="n">
        <v>0.105657142857143</v>
      </c>
      <c r="E5" s="5" t="s">
        <v>12</v>
      </c>
      <c r="F5" s="9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9" t="n">
        <f aca="false">F5*(1+H5+G5)</f>
        <v>5.19164125714286</v>
      </c>
      <c r="J5" s="6" t="n">
        <f aca="false">I5*365</f>
        <v>1894.94905885714</v>
      </c>
      <c r="K5" s="7"/>
      <c r="L5" s="5" t="n">
        <v>1833</v>
      </c>
      <c r="M5" s="6" t="n">
        <f aca="false">MAX((M4+K5-J5)*0.994,0)</f>
        <v>233377.332466843</v>
      </c>
    </row>
    <row r="6" customFormat="false" ht="15" hidden="false" customHeight="false" outlineLevel="0" collapsed="false">
      <c r="A6" s="5" t="n">
        <v>1834</v>
      </c>
      <c r="B6" s="8" t="n">
        <v>0.0124</v>
      </c>
      <c r="C6" s="8" t="n">
        <v>0.0049</v>
      </c>
      <c r="D6" s="8" t="n">
        <v>0.107885714285714</v>
      </c>
      <c r="E6" s="5" t="s">
        <v>12</v>
      </c>
      <c r="F6" s="9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9" t="n">
        <f aca="false">F6*(1+H6+G6)</f>
        <v>5.41973154285714</v>
      </c>
      <c r="J6" s="6" t="n">
        <f aca="false">I6*365</f>
        <v>1978.20201314286</v>
      </c>
      <c r="K6" s="7"/>
      <c r="L6" s="5" t="n">
        <v>1834</v>
      </c>
      <c r="M6" s="6" t="n">
        <f aca="false">MAX((M5+K6-J6)*0.994,0)</f>
        <v>230010.735670978</v>
      </c>
    </row>
    <row r="7" customFormat="false" ht="15" hidden="false" customHeight="false" outlineLevel="0" collapsed="false">
      <c r="A7" s="5" t="n">
        <v>1835</v>
      </c>
      <c r="B7" s="8" t="n">
        <v>0.0132</v>
      </c>
      <c r="C7" s="8" t="n">
        <v>0.0051</v>
      </c>
      <c r="D7" s="8" t="n">
        <v>0.110285714285714</v>
      </c>
      <c r="E7" s="5" t="s">
        <v>12</v>
      </c>
      <c r="F7" s="9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9" t="n">
        <f aca="false">F7*(1+H7+G7)</f>
        <v>5.65171333333333</v>
      </c>
      <c r="J7" s="6" t="n">
        <f aca="false">I7*365</f>
        <v>2062.87536666667</v>
      </c>
      <c r="K7" s="7"/>
      <c r="L7" s="5" t="n">
        <v>1835</v>
      </c>
      <c r="M7" s="6" t="n">
        <f aca="false">MAX((M6+K7-J7)*0.994,0)</f>
        <v>226580.173142486</v>
      </c>
    </row>
    <row r="8" customFormat="false" ht="15" hidden="false" customHeight="false" outlineLevel="0" collapsed="false">
      <c r="A8" s="5" t="n">
        <v>1836</v>
      </c>
      <c r="B8" s="8" t="n">
        <v>0.014</v>
      </c>
      <c r="C8" s="8" t="n">
        <v>0.0053</v>
      </c>
      <c r="D8" s="8" t="n">
        <v>0.112857142857143</v>
      </c>
      <c r="E8" s="5" t="s">
        <v>12</v>
      </c>
      <c r="F8" s="9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9" t="n">
        <f aca="false">F8*(1+H8+G8)</f>
        <v>5.88760857142857</v>
      </c>
      <c r="J8" s="6" t="n">
        <f aca="false">I8*365</f>
        <v>2148.97712857143</v>
      </c>
      <c r="K8" s="7"/>
      <c r="L8" s="5" t="n">
        <v>1836</v>
      </c>
      <c r="M8" s="6" t="n">
        <f aca="false">MAX((M7+K8-J8)*0.994,0)</f>
        <v>223084.608837831</v>
      </c>
    </row>
    <row r="9" customFormat="false" ht="15" hidden="false" customHeight="false" outlineLevel="0" collapsed="false">
      <c r="A9" s="5" t="n">
        <v>1837</v>
      </c>
      <c r="B9" s="8" t="n">
        <v>0.0148</v>
      </c>
      <c r="C9" s="8" t="n">
        <v>0.0055</v>
      </c>
      <c r="D9" s="8" t="n">
        <v>0.1156</v>
      </c>
      <c r="E9" s="5" t="s">
        <v>12</v>
      </c>
      <c r="F9" s="9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9" t="n">
        <f aca="false">F9*(1+H9+G9)</f>
        <v>6.1274392</v>
      </c>
      <c r="J9" s="6" t="n">
        <f aca="false">I9*365</f>
        <v>2236.515308</v>
      </c>
      <c r="K9" s="7"/>
      <c r="L9" s="5" t="n">
        <v>1837</v>
      </c>
      <c r="M9" s="6" t="n">
        <f aca="false">MAX((M8+K9-J9)*0.994,0)</f>
        <v>219523.004968652</v>
      </c>
    </row>
    <row r="10" customFormat="false" ht="15" hidden="false" customHeight="false" outlineLevel="0" collapsed="false">
      <c r="A10" s="5" t="n">
        <v>1838</v>
      </c>
      <c r="B10" s="8" t="n">
        <v>0.0156</v>
      </c>
      <c r="C10" s="8" t="n">
        <v>0.0057</v>
      </c>
      <c r="D10" s="8" t="n">
        <v>0.118514285714286</v>
      </c>
      <c r="E10" s="5" t="s">
        <v>12</v>
      </c>
      <c r="F10" s="9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9" t="n">
        <f aca="false">F10*(1+H10+G10)</f>
        <v>6.37122716190476</v>
      </c>
      <c r="J10" s="6" t="n">
        <f aca="false">I10*365</f>
        <v>2325.49791409524</v>
      </c>
      <c r="K10" s="7"/>
      <c r="L10" s="5" t="n">
        <v>1838</v>
      </c>
      <c r="M10" s="6" t="n">
        <f aca="false">MAX((M9+K10-J10)*0.994,0)</f>
        <v>215894.322012229</v>
      </c>
    </row>
    <row r="11" customFormat="false" ht="15" hidden="false" customHeight="false" outlineLevel="0" collapsed="false">
      <c r="A11" s="5" t="n">
        <v>1839</v>
      </c>
      <c r="B11" s="8" t="n">
        <v>0.0164</v>
      </c>
      <c r="C11" s="8" t="n">
        <v>0.0059</v>
      </c>
      <c r="D11" s="8" t="n">
        <v>0.1216</v>
      </c>
      <c r="E11" s="5" t="s">
        <v>12</v>
      </c>
      <c r="F11" s="9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9" t="n">
        <f aca="false">F11*(1+H11+G11)</f>
        <v>6.6189944</v>
      </c>
      <c r="J11" s="6" t="n">
        <f aca="false">I11*365</f>
        <v>2415.932956</v>
      </c>
      <c r="K11" s="7"/>
      <c r="L11" s="5" t="n">
        <v>1839</v>
      </c>
      <c r="M11" s="6" t="n">
        <f aca="false">MAX((M10+K11-J11)*0.994,0)</f>
        <v>212197.518721892</v>
      </c>
    </row>
    <row r="12" customFormat="false" ht="15" hidden="false" customHeight="false" outlineLevel="0" collapsed="false">
      <c r="A12" s="5" t="n">
        <v>1840</v>
      </c>
      <c r="B12" s="8" t="n">
        <v>0.0172</v>
      </c>
      <c r="C12" s="8" t="n">
        <v>0.0061</v>
      </c>
      <c r="D12" s="8" t="n">
        <v>0.124857142857143</v>
      </c>
      <c r="E12" s="5" t="s">
        <v>12</v>
      </c>
      <c r="F12" s="9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9" t="n">
        <f aca="false">F12*(1+H12+G12)</f>
        <v>9.31297714285714</v>
      </c>
      <c r="J12" s="6" t="n">
        <f aca="false">I12*365</f>
        <v>3399.23665714286</v>
      </c>
      <c r="K12" s="7" t="n">
        <v>32400</v>
      </c>
      <c r="L12" s="5" t="n">
        <v>1840</v>
      </c>
      <c r="M12" s="6" t="n">
        <f aca="false">MAX((M11+K12-J12)*0.994,0)</f>
        <v>239751.09237236</v>
      </c>
    </row>
    <row r="13" customFormat="false" ht="15" hidden="false" customHeight="false" outlineLevel="0" collapsed="false">
      <c r="A13" s="5" t="n">
        <v>1841</v>
      </c>
      <c r="B13" s="8" t="n">
        <v>0.018</v>
      </c>
      <c r="C13" s="8" t="n">
        <v>0.0063</v>
      </c>
      <c r="D13" s="8" t="n">
        <v>0.128285714285714</v>
      </c>
      <c r="E13" s="5" t="s">
        <v>12</v>
      </c>
      <c r="F13" s="9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9" t="n">
        <f aca="false">F13*(1+H13+G13)</f>
        <v>9.6406259047619</v>
      </c>
      <c r="J13" s="6" t="n">
        <f aca="false">I13*365</f>
        <v>3518.82845523809</v>
      </c>
      <c r="K13" s="7"/>
      <c r="L13" s="5" t="n">
        <v>1841</v>
      </c>
      <c r="M13" s="6" t="n">
        <f aca="false">MAX((M12+K13-J13)*0.994,0)</f>
        <v>234814.87033362</v>
      </c>
    </row>
    <row r="14" customFormat="false" ht="15" hidden="false" customHeight="false" outlineLevel="0" collapsed="false">
      <c r="A14" s="5" t="n">
        <v>1842</v>
      </c>
      <c r="B14" s="8" t="n">
        <v>0.0188</v>
      </c>
      <c r="C14" s="8" t="n">
        <v>0.0065</v>
      </c>
      <c r="D14" s="8" t="n">
        <v>0.131885714285714</v>
      </c>
      <c r="E14" s="5" t="s">
        <v>12</v>
      </c>
      <c r="F14" s="9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9" t="n">
        <f aca="false">F14*(1+H14+G14)</f>
        <v>9.97266262857143</v>
      </c>
      <c r="J14" s="6" t="n">
        <f aca="false">I14*365</f>
        <v>3640.02185942857</v>
      </c>
      <c r="K14" s="7"/>
      <c r="L14" s="5" t="n">
        <v>1842</v>
      </c>
      <c r="M14" s="6" t="n">
        <f aca="false">MAX((M13+K14-J14)*0.994,0)</f>
        <v>229787.799383346</v>
      </c>
    </row>
    <row r="15" customFormat="false" ht="15" hidden="false" customHeight="false" outlineLevel="0" collapsed="false">
      <c r="A15" s="5" t="n">
        <v>1843</v>
      </c>
      <c r="B15" s="8" t="n">
        <v>0.0196</v>
      </c>
      <c r="C15" s="8" t="n">
        <v>0.0067</v>
      </c>
      <c r="D15" s="8" t="n">
        <v>0.135657142857143</v>
      </c>
      <c r="E15" s="5" t="s">
        <v>12</v>
      </c>
      <c r="F15" s="9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9" t="n">
        <f aca="false">F15*(1+H15+G15)</f>
        <v>12.9679235428571</v>
      </c>
      <c r="J15" s="6" t="n">
        <f aca="false">I15*365</f>
        <v>4733.29209314286</v>
      </c>
      <c r="K15" s="7"/>
      <c r="L15" s="5" t="n">
        <v>1843</v>
      </c>
      <c r="M15" s="6" t="n">
        <f aca="false">MAX((M14+K15-J15)*0.994,0)</f>
        <v>223704.180246462</v>
      </c>
    </row>
    <row r="16" customFormat="false" ht="15" hidden="false" customHeight="false" outlineLevel="0" collapsed="false">
      <c r="A16" s="5" t="n">
        <v>1844</v>
      </c>
      <c r="B16" s="8" t="n">
        <v>0.0204</v>
      </c>
      <c r="C16" s="8" t="n">
        <v>0.0069</v>
      </c>
      <c r="D16" s="8" t="n">
        <v>0.139876</v>
      </c>
      <c r="E16" s="5" t="s">
        <v>12</v>
      </c>
      <c r="F16" s="9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9" t="n">
        <f aca="false">F16*(1+H16+G16)</f>
        <v>13.2374317973333</v>
      </c>
      <c r="J16" s="6" t="n">
        <f aca="false">I16*365</f>
        <v>4831.66260602667</v>
      </c>
      <c r="K16" s="7"/>
      <c r="L16" s="5" t="n">
        <v>1844</v>
      </c>
      <c r="M16" s="6" t="n">
        <f aca="false">MAX((M15+K16-J16)*0.994,0)</f>
        <v>217559.282534592</v>
      </c>
    </row>
    <row r="17" customFormat="false" ht="15" hidden="false" customHeight="false" outlineLevel="0" collapsed="false">
      <c r="A17" s="5" t="n">
        <v>1845</v>
      </c>
      <c r="B17" s="8" t="n">
        <v>0.0212</v>
      </c>
      <c r="C17" s="8" t="n">
        <v>0.0071</v>
      </c>
      <c r="D17" s="8" t="n">
        <v>0.144689714285714</v>
      </c>
      <c r="E17" s="5" t="s">
        <v>12</v>
      </c>
      <c r="F17" s="9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9" t="n">
        <f aca="false">F17*(1+H17+G17)</f>
        <v>13.3670467885714</v>
      </c>
      <c r="J17" s="6" t="n">
        <f aca="false">I17*365</f>
        <v>4878.97207782857</v>
      </c>
      <c r="K17" s="7"/>
      <c r="L17" s="5" t="n">
        <v>1845</v>
      </c>
      <c r="M17" s="6" t="n">
        <f aca="false">MAX((M16+K17-J17)*0.994,0)</f>
        <v>211404.228594023</v>
      </c>
    </row>
    <row r="18" customFormat="false" ht="15" hidden="false" customHeight="false" outlineLevel="0" collapsed="false">
      <c r="A18" s="5" t="n">
        <v>1846</v>
      </c>
      <c r="B18" s="8" t="n">
        <v>0.022</v>
      </c>
      <c r="C18" s="8" t="n">
        <v>0.0073</v>
      </c>
      <c r="D18" s="8" t="n">
        <v>0.149704</v>
      </c>
      <c r="E18" s="5" t="s">
        <v>12</v>
      </c>
      <c r="F18" s="9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9" t="n">
        <f aca="false">F18*(1+H18+G18)</f>
        <v>13.499268064</v>
      </c>
      <c r="J18" s="6" t="n">
        <f aca="false">I18*365</f>
        <v>4927.23284336</v>
      </c>
      <c r="K18" s="7"/>
      <c r="L18" s="5" t="n">
        <v>1846</v>
      </c>
      <c r="M18" s="6" t="n">
        <f aca="false">MAX((M17+K18-J18)*0.994,0)</f>
        <v>205238.133776159</v>
      </c>
    </row>
    <row r="19" customFormat="false" ht="15" hidden="false" customHeight="false" outlineLevel="0" collapsed="false">
      <c r="A19" s="5" t="n">
        <v>1847</v>
      </c>
      <c r="B19" s="8" t="n">
        <v>0.0228</v>
      </c>
      <c r="C19" s="8" t="n">
        <v>0.0075</v>
      </c>
      <c r="D19" s="8" t="n">
        <v>0.154918857142857</v>
      </c>
      <c r="E19" s="5" t="s">
        <v>12</v>
      </c>
      <c r="F19" s="9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9" t="n">
        <f aca="false">F19*(1+H19+G19)</f>
        <v>13.6341212967619</v>
      </c>
      <c r="J19" s="6" t="n">
        <f aca="false">I19*365</f>
        <v>4976.45427331809</v>
      </c>
      <c r="K19" s="7"/>
      <c r="L19" s="5" t="n">
        <v>1847</v>
      </c>
      <c r="M19" s="6" t="n">
        <f aca="false">MAX((M18+K19-J19)*0.994,0)</f>
        <v>199060.109425824</v>
      </c>
    </row>
    <row r="20" customFormat="false" ht="15" hidden="false" customHeight="false" outlineLevel="0" collapsed="false">
      <c r="A20" s="5" t="n">
        <v>1848</v>
      </c>
      <c r="B20" s="8" t="n">
        <v>0.0236</v>
      </c>
      <c r="C20" s="8" t="n">
        <v>0.0077</v>
      </c>
      <c r="D20" s="8" t="n">
        <v>0.160334285714286</v>
      </c>
      <c r="E20" s="5" t="s">
        <v>12</v>
      </c>
      <c r="F20" s="9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9" t="n">
        <f aca="false">F20*(1+H20+G20)</f>
        <v>13.77163216</v>
      </c>
      <c r="J20" s="6" t="n">
        <f aca="false">I20*365</f>
        <v>5026.6457384</v>
      </c>
      <c r="K20" s="7" t="n">
        <v>10800</v>
      </c>
      <c r="L20" s="5" t="n">
        <v>1848</v>
      </c>
      <c r="M20" s="6" t="n">
        <f aca="false">MAX((M19+K20-J20)*0.994,0)</f>
        <v>203604.4629053</v>
      </c>
    </row>
    <row r="21" customFormat="false" ht="15" hidden="false" customHeight="false" outlineLevel="0" collapsed="false">
      <c r="A21" s="5" t="n">
        <v>1849</v>
      </c>
      <c r="B21" s="8" t="n">
        <v>0.0244</v>
      </c>
      <c r="C21" s="8" t="n">
        <v>0.0079</v>
      </c>
      <c r="D21" s="8" t="n">
        <v>0.165950285714286</v>
      </c>
      <c r="E21" s="5" t="s">
        <v>12</v>
      </c>
      <c r="F21" s="9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9" t="n">
        <f aca="false">F21*(1+H21+G21)</f>
        <v>13.9118263268571</v>
      </c>
      <c r="J21" s="6" t="n">
        <f aca="false">I21*365</f>
        <v>5077.81660930286</v>
      </c>
      <c r="K21" s="7"/>
      <c r="L21" s="5" t="n">
        <v>1849</v>
      </c>
      <c r="M21" s="6" t="n">
        <f aca="false">MAX((M20+K21-J21)*0.994,0)</f>
        <v>197335.486418221</v>
      </c>
    </row>
    <row r="22" customFormat="false" ht="15" hidden="false" customHeight="false" outlineLevel="0" collapsed="false">
      <c r="A22" s="5" t="n">
        <v>1850</v>
      </c>
      <c r="B22" s="8" t="n">
        <v>0.0252</v>
      </c>
      <c r="C22" s="8" t="n">
        <v>0.0081</v>
      </c>
      <c r="D22" s="8" t="n">
        <v>0.171766857142857</v>
      </c>
      <c r="E22" s="5" t="s">
        <v>12</v>
      </c>
      <c r="F22" s="9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9" t="n">
        <f aca="false">F22*(1+H22+G22)</f>
        <v>14.0547294704762</v>
      </c>
      <c r="J22" s="6" t="n">
        <f aca="false">I22*365</f>
        <v>5129.97625672381</v>
      </c>
      <c r="K22" s="7" t="n">
        <v>259200</v>
      </c>
      <c r="L22" s="5" t="n">
        <v>1850</v>
      </c>
      <c r="M22" s="6" t="n">
        <f aca="false">MAX((M21+K22-J22)*0.994,0)</f>
        <v>448697.077100528</v>
      </c>
    </row>
    <row r="23" customFormat="false" ht="15" hidden="false" customHeight="false" outlineLevel="0" collapsed="false">
      <c r="A23" s="5" t="n">
        <v>1851</v>
      </c>
      <c r="B23" s="8" t="n">
        <v>0.026</v>
      </c>
      <c r="C23" s="8" t="n">
        <v>0.0083</v>
      </c>
      <c r="D23" s="8" t="n">
        <v>0.177784</v>
      </c>
      <c r="E23" s="5" t="s">
        <v>12</v>
      </c>
      <c r="F23" s="9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9" t="n">
        <f aca="false">F23*(1+H23+G23)</f>
        <v>14.200367264</v>
      </c>
      <c r="J23" s="6" t="n">
        <f aca="false">I23*365</f>
        <v>5183.13405136</v>
      </c>
      <c r="K23" s="7"/>
      <c r="L23" s="5" t="n">
        <v>1851</v>
      </c>
      <c r="M23" s="6" t="n">
        <f aca="false">MAX((M22+K23-J23)*0.994,0)</f>
        <v>440852.859390873</v>
      </c>
    </row>
    <row r="24" customFormat="false" ht="15" hidden="false" customHeight="false" outlineLevel="0" collapsed="false">
      <c r="A24" s="5" t="n">
        <v>1852</v>
      </c>
      <c r="B24" s="8" t="n">
        <v>0.0268</v>
      </c>
      <c r="C24" s="8" t="n">
        <v>0.0085</v>
      </c>
      <c r="D24" s="8" t="n">
        <v>0.184533142857143</v>
      </c>
      <c r="E24" s="5" t="s">
        <v>12</v>
      </c>
      <c r="F24" s="9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9" t="n">
        <f aca="false">F24*(1+H24+G24)</f>
        <v>14.3541533577143</v>
      </c>
      <c r="J24" s="6" t="n">
        <f aca="false">I24*365</f>
        <v>5239.26597556571</v>
      </c>
      <c r="K24" s="7"/>
      <c r="L24" s="5" t="n">
        <v>1852</v>
      </c>
      <c r="M24" s="6" t="n">
        <f aca="false">MAX((M23+K24-J24)*0.994,0)</f>
        <v>432999.911854815</v>
      </c>
    </row>
    <row r="25" customFormat="false" ht="15" hidden="false" customHeight="false" outlineLevel="0" collapsed="false">
      <c r="A25" s="5" t="n">
        <v>1853</v>
      </c>
      <c r="B25" s="8" t="n">
        <v>0.0276</v>
      </c>
      <c r="C25" s="8" t="n">
        <v>0.0087</v>
      </c>
      <c r="D25" s="8" t="n">
        <v>0.1915</v>
      </c>
      <c r="E25" s="5" t="s">
        <v>12</v>
      </c>
      <c r="F25" s="9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9" t="n">
        <f aca="false">F25*(1+H25+G25)</f>
        <v>14.5109453333333</v>
      </c>
      <c r="J25" s="6" t="n">
        <f aca="false">I25*365</f>
        <v>5296.49504666667</v>
      </c>
      <c r="K25" s="7"/>
      <c r="L25" s="5" t="n">
        <v>1853</v>
      </c>
      <c r="M25" s="6" t="n">
        <f aca="false">MAX((M24+K25-J25)*0.994,0)</f>
        <v>425137.1963073</v>
      </c>
    </row>
    <row r="26" customFormat="false" ht="15" hidden="false" customHeight="false" outlineLevel="0" collapsed="false">
      <c r="A26" s="5" t="n">
        <v>1854</v>
      </c>
      <c r="B26" s="8" t="n">
        <v>0.0284</v>
      </c>
      <c r="C26" s="8" t="n">
        <v>0.0089</v>
      </c>
      <c r="D26" s="8" t="n">
        <v>0.199250285714286</v>
      </c>
      <c r="E26" s="5" t="s">
        <v>12</v>
      </c>
      <c r="F26" s="9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9" t="n">
        <f aca="false">F26*(1+H26+G26)</f>
        <v>14.6765549211429</v>
      </c>
      <c r="J26" s="6" t="n">
        <f aca="false">I26*365</f>
        <v>5356.94254621714</v>
      </c>
      <c r="K26" s="7"/>
      <c r="L26" s="5" t="n">
        <v>1854</v>
      </c>
      <c r="M26" s="6" t="n">
        <f aca="false">MAX((M25+K26-J26)*0.994,0)</f>
        <v>417261.572238516</v>
      </c>
    </row>
    <row r="27" customFormat="false" ht="15" hidden="false" customHeight="false" outlineLevel="0" collapsed="false">
      <c r="A27" s="5" t="n">
        <v>1855</v>
      </c>
      <c r="B27" s="8" t="n">
        <v>0.0292</v>
      </c>
      <c r="C27" s="8" t="n">
        <v>0.0091</v>
      </c>
      <c r="D27" s="8" t="n">
        <v>0.207235428571429</v>
      </c>
      <c r="E27" s="5" t="s">
        <v>12</v>
      </c>
      <c r="F27" s="9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9" t="n">
        <f aca="false">F27*(1+H27+G27)</f>
        <v>14.8454504</v>
      </c>
      <c r="J27" s="6" t="n">
        <f aca="false">I27*365</f>
        <v>5418.589396</v>
      </c>
      <c r="K27" s="7" t="n">
        <v>21600</v>
      </c>
      <c r="L27" s="5" t="n">
        <v>1855</v>
      </c>
      <c r="M27" s="6" t="n">
        <f aca="false">MAX((M26+K27-J27)*0.994,0)</f>
        <v>430842.324945461</v>
      </c>
    </row>
    <row r="28" customFormat="false" ht="15" hidden="false" customHeight="false" outlineLevel="0" collapsed="false">
      <c r="A28" s="5" t="n">
        <v>1856</v>
      </c>
      <c r="B28" s="8" t="n">
        <v>0.03</v>
      </c>
      <c r="C28" s="8" t="n">
        <v>0.0093</v>
      </c>
      <c r="D28" s="8" t="n">
        <v>0.215755428571429</v>
      </c>
      <c r="E28" s="5" t="s">
        <v>12</v>
      </c>
      <c r="F28" s="9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9" t="n">
        <f aca="false">F28*(1+H28+G28)</f>
        <v>15.0207546316191</v>
      </c>
      <c r="J28" s="6" t="n">
        <f aca="false">I28*365</f>
        <v>5482.57544054095</v>
      </c>
      <c r="K28" s="7"/>
      <c r="L28" s="5" t="n">
        <v>1856</v>
      </c>
      <c r="M28" s="6" t="n">
        <f aca="false">MAX((M27+K28-J28)*0.994,0)</f>
        <v>422807.591007891</v>
      </c>
    </row>
    <row r="29" customFormat="false" ht="15" hidden="false" customHeight="false" outlineLevel="0" collapsed="false">
      <c r="A29" s="5" t="n">
        <v>1857</v>
      </c>
      <c r="B29" s="8" t="n">
        <v>0.0308</v>
      </c>
      <c r="C29" s="8" t="n">
        <v>0.0095</v>
      </c>
      <c r="D29" s="8" t="n">
        <v>0.226370285714286</v>
      </c>
      <c r="E29" s="5" t="s">
        <v>12</v>
      </c>
      <c r="F29" s="9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9" t="n">
        <f aca="false">F29*(1+H29+G29)</f>
        <v>15.2186851977143</v>
      </c>
      <c r="J29" s="6" t="n">
        <f aca="false">I29*365</f>
        <v>5554.82009716572</v>
      </c>
      <c r="K29" s="7"/>
      <c r="L29" s="5" t="n">
        <v>1857</v>
      </c>
      <c r="M29" s="6" t="n">
        <f aca="false">MAX((M28+K29-J29)*0.994,0)</f>
        <v>414749.254285261</v>
      </c>
    </row>
    <row r="30" customFormat="false" ht="15" hidden="false" customHeight="false" outlineLevel="0" collapsed="false">
      <c r="A30" s="5" t="n">
        <v>1858</v>
      </c>
      <c r="B30" s="8" t="n">
        <v>0.0316</v>
      </c>
      <c r="C30" s="8" t="n">
        <v>0.0097</v>
      </c>
      <c r="D30" s="8" t="n">
        <v>0.23728</v>
      </c>
      <c r="E30" s="5" t="s">
        <v>12</v>
      </c>
      <c r="F30" s="9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9" t="n">
        <f aca="false">F30*(1+H30+G30)</f>
        <v>15.42079984</v>
      </c>
      <c r="J30" s="6" t="n">
        <f aca="false">I30*365</f>
        <v>5628.5919416</v>
      </c>
      <c r="K30" s="7"/>
      <c r="L30" s="5" t="n">
        <v>1858</v>
      </c>
      <c r="M30" s="6" t="n">
        <f aca="false">MAX((M29+K30-J30)*0.994,0)</f>
        <v>406665.938369599</v>
      </c>
    </row>
    <row r="31" customFormat="false" ht="15" hidden="false" customHeight="false" outlineLevel="0" collapsed="false">
      <c r="A31" s="5" t="n">
        <v>1859</v>
      </c>
      <c r="B31" s="8" t="n">
        <v>0.0324</v>
      </c>
      <c r="C31" s="8" t="n">
        <v>0.0099</v>
      </c>
      <c r="D31" s="8" t="n">
        <v>0.248484571428571</v>
      </c>
      <c r="E31" s="5" t="s">
        <v>12</v>
      </c>
      <c r="F31" s="9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9" t="n">
        <f aca="false">F31*(1+H31+G31)</f>
        <v>15.6271363001905</v>
      </c>
      <c r="J31" s="6" t="n">
        <f aca="false">I31*365</f>
        <v>5703.90474956952</v>
      </c>
      <c r="K31" s="7"/>
      <c r="L31" s="5" t="n">
        <v>1859</v>
      </c>
      <c r="M31" s="6" t="n">
        <f aca="false">MAX((M30+K31-J31)*0.994,0)</f>
        <v>398556.261418309</v>
      </c>
    </row>
    <row r="32" customFormat="false" ht="15" hidden="false" customHeight="false" outlineLevel="0" collapsed="false">
      <c r="A32" s="5" t="n">
        <v>1860</v>
      </c>
      <c r="B32" s="8" t="n">
        <v>0.0332</v>
      </c>
      <c r="C32" s="8" t="n">
        <v>0.0101</v>
      </c>
      <c r="D32" s="8" t="n">
        <v>0.259984</v>
      </c>
      <c r="E32" s="5" t="s">
        <v>12</v>
      </c>
      <c r="F32" s="9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9" t="n">
        <f aca="false">F32*(1+H32+G32)</f>
        <v>15.83773232</v>
      </c>
      <c r="J32" s="6" t="n">
        <f aca="false">I32*365</f>
        <v>5780.7722968</v>
      </c>
      <c r="K32" s="7" t="n">
        <v>10800</v>
      </c>
      <c r="L32" s="5" t="n">
        <v>1860</v>
      </c>
      <c r="M32" s="6" t="n">
        <f aca="false">MAX((M31+K32-J32)*0.994,0)</f>
        <v>401154.03618678</v>
      </c>
    </row>
    <row r="33" customFormat="false" ht="15" hidden="false" customHeight="false" outlineLevel="0" collapsed="false">
      <c r="A33" s="5" t="n">
        <v>1861</v>
      </c>
      <c r="B33" s="8" t="n">
        <v>0.034</v>
      </c>
      <c r="C33" s="8" t="n">
        <v>0.0103</v>
      </c>
      <c r="D33" s="8" t="n">
        <v>0.271778285714286</v>
      </c>
      <c r="E33" s="5" t="s">
        <v>12</v>
      </c>
      <c r="F33" s="9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9" t="n">
        <f aca="false">F33*(1+H33+G33)</f>
        <v>19.1036822125714</v>
      </c>
      <c r="J33" s="6" t="n">
        <f aca="false">I33*365</f>
        <v>6972.84400758857</v>
      </c>
      <c r="K33" s="7"/>
      <c r="L33" s="5" t="n">
        <v>1861</v>
      </c>
      <c r="M33" s="6" t="n">
        <f aca="false">MAX((M32+K33-J33)*0.994,0)</f>
        <v>391816.105026116</v>
      </c>
    </row>
    <row r="34" customFormat="false" ht="15" hidden="false" customHeight="false" outlineLevel="0" collapsed="false">
      <c r="A34" s="5" t="n">
        <v>1862</v>
      </c>
      <c r="B34" s="8" t="n">
        <v>0.0348</v>
      </c>
      <c r="C34" s="8" t="n">
        <v>0.0105</v>
      </c>
      <c r="D34" s="8" t="n">
        <v>0.283867428571429</v>
      </c>
      <c r="E34" s="5" t="s">
        <v>12</v>
      </c>
      <c r="F34" s="9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9" t="n">
        <f aca="false">F34*(1+H34+G34)</f>
        <v>19.3520888624762</v>
      </c>
      <c r="J34" s="6" t="n">
        <f aca="false">I34*365</f>
        <v>7063.51243480381</v>
      </c>
      <c r="K34" s="7"/>
      <c r="L34" s="5" t="n">
        <v>1862</v>
      </c>
      <c r="M34" s="6" t="n">
        <f aca="false">MAX((M33+K34-J34)*0.994,0)</f>
        <v>382444.077035764</v>
      </c>
    </row>
    <row r="35" customFormat="false" ht="15" hidden="false" customHeight="false" outlineLevel="0" collapsed="false">
      <c r="A35" s="5" t="n">
        <v>1863</v>
      </c>
      <c r="B35" s="8" t="n">
        <v>0.0356</v>
      </c>
      <c r="C35" s="8" t="n">
        <v>0.0107</v>
      </c>
      <c r="D35" s="8" t="n">
        <v>0.296251428571429</v>
      </c>
      <c r="E35" s="5" t="s">
        <v>12</v>
      </c>
      <c r="F35" s="9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9" t="n">
        <f aca="false">F35*(1+H35+G35)</f>
        <v>19.6054580114286</v>
      </c>
      <c r="J35" s="6" t="n">
        <f aca="false">I35*365</f>
        <v>7155.99217417143</v>
      </c>
      <c r="K35" s="7"/>
      <c r="L35" s="5" t="n">
        <v>1863</v>
      </c>
      <c r="M35" s="6" t="n">
        <f aca="false">MAX((M34+K35-J35)*0.994,0)</f>
        <v>373036.356352424</v>
      </c>
    </row>
    <row r="36" customFormat="false" ht="15" hidden="false" customHeight="false" outlineLevel="0" collapsed="false">
      <c r="A36" s="5" t="n">
        <v>1864</v>
      </c>
      <c r="B36" s="8" t="n">
        <v>0.0364</v>
      </c>
      <c r="C36" s="8" t="n">
        <v>0.0109</v>
      </c>
      <c r="D36" s="8" t="n">
        <v>0.309667428571429</v>
      </c>
      <c r="E36" s="5" t="s">
        <v>12</v>
      </c>
      <c r="F36" s="9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9" t="n">
        <f aca="false">F36*(1+H36+G36)</f>
        <v>19.8731527497143</v>
      </c>
      <c r="J36" s="6" t="n">
        <f aca="false">I36*365</f>
        <v>7253.70075364572</v>
      </c>
      <c r="K36" s="7"/>
      <c r="L36" s="5" t="n">
        <v>1864</v>
      </c>
      <c r="M36" s="6" t="n">
        <f aca="false">MAX((M35+K36-J36)*0.994,0)</f>
        <v>363587.959665185</v>
      </c>
    </row>
    <row r="37" customFormat="false" ht="15" hidden="false" customHeight="false" outlineLevel="0" collapsed="false">
      <c r="A37" s="5" t="n">
        <v>1865</v>
      </c>
      <c r="B37" s="8" t="n">
        <v>0.0372</v>
      </c>
      <c r="C37" s="8" t="n">
        <v>0.0111</v>
      </c>
      <c r="D37" s="8" t="n">
        <v>0.323395428571429</v>
      </c>
      <c r="E37" s="5" t="s">
        <v>12</v>
      </c>
      <c r="F37" s="9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9" t="n">
        <f aca="false">F37*(1+H37+G37)</f>
        <v>20.1461659733333</v>
      </c>
      <c r="J37" s="6" t="n">
        <f aca="false">I37*365</f>
        <v>7353.35058026667</v>
      </c>
      <c r="K37" s="7"/>
      <c r="L37" s="5" t="n">
        <v>1865</v>
      </c>
      <c r="M37" s="6" t="n">
        <f aca="false">MAX((M36+K37-J37)*0.994,0)</f>
        <v>354097.201430409</v>
      </c>
    </row>
    <row r="38" customFormat="false" ht="15" hidden="false" customHeight="false" outlineLevel="0" collapsed="false">
      <c r="A38" s="5" t="n">
        <v>1866</v>
      </c>
      <c r="B38" s="8" t="n">
        <v>0.038</v>
      </c>
      <c r="C38" s="8" t="n">
        <v>0.0113</v>
      </c>
      <c r="D38" s="8" t="n">
        <v>0.337435428571429</v>
      </c>
      <c r="E38" s="5" t="s">
        <v>12</v>
      </c>
      <c r="F38" s="9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9" t="n">
        <f aca="false">F38*(1+H38+G38)</f>
        <v>20.4245376182857</v>
      </c>
      <c r="J38" s="6" t="n">
        <f aca="false">I38*365</f>
        <v>7454.95623067429</v>
      </c>
      <c r="K38" s="7"/>
      <c r="L38" s="5" t="n">
        <v>1866</v>
      </c>
      <c r="M38" s="6" t="n">
        <f aca="false">MAX((M37+K38-J38)*0.994,0)</f>
        <v>344562.391728536</v>
      </c>
    </row>
    <row r="39" customFormat="false" ht="15" hidden="false" customHeight="false" outlineLevel="0" collapsed="false">
      <c r="A39" s="5" t="n">
        <v>1867</v>
      </c>
      <c r="B39" s="8" t="n">
        <v>0.0388</v>
      </c>
      <c r="C39" s="8" t="n">
        <v>0.0115</v>
      </c>
      <c r="D39" s="8" t="n">
        <v>0.351787428571429</v>
      </c>
      <c r="E39" s="5" t="s">
        <v>12</v>
      </c>
      <c r="F39" s="9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9" t="n">
        <f aca="false">F39*(1+H39+G39)</f>
        <v>20.7083076205714</v>
      </c>
      <c r="J39" s="6" t="n">
        <f aca="false">I39*365</f>
        <v>7558.53228150858</v>
      </c>
      <c r="K39" s="7"/>
      <c r="L39" s="5" t="n">
        <v>1867</v>
      </c>
      <c r="M39" s="6" t="n">
        <f aca="false">MAX((M38+K39-J39)*0.994,0)</f>
        <v>334981.836290345</v>
      </c>
    </row>
    <row r="40" customFormat="false" ht="15" hidden="false" customHeight="false" outlineLevel="0" collapsed="false">
      <c r="A40" s="5" t="n">
        <v>1868</v>
      </c>
      <c r="B40" s="8" t="n">
        <v>0.0396</v>
      </c>
      <c r="C40" s="8" t="n">
        <v>0.0117</v>
      </c>
      <c r="D40" s="8" t="n">
        <v>0.366451428571429</v>
      </c>
      <c r="E40" s="5" t="s">
        <v>12</v>
      </c>
      <c r="F40" s="9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9" t="n">
        <f aca="false">F40*(1+H40+G40)</f>
        <v>20.9975159161905</v>
      </c>
      <c r="J40" s="6" t="n">
        <f aca="false">I40*365</f>
        <v>7664.09330940953</v>
      </c>
      <c r="K40" s="7"/>
      <c r="L40" s="5" t="n">
        <v>1868</v>
      </c>
      <c r="M40" s="6" t="n">
        <f aca="false">MAX((M39+K40-J40)*0.994,0)</f>
        <v>325353.83652305</v>
      </c>
    </row>
    <row r="41" customFormat="false" ht="15" hidden="false" customHeight="false" outlineLevel="0" collapsed="false">
      <c r="A41" s="5" t="n">
        <v>1869</v>
      </c>
      <c r="B41" s="8" t="n">
        <v>0.0404</v>
      </c>
      <c r="C41" s="8" t="n">
        <v>0.0119</v>
      </c>
      <c r="D41" s="8" t="n">
        <v>0.381427428571429</v>
      </c>
      <c r="E41" s="5" t="s">
        <v>12</v>
      </c>
      <c r="F41" s="9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9" t="n">
        <f aca="false">F41*(1+H41+G41)</f>
        <v>21.2922024411429</v>
      </c>
      <c r="J41" s="6" t="n">
        <f aca="false">I41*365</f>
        <v>7771.65389101715</v>
      </c>
      <c r="K41" s="7"/>
      <c r="L41" s="5" t="n">
        <v>1869</v>
      </c>
      <c r="M41" s="6" t="n">
        <f aca="false">MAX((M40+K41-J41)*0.994,0)</f>
        <v>315676.689536241</v>
      </c>
    </row>
    <row r="42" customFormat="false" ht="15" hidden="false" customHeight="false" outlineLevel="0" collapsed="false">
      <c r="A42" s="5" t="n">
        <v>1870</v>
      </c>
      <c r="B42" s="8" t="n">
        <v>0.0409999999999999</v>
      </c>
      <c r="C42" s="8" t="n">
        <v>0.0121</v>
      </c>
      <c r="D42" s="8" t="n">
        <v>0.396715428571429</v>
      </c>
      <c r="E42" s="5" t="s">
        <v>12</v>
      </c>
      <c r="F42" s="9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9" t="n">
        <f aca="false">F42*(1+H42+G42)</f>
        <v>21.5924071314286</v>
      </c>
      <c r="J42" s="6" t="n">
        <f aca="false">I42*365</f>
        <v>7881.22860297143</v>
      </c>
      <c r="K42" s="7" t="n">
        <v>331200</v>
      </c>
      <c r="L42" s="5" t="n">
        <v>1870</v>
      </c>
      <c r="M42" s="6" t="n">
        <f aca="false">MAX((M41+K42-J42)*0.994,0)</f>
        <v>635161.48816767</v>
      </c>
    </row>
    <row r="43" customFormat="false" ht="15" hidden="false" customHeight="false" outlineLevel="0" collapsed="false">
      <c r="A43" s="5" t="n">
        <v>1871</v>
      </c>
      <c r="B43" s="8" t="n">
        <v>0.0409999999999999</v>
      </c>
      <c r="C43" s="8" t="n">
        <v>0.0123</v>
      </c>
      <c r="D43" s="8" t="n">
        <v>0.412744</v>
      </c>
      <c r="E43" s="5" t="s">
        <v>12</v>
      </c>
      <c r="F43" s="9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9" t="n">
        <f aca="false">F43*(1+H43+G43)</f>
        <v>28.6696956373333</v>
      </c>
      <c r="J43" s="6" t="n">
        <f aca="false">I43*365</f>
        <v>10464.4389076267</v>
      </c>
      <c r="K43" s="7"/>
      <c r="L43" s="5" t="n">
        <v>1871</v>
      </c>
      <c r="M43" s="6" t="n">
        <f aca="false">MAX((M42+K43-J43)*0.994,0)</f>
        <v>620948.866964483</v>
      </c>
    </row>
    <row r="44" customFormat="false" ht="15" hidden="false" customHeight="false" outlineLevel="0" collapsed="false">
      <c r="A44" s="5" t="n">
        <v>1872</v>
      </c>
      <c r="B44" s="8" t="n">
        <v>0.0409999999999999</v>
      </c>
      <c r="C44" s="8" t="n">
        <v>0.0125</v>
      </c>
      <c r="D44" s="8" t="n">
        <v>0.429093142857143</v>
      </c>
      <c r="E44" s="5" t="s">
        <v>12</v>
      </c>
      <c r="F44" s="9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9" t="n">
        <f aca="false">F44*(1+H44+G44)</f>
        <v>29.0621506834286</v>
      </c>
      <c r="J44" s="6" t="n">
        <f aca="false">I44*365</f>
        <v>10607.6849994514</v>
      </c>
      <c r="K44" s="7" t="n">
        <v>14400</v>
      </c>
      <c r="L44" s="5" t="n">
        <v>1872</v>
      </c>
      <c r="M44" s="6" t="n">
        <f aca="false">MAX((M43+K44-J44)*0.994,0)</f>
        <v>620992.734873242</v>
      </c>
    </row>
    <row r="45" customFormat="false" ht="15" hidden="false" customHeight="false" outlineLevel="0" collapsed="false">
      <c r="A45" s="5" t="n">
        <v>1873</v>
      </c>
      <c r="B45" s="8" t="n">
        <v>0.0409999999999999</v>
      </c>
      <c r="C45" s="8" t="n">
        <v>0.0127</v>
      </c>
      <c r="D45" s="8" t="n">
        <v>0.445762857142857</v>
      </c>
      <c r="E45" s="5" t="s">
        <v>12</v>
      </c>
      <c r="F45" s="9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9" t="n">
        <f aca="false">F45*(1+H45+G45)</f>
        <v>29.4616750171429</v>
      </c>
      <c r="J45" s="6" t="n">
        <f aca="false">I45*365</f>
        <v>10753.5113812571</v>
      </c>
      <c r="K45" s="7"/>
      <c r="L45" s="5" t="n">
        <v>1873</v>
      </c>
      <c r="M45" s="6" t="n">
        <f aca="false">MAX((M44+K45-J45)*0.994,0)</f>
        <v>606577.788151033</v>
      </c>
    </row>
    <row r="46" customFormat="false" ht="15" hidden="false" customHeight="false" outlineLevel="0" collapsed="false">
      <c r="A46" s="5" t="n">
        <v>1874</v>
      </c>
      <c r="B46" s="8" t="n">
        <v>0.0409999999999999</v>
      </c>
      <c r="C46" s="8" t="n">
        <v>0.0129</v>
      </c>
      <c r="D46" s="8" t="n">
        <v>0.462753142857143</v>
      </c>
      <c r="E46" s="5" t="s">
        <v>12</v>
      </c>
      <c r="F46" s="9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9" t="n">
        <f aca="false">F46*(1+H46+G46)</f>
        <v>29.8683096716191</v>
      </c>
      <c r="J46" s="6" t="n">
        <f aca="false">I46*365</f>
        <v>10901.933030141</v>
      </c>
      <c r="K46" s="7"/>
      <c r="L46" s="5" t="n">
        <v>1874</v>
      </c>
      <c r="M46" s="6" t="n">
        <f aca="false">MAX((M45+K46-J46)*0.994,0)</f>
        <v>592101.799990166</v>
      </c>
    </row>
    <row r="47" customFormat="false" ht="15" hidden="false" customHeight="false" outlineLevel="0" collapsed="false">
      <c r="A47" s="5" t="n">
        <v>1875</v>
      </c>
      <c r="B47" s="8" t="n">
        <v>0.0409999999999999</v>
      </c>
      <c r="C47" s="8" t="n">
        <v>0.0131</v>
      </c>
      <c r="D47" s="8" t="n">
        <v>0.480064</v>
      </c>
      <c r="E47" s="5" t="s">
        <v>12</v>
      </c>
      <c r="F47" s="9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9" t="n">
        <f aca="false">F47*(1+H47+G47)</f>
        <v>30.28209568</v>
      </c>
      <c r="J47" s="6" t="n">
        <f aca="false">I47*365</f>
        <v>11052.9649232</v>
      </c>
      <c r="K47" s="7" t="n">
        <v>14400</v>
      </c>
      <c r="L47" s="5" t="n">
        <v>1875</v>
      </c>
      <c r="M47" s="6" t="n">
        <f aca="false">MAX((M46+K47-J47)*0.994,0)</f>
        <v>591876.142056565</v>
      </c>
    </row>
    <row r="48" customFormat="false" ht="15" hidden="false" customHeight="false" outlineLevel="0" collapsed="false">
      <c r="A48" s="5" t="n">
        <v>1876</v>
      </c>
      <c r="B48" s="8" t="n">
        <v>0.0409999999999999</v>
      </c>
      <c r="C48" s="8" t="n">
        <v>0.0133</v>
      </c>
      <c r="D48" s="8" t="n">
        <v>0.497695428571429</v>
      </c>
      <c r="E48" s="5" t="s">
        <v>12</v>
      </c>
      <c r="F48" s="9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9" t="n">
        <f aca="false">F48*(1+H48+G48)</f>
        <v>30.7030740754286</v>
      </c>
      <c r="J48" s="6" t="n">
        <f aca="false">I48*365</f>
        <v>11206.6220375314</v>
      </c>
      <c r="K48" s="7"/>
      <c r="L48" s="5" t="n">
        <v>1876</v>
      </c>
      <c r="M48" s="6" t="n">
        <f aca="false">MAX((M47+K48-J48)*0.994,0)</f>
        <v>577185.502898919</v>
      </c>
    </row>
    <row r="49" customFormat="false" ht="15" hidden="false" customHeight="false" outlineLevel="0" collapsed="false">
      <c r="A49" s="5" t="n">
        <v>1877</v>
      </c>
      <c r="B49" s="8" t="n">
        <v>0.0409999999999999</v>
      </c>
      <c r="C49" s="8" t="n">
        <v>0.0135</v>
      </c>
      <c r="D49" s="8" t="n">
        <v>0.515647428571429</v>
      </c>
      <c r="E49" s="5" t="s">
        <v>12</v>
      </c>
      <c r="F49" s="9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9" t="n">
        <f aca="false">F49*(1+H49+G49)</f>
        <v>31.1312858910476</v>
      </c>
      <c r="J49" s="6" t="n">
        <f aca="false">I49*365</f>
        <v>11362.9193502324</v>
      </c>
      <c r="K49" s="7"/>
      <c r="L49" s="5" t="n">
        <v>1877</v>
      </c>
      <c r="M49" s="6" t="n">
        <f aca="false">MAX((M48+K49-J49)*0.994,0)</f>
        <v>562427.648047394</v>
      </c>
    </row>
    <row r="50" customFormat="false" ht="15" hidden="false" customHeight="false" outlineLevel="0" collapsed="false">
      <c r="A50" s="5" t="n">
        <v>1878</v>
      </c>
      <c r="B50" s="8" t="n">
        <v>0.0409999999999998</v>
      </c>
      <c r="C50" s="8" t="n">
        <v>0.0137</v>
      </c>
      <c r="D50" s="8" t="n">
        <v>0.53392</v>
      </c>
      <c r="E50" s="5" t="s">
        <v>12</v>
      </c>
      <c r="F50" s="9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9" t="n">
        <f aca="false">F50*(1+H50+G50)</f>
        <v>31.56677216</v>
      </c>
      <c r="J50" s="6" t="n">
        <f aca="false">I50*365</f>
        <v>11521.8718384</v>
      </c>
      <c r="K50" s="7"/>
      <c r="L50" s="5" t="n">
        <v>1878</v>
      </c>
      <c r="M50" s="6" t="n">
        <f aca="false">MAX((M49+K50-J50)*0.994,0)</f>
        <v>547600.34155174</v>
      </c>
    </row>
    <row r="51" customFormat="false" ht="15" hidden="false" customHeight="false" outlineLevel="0" collapsed="false">
      <c r="A51" s="5" t="n">
        <v>1879</v>
      </c>
      <c r="B51" s="8" t="n">
        <v>0.0409999999999998</v>
      </c>
      <c r="C51" s="8" t="n">
        <v>0.0139</v>
      </c>
      <c r="D51" s="8" t="n">
        <v>0.552513142857143</v>
      </c>
      <c r="E51" s="5" t="s">
        <v>12</v>
      </c>
      <c r="F51" s="9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9" t="n">
        <f aca="false">F51*(1+H51+G51)</f>
        <v>32.0095739154286</v>
      </c>
      <c r="J51" s="6" t="n">
        <f aca="false">I51*365</f>
        <v>11683.4944791314</v>
      </c>
      <c r="K51" s="7"/>
      <c r="L51" s="5" t="n">
        <v>1879</v>
      </c>
      <c r="M51" s="6" t="n">
        <f aca="false">MAX((M50+K51-J51)*0.994,0)</f>
        <v>532701.345990173</v>
      </c>
    </row>
    <row r="52" customFormat="false" ht="15" hidden="false" customHeight="false" outlineLevel="0" collapsed="false">
      <c r="A52" s="5" t="n">
        <v>1880</v>
      </c>
      <c r="B52" s="8" t="n">
        <v>0.0409999999999998</v>
      </c>
      <c r="C52" s="8" t="n">
        <v>0.0141</v>
      </c>
      <c r="D52" s="8" t="n">
        <v>0.571426857142857</v>
      </c>
      <c r="E52" s="5" t="s">
        <v>12</v>
      </c>
      <c r="F52" s="9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9" t="n">
        <f aca="false">F52*(1+H52+G52)</f>
        <v>32.4597321904762</v>
      </c>
      <c r="J52" s="6" t="n">
        <f aca="false">I52*365</f>
        <v>11847.8022495238</v>
      </c>
      <c r="K52" s="7" t="n">
        <v>50400</v>
      </c>
      <c r="L52" s="5" t="n">
        <v>1880</v>
      </c>
      <c r="M52" s="6" t="n">
        <f aca="false">MAX((M51+K52-J52)*0.994,0)</f>
        <v>567826.022478206</v>
      </c>
    </row>
    <row r="53" customFormat="false" ht="15" hidden="false" customHeight="false" outlineLevel="0" collapsed="false">
      <c r="A53" s="5" t="n">
        <v>1881</v>
      </c>
      <c r="B53" s="8" t="n">
        <v>0.0409999999999998</v>
      </c>
      <c r="C53" s="8" t="n">
        <v>0.0143</v>
      </c>
      <c r="D53" s="8" t="n">
        <v>0.590661142857143</v>
      </c>
      <c r="E53" s="5" t="s">
        <v>12</v>
      </c>
      <c r="F53" s="9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9" t="n">
        <f aca="false">F53*(1+H53+G53)</f>
        <v>40.4949325897143</v>
      </c>
      <c r="J53" s="6" t="n">
        <f aca="false">I53*365</f>
        <v>14780.6503952457</v>
      </c>
      <c r="K53" s="7"/>
      <c r="L53" s="5" t="n">
        <v>1881</v>
      </c>
      <c r="M53" s="6" t="n">
        <f aca="false">MAX((M52+K53-J53)*0.994,0)</f>
        <v>549727.099850462</v>
      </c>
    </row>
    <row r="54" customFormat="false" ht="15" hidden="false" customHeight="false" outlineLevel="0" collapsed="false">
      <c r="A54" s="5" t="n">
        <v>1882</v>
      </c>
      <c r="B54" s="8" t="n">
        <v>0.0409999999999998</v>
      </c>
      <c r="C54" s="8" t="n">
        <v>0.0145</v>
      </c>
      <c r="D54" s="8" t="n">
        <v>0.610216</v>
      </c>
      <c r="E54" s="5" t="s">
        <v>12</v>
      </c>
      <c r="F54" s="9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9" t="n">
        <f aca="false">F54*(1+H54+G54)</f>
        <v>41.048146432</v>
      </c>
      <c r="J54" s="6" t="n">
        <f aca="false">I54*365</f>
        <v>14982.57344768</v>
      </c>
      <c r="K54" s="7"/>
      <c r="L54" s="5" t="n">
        <v>1882</v>
      </c>
      <c r="M54" s="6" t="n">
        <f aca="false">MAX((M53+K54-J54)*0.994,0)</f>
        <v>531536.059244365</v>
      </c>
    </row>
    <row r="55" customFormat="false" ht="15" hidden="false" customHeight="false" outlineLevel="0" collapsed="false">
      <c r="A55" s="5" t="n">
        <v>1883</v>
      </c>
      <c r="B55" s="8" t="n">
        <v>0.0409999999999998</v>
      </c>
      <c r="C55" s="8" t="n">
        <v>0.0147</v>
      </c>
      <c r="D55" s="8" t="n">
        <v>0.630091428571429</v>
      </c>
      <c r="E55" s="5" t="s">
        <v>12</v>
      </c>
      <c r="F55" s="9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9" t="n">
        <f aca="false">F55*(1+H55+G55)</f>
        <v>41.6101221790476</v>
      </c>
      <c r="J55" s="6" t="n">
        <f aca="false">I55*365</f>
        <v>15187.6945953524</v>
      </c>
      <c r="K55" s="7"/>
      <c r="L55" s="5" t="n">
        <v>1883</v>
      </c>
      <c r="M55" s="6" t="n">
        <f aca="false">MAX((M54+K55-J55)*0.994,0)</f>
        <v>513250.274461119</v>
      </c>
    </row>
    <row r="56" customFormat="false" ht="15" hidden="false" customHeight="false" outlineLevel="0" collapsed="false">
      <c r="A56" s="5" t="n">
        <v>1884</v>
      </c>
      <c r="B56" s="8" t="n">
        <v>0.0409999999999998</v>
      </c>
      <c r="C56" s="8" t="n">
        <v>0.0149</v>
      </c>
      <c r="D56" s="8" t="n">
        <v>0.651907428571429</v>
      </c>
      <c r="E56" s="5" t="s">
        <v>12</v>
      </c>
      <c r="F56" s="9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9" t="n">
        <f aca="false">F56*(1+H56+G56)</f>
        <v>42.215737344</v>
      </c>
      <c r="J56" s="6" t="n">
        <f aca="false">I56*365</f>
        <v>15408.74413056</v>
      </c>
      <c r="K56" s="7"/>
      <c r="L56" s="5" t="n">
        <v>1884</v>
      </c>
      <c r="M56" s="6" t="n">
        <f aca="false">MAX((M55+K56-J56)*0.994,0)</f>
        <v>494854.481148576</v>
      </c>
    </row>
    <row r="57" customFormat="false" ht="15" hidden="false" customHeight="false" outlineLevel="0" collapsed="false">
      <c r="A57" s="5" t="n">
        <v>1885</v>
      </c>
      <c r="B57" s="8" t="n">
        <v>0.0409999999999998</v>
      </c>
      <c r="C57" s="8" t="n">
        <v>0.0151</v>
      </c>
      <c r="D57" s="8" t="n">
        <v>0.674069714285714</v>
      </c>
      <c r="E57" s="5" t="s">
        <v>12</v>
      </c>
      <c r="F57" s="9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9" t="n">
        <f aca="false">F57*(1+H57+G57)</f>
        <v>42.8308887771429</v>
      </c>
      <c r="J57" s="6" t="n">
        <f aca="false">I57*365</f>
        <v>15633.2744036571</v>
      </c>
      <c r="K57" s="7"/>
      <c r="L57" s="5" t="n">
        <v>1885</v>
      </c>
      <c r="M57" s="6" t="n">
        <f aca="false">MAX((M56+K57-J57)*0.994,0)</f>
        <v>476345.879504449</v>
      </c>
    </row>
    <row r="58" customFormat="false" ht="15" hidden="false" customHeight="false" outlineLevel="0" collapsed="false">
      <c r="A58" s="5" t="n">
        <v>1886</v>
      </c>
      <c r="B58" s="8" t="n">
        <v>0.0409999999999998</v>
      </c>
      <c r="C58" s="8" t="n">
        <v>0.0153</v>
      </c>
      <c r="D58" s="8" t="n">
        <v>0.696578285714286</v>
      </c>
      <c r="E58" s="5" t="s">
        <v>12</v>
      </c>
      <c r="F58" s="9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9" t="n">
        <f aca="false">F58*(1+H58+G58)</f>
        <v>43.4556208030476</v>
      </c>
      <c r="J58" s="6" t="n">
        <f aca="false">I58*365</f>
        <v>15861.3015931124</v>
      </c>
      <c r="K58" s="7"/>
      <c r="L58" s="5" t="n">
        <v>1886</v>
      </c>
      <c r="M58" s="6" t="n">
        <f aca="false">MAX((M57+K58-J58)*0.994,0)</f>
        <v>457721.670443868</v>
      </c>
    </row>
    <row r="59" customFormat="false" ht="15" hidden="false" customHeight="false" outlineLevel="0" collapsed="false">
      <c r="A59" s="5" t="n">
        <v>1887</v>
      </c>
      <c r="B59" s="8" t="n">
        <v>0.0409999999999998</v>
      </c>
      <c r="C59" s="8" t="n">
        <v>0.0155</v>
      </c>
      <c r="D59" s="8" t="n">
        <v>0.719433142857143</v>
      </c>
      <c r="E59" s="5" t="s">
        <v>12</v>
      </c>
      <c r="F59" s="9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9" t="n">
        <f aca="false">F59*(1+H59+G59)</f>
        <v>44.0899777462857</v>
      </c>
      <c r="J59" s="6" t="n">
        <f aca="false">I59*365</f>
        <v>16092.8418773943</v>
      </c>
      <c r="K59" s="7"/>
      <c r="L59" s="5" t="n">
        <v>1887</v>
      </c>
      <c r="M59" s="6" t="n">
        <f aca="false">MAX((M58+K59-J59)*0.994,0)</f>
        <v>438979.055595075</v>
      </c>
    </row>
    <row r="60" customFormat="false" ht="15" hidden="false" customHeight="false" outlineLevel="0" collapsed="false">
      <c r="A60" s="5" t="n">
        <v>1888</v>
      </c>
      <c r="B60" s="8" t="n">
        <v>0.0409999999999997</v>
      </c>
      <c r="C60" s="8" t="n">
        <v>0.0157</v>
      </c>
      <c r="D60" s="8" t="n">
        <v>0.742634285714286</v>
      </c>
      <c r="E60" s="5" t="s">
        <v>12</v>
      </c>
      <c r="F60" s="9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9" t="n">
        <f aca="false">F60*(1+H60+G60)</f>
        <v>44.7340039314286</v>
      </c>
      <c r="J60" s="6" t="n">
        <f aca="false">I60*365</f>
        <v>16327.9114349714</v>
      </c>
      <c r="K60" s="7"/>
      <c r="L60" s="5" t="n">
        <v>1888</v>
      </c>
      <c r="M60" s="6" t="n">
        <f aca="false">MAX((M59+K60-J60)*0.994,0)</f>
        <v>420115.237295143</v>
      </c>
    </row>
    <row r="61" customFormat="false" ht="15" hidden="false" customHeight="false" outlineLevel="0" collapsed="false">
      <c r="A61" s="5" t="n">
        <v>1889</v>
      </c>
      <c r="B61" s="8" t="n">
        <v>0.0409999999999997</v>
      </c>
      <c r="C61" s="8" t="n">
        <v>0.0159</v>
      </c>
      <c r="D61" s="8" t="n">
        <v>0.766181714285714</v>
      </c>
      <c r="E61" s="5" t="s">
        <v>12</v>
      </c>
      <c r="F61" s="9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9" t="n">
        <f aca="false">F61*(1+H61+G61)</f>
        <v>45.3877436830476</v>
      </c>
      <c r="J61" s="6" t="n">
        <f aca="false">I61*365</f>
        <v>16566.5264443124</v>
      </c>
      <c r="K61" s="7"/>
      <c r="L61" s="5" t="n">
        <v>1889</v>
      </c>
      <c r="M61" s="6" t="n">
        <f aca="false">MAX((M60+K61-J61)*0.994,0)</f>
        <v>401127.418585726</v>
      </c>
    </row>
    <row r="62" customFormat="false" ht="15" hidden="false" customHeight="false" outlineLevel="0" collapsed="false">
      <c r="A62" s="5" t="n">
        <v>1890</v>
      </c>
      <c r="B62" s="8" t="n">
        <v>0.0409999999999997</v>
      </c>
      <c r="C62" s="8" t="n">
        <v>0.0161</v>
      </c>
      <c r="D62" s="8" t="n">
        <v>0.790075428571428</v>
      </c>
      <c r="E62" s="5" t="s">
        <v>12</v>
      </c>
      <c r="F62" s="9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9" t="n">
        <f aca="false">F62*(1+H62+G62)</f>
        <v>46.0512413257143</v>
      </c>
      <c r="J62" s="6" t="n">
        <f aca="false">I62*365</f>
        <v>16808.7030838857</v>
      </c>
      <c r="K62" s="7" t="n">
        <v>54000</v>
      </c>
      <c r="L62" s="5" t="n">
        <v>1890</v>
      </c>
      <c r="M62" s="6" t="n">
        <f aca="false">MAX((M61+K62-J62)*0.994,0)</f>
        <v>435688.803208829</v>
      </c>
    </row>
    <row r="63" customFormat="false" ht="15" hidden="false" customHeight="false" outlineLevel="0" collapsed="false">
      <c r="A63" s="5" t="n">
        <v>1891</v>
      </c>
      <c r="B63" s="8" t="n">
        <v>0.0409999999999997</v>
      </c>
      <c r="C63" s="8" t="n">
        <v>0.0163</v>
      </c>
      <c r="D63" s="8" t="n">
        <v>0.814315428571429</v>
      </c>
      <c r="E63" s="5" t="s">
        <v>12</v>
      </c>
      <c r="F63" s="9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9" t="n">
        <f aca="false">F63*(1+H63+G63)</f>
        <v>46.724541184</v>
      </c>
      <c r="J63" s="6" t="n">
        <f aca="false">I63*365</f>
        <v>17054.45753216</v>
      </c>
      <c r="K63" s="7"/>
      <c r="L63" s="5" t="n">
        <v>1891</v>
      </c>
      <c r="M63" s="6" t="n">
        <f aca="false">MAX((M62+K63-J63)*0.994,0)</f>
        <v>416122.539602609</v>
      </c>
    </row>
    <row r="64" customFormat="false" ht="15" hidden="false" customHeight="false" outlineLevel="0" collapsed="false">
      <c r="A64" s="5" t="n">
        <v>1892</v>
      </c>
      <c r="B64" s="8" t="n">
        <v>0.0409999999999997</v>
      </c>
      <c r="C64" s="8" t="n">
        <v>0.0165</v>
      </c>
      <c r="D64" s="8" t="n">
        <v>0.838555428571429</v>
      </c>
      <c r="E64" s="5" t="s">
        <v>12</v>
      </c>
      <c r="F64" s="9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9" t="n">
        <f aca="false">F64*(1+H64+G64)</f>
        <v>47.4001228556191</v>
      </c>
      <c r="J64" s="6" t="n">
        <f aca="false">I64*365</f>
        <v>17301.044842301</v>
      </c>
      <c r="K64" s="7"/>
      <c r="L64" s="5" t="n">
        <v>1892</v>
      </c>
      <c r="M64" s="6" t="n">
        <f aca="false">MAX((M63+K64-J64)*0.994,0)</f>
        <v>396428.565791746</v>
      </c>
    </row>
    <row r="65" customFormat="false" ht="15" hidden="false" customHeight="false" outlineLevel="0" collapsed="false">
      <c r="A65" s="5" t="n">
        <v>1893</v>
      </c>
      <c r="B65" s="8" t="n">
        <v>0.0409999999999997</v>
      </c>
      <c r="C65" s="8" t="n">
        <v>0.0167</v>
      </c>
      <c r="D65" s="8" t="n">
        <v>0.862795428571429</v>
      </c>
      <c r="E65" s="5" t="s">
        <v>12</v>
      </c>
      <c r="F65" s="9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9" t="n">
        <f aca="false">F65*(1+H65+G65)</f>
        <v>48.0779863405715</v>
      </c>
      <c r="J65" s="6" t="n">
        <f aca="false">I65*365</f>
        <v>17548.4650143086</v>
      </c>
      <c r="K65" s="7"/>
      <c r="L65" s="5" t="n">
        <v>1893</v>
      </c>
      <c r="M65" s="6" t="n">
        <f aca="false">MAX((M64+K65-J65)*0.994,0)</f>
        <v>376606.820172773</v>
      </c>
    </row>
    <row r="66" customFormat="false" ht="15" hidden="false" customHeight="false" outlineLevel="0" collapsed="false">
      <c r="A66" s="5" t="n">
        <v>1894</v>
      </c>
      <c r="B66" s="8" t="n">
        <v>0.0409999999999997</v>
      </c>
      <c r="C66" s="8" t="n">
        <v>0.0169</v>
      </c>
      <c r="D66" s="8" t="n">
        <v>0.887035428571429</v>
      </c>
      <c r="E66" s="5" t="s">
        <v>12</v>
      </c>
      <c r="F66" s="9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9" t="n">
        <f aca="false">F66*(1+H66+G66)</f>
        <v>48.7581316388572</v>
      </c>
      <c r="J66" s="6" t="n">
        <f aca="false">I66*365</f>
        <v>17796.7180481829</v>
      </c>
      <c r="K66" s="7"/>
      <c r="L66" s="5" t="n">
        <v>1894</v>
      </c>
      <c r="M66" s="6" t="n">
        <f aca="false">MAX((M65+K66-J66)*0.994,0)</f>
        <v>356657.241511843</v>
      </c>
    </row>
    <row r="67" customFormat="false" ht="15" hidden="false" customHeight="false" outlineLevel="0" collapsed="false">
      <c r="A67" s="5" t="n">
        <v>1895</v>
      </c>
      <c r="B67" s="8" t="n">
        <v>0.0409999999999997</v>
      </c>
      <c r="C67" s="8" t="n">
        <v>0.0171</v>
      </c>
      <c r="D67" s="8" t="n">
        <v>0.911275428571429</v>
      </c>
      <c r="E67" s="5" t="s">
        <v>12</v>
      </c>
      <c r="F67" s="9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9" t="n">
        <f aca="false">F67*(1+H67+G67)</f>
        <v>49.4405587504762</v>
      </c>
      <c r="J67" s="6" t="n">
        <f aca="false">I67*365</f>
        <v>18045.8039439238</v>
      </c>
      <c r="K67" s="7" t="n">
        <v>18000</v>
      </c>
      <c r="L67" s="5" t="n">
        <v>1895</v>
      </c>
      <c r="M67" s="6" t="n">
        <f aca="false">MAX((M66+K67-J67)*0.994,0)</f>
        <v>354471.768942511</v>
      </c>
    </row>
    <row r="68" customFormat="false" ht="15" hidden="false" customHeight="false" outlineLevel="0" collapsed="false">
      <c r="A68" s="5" t="n">
        <v>1896</v>
      </c>
      <c r="B68" s="8" t="n">
        <v>0.0409999999999997</v>
      </c>
      <c r="C68" s="8" t="n">
        <v>0.0173</v>
      </c>
      <c r="D68" s="8" t="n">
        <v>0.935515428571429</v>
      </c>
      <c r="E68" s="5" t="s">
        <v>12</v>
      </c>
      <c r="F68" s="9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9" t="n">
        <f aca="false">F68*(1+H68+G68)</f>
        <v>50.0888394285714</v>
      </c>
      <c r="J68" s="6" t="n">
        <f aca="false">I68*365</f>
        <v>18282.4263914286</v>
      </c>
      <c r="K68" s="7"/>
      <c r="L68" s="5" t="n">
        <v>1896</v>
      </c>
      <c r="M68" s="6" t="n">
        <f aca="false">MAX((M67+K68-J68)*0.994,0)</f>
        <v>334172.206495776</v>
      </c>
    </row>
    <row r="69" customFormat="false" ht="15" hidden="false" customHeight="false" outlineLevel="0" collapsed="false">
      <c r="A69" s="5" t="n">
        <v>1897</v>
      </c>
      <c r="B69" s="8" t="n">
        <v>0.0409999999999997</v>
      </c>
      <c r="C69" s="8" t="n">
        <v>0.0175</v>
      </c>
      <c r="D69" s="8" t="n">
        <v>0.959755428571429</v>
      </c>
      <c r="E69" s="5" t="s">
        <v>12</v>
      </c>
      <c r="F69" s="9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9" t="n">
        <f aca="false">F69*(1+H69+G69)</f>
        <v>50.6771194285714</v>
      </c>
      <c r="J69" s="6" t="n">
        <f aca="false">I69*365</f>
        <v>18497.1485914286</v>
      </c>
      <c r="K69" s="7"/>
      <c r="L69" s="5" t="n">
        <v>1897</v>
      </c>
      <c r="M69" s="6" t="n">
        <f aca="false">MAX((M68+K69-J69)*0.994,0)</f>
        <v>313781.007556922</v>
      </c>
    </row>
    <row r="70" customFormat="false" ht="15" hidden="false" customHeight="false" outlineLevel="0" collapsed="false">
      <c r="A70" s="5" t="n">
        <v>1898</v>
      </c>
      <c r="B70" s="8" t="n">
        <v>0.0409999999999996</v>
      </c>
      <c r="C70" s="8" t="n">
        <v>0.0177</v>
      </c>
      <c r="D70" s="8" t="n">
        <v>0.983995428571429</v>
      </c>
      <c r="E70" s="5" t="s">
        <v>12</v>
      </c>
      <c r="F70" s="9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9" t="n">
        <f aca="false">F70*(1+H70+G70)</f>
        <v>51.2653994285714</v>
      </c>
      <c r="J70" s="6" t="n">
        <f aca="false">I70*365</f>
        <v>18711.8707914286</v>
      </c>
      <c r="K70" s="7" t="n">
        <v>18000</v>
      </c>
      <c r="L70" s="5" t="n">
        <v>1898</v>
      </c>
      <c r="M70" s="6" t="n">
        <f aca="false">MAX((M69+K70-J70)*0.994,0)</f>
        <v>311190.7219449</v>
      </c>
    </row>
    <row r="71" customFormat="false" ht="15" hidden="false" customHeight="false" outlineLevel="0" collapsed="false">
      <c r="A71" s="5" t="n">
        <v>1899</v>
      </c>
      <c r="B71" s="8" t="n">
        <v>0.0409999999999996</v>
      </c>
      <c r="C71" s="8" t="n">
        <v>0.0179</v>
      </c>
      <c r="D71" s="8" t="n">
        <v>1</v>
      </c>
      <c r="E71" s="5" t="s">
        <v>12</v>
      </c>
      <c r="F71" s="9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9" t="n">
        <f aca="false">F71*(1+H71+G71)</f>
        <v>51.6725</v>
      </c>
      <c r="J71" s="6" t="n">
        <f aca="false">I71*365</f>
        <v>18860.4625</v>
      </c>
      <c r="K71" s="7"/>
      <c r="L71" s="5" t="n">
        <v>1899</v>
      </c>
      <c r="M71" s="6" t="n">
        <f aca="false">MAX((M70+K71-J71)*0.994,0)</f>
        <v>290576.277888231</v>
      </c>
    </row>
    <row r="72" customFormat="false" ht="15" hidden="false" customHeight="false" outlineLevel="0" collapsed="false">
      <c r="A72" s="5" t="n">
        <v>1900</v>
      </c>
      <c r="B72" s="8" t="n">
        <v>0.0409999999999996</v>
      </c>
      <c r="C72" s="8" t="n">
        <v>0.0181</v>
      </c>
      <c r="D72" s="8" t="n">
        <v>1</v>
      </c>
      <c r="E72" s="5" t="s">
        <v>12</v>
      </c>
      <c r="F72" s="9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9" t="n">
        <f aca="false">F72*(1+H72+G72)</f>
        <v>51.7275</v>
      </c>
      <c r="J72" s="6" t="n">
        <f aca="false">I72*365</f>
        <v>18880.5375</v>
      </c>
      <c r="K72" s="7" t="n">
        <v>255600</v>
      </c>
      <c r="L72" s="5" t="n">
        <v>1900</v>
      </c>
      <c r="M72" s="6" t="n">
        <f aca="false">MAX((M71+K72-J72)*0.994,0)</f>
        <v>524131.965945901</v>
      </c>
    </row>
    <row r="73" customFormat="false" ht="15" hidden="false" customHeight="false" outlineLevel="0" collapsed="false">
      <c r="A73" s="5" t="n">
        <v>1901</v>
      </c>
      <c r="B73" s="8" t="n">
        <v>0.0409999999999996</v>
      </c>
      <c r="C73" s="8" t="n">
        <v>0.0183</v>
      </c>
      <c r="D73" s="8" t="n">
        <v>1</v>
      </c>
      <c r="E73" s="5" t="s">
        <v>12</v>
      </c>
      <c r="F73" s="9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9" t="n">
        <f aca="false">F73*(1+H73+G73)</f>
        <v>61.1975</v>
      </c>
      <c r="J73" s="6" t="n">
        <f aca="false">I73*365</f>
        <v>22337.0875</v>
      </c>
      <c r="K73" s="7"/>
      <c r="L73" s="5" t="n">
        <v>1901</v>
      </c>
      <c r="M73" s="6" t="n">
        <f aca="false">MAX((M72+K73-J73)*0.994,0)</f>
        <v>498784.109175226</v>
      </c>
    </row>
    <row r="74" customFormat="false" ht="15" hidden="false" customHeight="false" outlineLevel="0" collapsed="false">
      <c r="A74" s="5" t="n">
        <v>1902</v>
      </c>
      <c r="B74" s="8" t="n">
        <v>0.0409999999999996</v>
      </c>
      <c r="C74" s="8" t="n">
        <v>0.0185</v>
      </c>
      <c r="D74" s="8" t="n">
        <v>1</v>
      </c>
      <c r="E74" s="5" t="s">
        <v>12</v>
      </c>
      <c r="F74" s="9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9" t="n">
        <f aca="false">F74*(1+H74+G74)</f>
        <v>61.2625</v>
      </c>
      <c r="J74" s="6" t="n">
        <f aca="false">I74*365</f>
        <v>22360.8125</v>
      </c>
      <c r="K74" s="7"/>
      <c r="L74" s="5" t="n">
        <v>1902</v>
      </c>
      <c r="M74" s="6" t="n">
        <f aca="false">MAX((M73+K74-J74)*0.994,0)</f>
        <v>473564.756895175</v>
      </c>
    </row>
    <row r="75" customFormat="false" ht="15" hidden="false" customHeight="false" outlineLevel="0" collapsed="false">
      <c r="A75" s="5" t="n">
        <v>1903</v>
      </c>
      <c r="B75" s="8" t="n">
        <v>0.0409999999999996</v>
      </c>
      <c r="C75" s="8" t="n">
        <v>0.0187</v>
      </c>
      <c r="D75" s="8" t="n">
        <v>1</v>
      </c>
      <c r="E75" s="5" t="s">
        <v>12</v>
      </c>
      <c r="F75" s="9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9" t="n">
        <f aca="false">F75*(1+H75+G75)</f>
        <v>61.3275</v>
      </c>
      <c r="J75" s="6" t="n">
        <f aca="false">I75*365</f>
        <v>22384.5375</v>
      </c>
      <c r="K75" s="7"/>
      <c r="L75" s="5" t="n">
        <v>1903</v>
      </c>
      <c r="M75" s="6" t="n">
        <f aca="false">MAX((M74+K75-J75)*0.994,0)</f>
        <v>448473.138078804</v>
      </c>
    </row>
    <row r="76" customFormat="false" ht="15" hidden="false" customHeight="false" outlineLevel="0" collapsed="false">
      <c r="A76" s="5" t="n">
        <v>1904</v>
      </c>
      <c r="B76" s="8" t="n">
        <v>0.0409999999999996</v>
      </c>
      <c r="C76" s="8" t="n">
        <v>0.0189</v>
      </c>
      <c r="D76" s="8" t="n">
        <v>1</v>
      </c>
      <c r="E76" s="5" t="s">
        <v>12</v>
      </c>
      <c r="F76" s="9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9" t="n">
        <f aca="false">F76*(1+H76+G76)</f>
        <v>61.3925</v>
      </c>
      <c r="J76" s="6" t="n">
        <f aca="false">I76*365</f>
        <v>22408.2625</v>
      </c>
      <c r="K76" s="7"/>
      <c r="L76" s="5" t="n">
        <v>1904</v>
      </c>
      <c r="M76" s="6" t="n">
        <f aca="false">MAX((M75+K76-J76)*0.994,0)</f>
        <v>423508.486325331</v>
      </c>
    </row>
    <row r="77" customFormat="false" ht="15" hidden="false" customHeight="false" outlineLevel="0" collapsed="false">
      <c r="A77" s="5" t="n">
        <v>1905</v>
      </c>
      <c r="B77" s="8" t="n">
        <v>0.0409999999999996</v>
      </c>
      <c r="C77" s="8" t="n">
        <v>0.0191</v>
      </c>
      <c r="D77" s="8" t="n">
        <v>1</v>
      </c>
      <c r="E77" s="5" t="s">
        <v>12</v>
      </c>
      <c r="F77" s="9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9" t="n">
        <f aca="false">F77*(1+H77+G77)</f>
        <v>61.4575</v>
      </c>
      <c r="J77" s="6" t="n">
        <f aca="false">I77*365</f>
        <v>22431.9875</v>
      </c>
      <c r="K77" s="7" t="n">
        <v>21600</v>
      </c>
      <c r="L77" s="5" t="n">
        <v>1905</v>
      </c>
      <c r="M77" s="6" t="n">
        <f aca="false">MAX((M76+K77-J77)*0.994,0)</f>
        <v>420140.439832379</v>
      </c>
    </row>
    <row r="78" customFormat="false" ht="15" hidden="false" customHeight="false" outlineLevel="0" collapsed="false">
      <c r="A78" s="5" t="n">
        <v>1906</v>
      </c>
      <c r="B78" s="8" t="n">
        <v>0.0409999999999996</v>
      </c>
      <c r="C78" s="8" t="n">
        <v>0.0193</v>
      </c>
      <c r="D78" s="8" t="n">
        <v>1</v>
      </c>
      <c r="E78" s="5" t="s">
        <v>12</v>
      </c>
      <c r="F78" s="9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9" t="n">
        <f aca="false">F78*(1+H78+G78)</f>
        <v>61.5225</v>
      </c>
      <c r="J78" s="6" t="n">
        <f aca="false">I78*365</f>
        <v>22455.7125</v>
      </c>
      <c r="K78" s="7"/>
      <c r="L78" s="5" t="n">
        <v>1906</v>
      </c>
      <c r="M78" s="6" t="n">
        <f aca="false">MAX((M77+K78-J78)*0.994,0)</f>
        <v>395298.618968384</v>
      </c>
    </row>
    <row r="79" customFormat="false" ht="15" hidden="false" customHeight="false" outlineLevel="0" collapsed="false">
      <c r="A79" s="5" t="n">
        <v>1907</v>
      </c>
      <c r="B79" s="8" t="n">
        <v>0.0409999999999996</v>
      </c>
      <c r="C79" s="8" t="n">
        <v>0.0195</v>
      </c>
      <c r="D79" s="8" t="n">
        <v>1</v>
      </c>
      <c r="E79" s="5" t="s">
        <v>12</v>
      </c>
      <c r="F79" s="9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9" t="n">
        <f aca="false">F79*(1+H79+G79)</f>
        <v>61.5875</v>
      </c>
      <c r="J79" s="6" t="n">
        <f aca="false">I79*365</f>
        <v>22479.4375</v>
      </c>
      <c r="K79" s="7"/>
      <c r="L79" s="5" t="n">
        <v>1907</v>
      </c>
      <c r="M79" s="6" t="n">
        <f aca="false">MAX((M78+K79-J79)*0.994,0)</f>
        <v>370582.266379574</v>
      </c>
    </row>
    <row r="80" customFormat="false" ht="15" hidden="false" customHeight="false" outlineLevel="0" collapsed="false">
      <c r="A80" s="5" t="n">
        <v>1908</v>
      </c>
      <c r="B80" s="8" t="n">
        <v>0.0409999999999995</v>
      </c>
      <c r="C80" s="8" t="n">
        <v>0.0197</v>
      </c>
      <c r="D80" s="8" t="n">
        <v>1</v>
      </c>
      <c r="E80" s="5" t="s">
        <v>12</v>
      </c>
      <c r="F80" s="9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9" t="n">
        <f aca="false">F80*(1+H80+G80)</f>
        <v>61.6525</v>
      </c>
      <c r="J80" s="6" t="n">
        <f aca="false">I80*365</f>
        <v>22503.1625</v>
      </c>
      <c r="K80" s="7"/>
      <c r="L80" s="5" t="n">
        <v>1908</v>
      </c>
      <c r="M80" s="6" t="n">
        <f aca="false">MAX((M79+K80-J80)*0.994,0)</f>
        <v>345990.629256297</v>
      </c>
    </row>
    <row r="81" customFormat="false" ht="15" hidden="false" customHeight="false" outlineLevel="0" collapsed="false">
      <c r="A81" s="5" t="n">
        <v>1909</v>
      </c>
      <c r="B81" s="8" t="n">
        <v>0.0409999999999995</v>
      </c>
      <c r="C81" s="8" t="n">
        <v>0.0199</v>
      </c>
      <c r="D81" s="8" t="n">
        <v>1</v>
      </c>
      <c r="E81" s="5" t="s">
        <v>12</v>
      </c>
      <c r="F81" s="9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9" t="n">
        <f aca="false">F81*(1+H81+G81)</f>
        <v>61.7175</v>
      </c>
      <c r="J81" s="6" t="n">
        <f aca="false">I81*365</f>
        <v>22526.8875</v>
      </c>
      <c r="K81" s="7"/>
      <c r="L81" s="5" t="n">
        <v>1909</v>
      </c>
      <c r="M81" s="6" t="n">
        <f aca="false">MAX((M80+K81-J81)*0.994,0)</f>
        <v>321522.959305759</v>
      </c>
    </row>
    <row r="82" customFormat="false" ht="15" hidden="false" customHeight="false" outlineLevel="0" collapsed="false">
      <c r="A82" s="5" t="n">
        <v>1910</v>
      </c>
      <c r="B82" s="8" t="n">
        <v>0.0409999999999995</v>
      </c>
      <c r="C82" s="8" t="n">
        <v>0.0201</v>
      </c>
      <c r="D82" s="8" t="n">
        <v>1</v>
      </c>
      <c r="E82" s="5" t="s">
        <v>12</v>
      </c>
      <c r="F82" s="9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9" t="n">
        <f aca="false">F82*(1+H82+G82)</f>
        <v>61.7825</v>
      </c>
      <c r="J82" s="6" t="n">
        <f aca="false">I82*365</f>
        <v>22550.6125</v>
      </c>
      <c r="K82" s="7" t="n">
        <v>21600</v>
      </c>
      <c r="L82" s="5" t="n">
        <v>1910</v>
      </c>
      <c r="M82" s="6" t="n">
        <f aca="false">MAX((M81+K82-J82)*0.994,0)</f>
        <v>318648.912724924</v>
      </c>
    </row>
    <row r="83" customFormat="false" ht="15" hidden="false" customHeight="false" outlineLevel="0" collapsed="false">
      <c r="A83" s="5" t="n">
        <v>1911</v>
      </c>
      <c r="B83" s="8" t="n">
        <v>0.0409999999999995</v>
      </c>
      <c r="C83" s="8" t="n">
        <v>0.0203</v>
      </c>
      <c r="D83" s="8" t="n">
        <v>1</v>
      </c>
      <c r="E83" s="5" t="s">
        <v>12</v>
      </c>
      <c r="F83" s="9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9" t="n">
        <f aca="false">F83*(1+H83+G83)</f>
        <v>61.8475</v>
      </c>
      <c r="J83" s="6" t="n">
        <f aca="false">I83*365</f>
        <v>22574.3375</v>
      </c>
      <c r="K83" s="7"/>
      <c r="L83" s="5" t="n">
        <v>1911</v>
      </c>
      <c r="M83" s="6" t="n">
        <f aca="false">MAX((M82+K83-J83)*0.994,0)</f>
        <v>294298.127773575</v>
      </c>
    </row>
    <row r="84" customFormat="false" ht="15" hidden="false" customHeight="false" outlineLevel="0" collapsed="false">
      <c r="A84" s="5" t="n">
        <v>1912</v>
      </c>
      <c r="B84" s="8" t="n">
        <v>0.0409999999999995</v>
      </c>
      <c r="C84" s="8" t="n">
        <v>0.0205</v>
      </c>
      <c r="D84" s="8" t="n">
        <v>1</v>
      </c>
      <c r="E84" s="5" t="s">
        <v>12</v>
      </c>
      <c r="F84" s="9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9" t="n">
        <f aca="false">F84*(1+H84+G84)</f>
        <v>61.9125</v>
      </c>
      <c r="J84" s="6" t="n">
        <f aca="false">I84*365</f>
        <v>22598.0625</v>
      </c>
      <c r="K84" s="7"/>
      <c r="L84" s="5" t="n">
        <v>1912</v>
      </c>
      <c r="M84" s="6" t="n">
        <f aca="false">MAX((M83+K84-J84)*0.994,0)</f>
        <v>270069.864881933</v>
      </c>
    </row>
    <row r="85" customFormat="false" ht="15" hidden="false" customHeight="false" outlineLevel="0" collapsed="false">
      <c r="A85" s="5" t="n">
        <v>1913</v>
      </c>
      <c r="B85" s="8" t="n">
        <v>0.0409999999999995</v>
      </c>
      <c r="C85" s="8" t="n">
        <v>0.0207</v>
      </c>
      <c r="D85" s="8" t="n">
        <v>1</v>
      </c>
      <c r="E85" s="5" t="s">
        <v>12</v>
      </c>
      <c r="F85" s="9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9" t="n">
        <f aca="false">F85*(1+H85+G85)</f>
        <v>61.9775</v>
      </c>
      <c r="J85" s="6" t="n">
        <f aca="false">I85*365</f>
        <v>22621.7875</v>
      </c>
      <c r="K85" s="7"/>
      <c r="L85" s="5" t="n">
        <v>1913</v>
      </c>
      <c r="M85" s="6" t="n">
        <f aca="false">MAX((M84+K85-J85)*0.994,0)</f>
        <v>245963.388917642</v>
      </c>
    </row>
    <row r="86" customFormat="false" ht="15" hidden="false" customHeight="false" outlineLevel="0" collapsed="false">
      <c r="A86" s="5" t="n">
        <v>1914</v>
      </c>
      <c r="B86" s="8" t="n">
        <v>0.0409999999999995</v>
      </c>
      <c r="C86" s="8" t="n">
        <v>0.0209</v>
      </c>
      <c r="D86" s="8" t="n">
        <v>1</v>
      </c>
      <c r="E86" s="5" t="s">
        <v>12</v>
      </c>
      <c r="F86" s="9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9" t="n">
        <f aca="false">F86*(1+H86+G86)</f>
        <v>62.0425</v>
      </c>
      <c r="J86" s="6" t="n">
        <f aca="false">I86*365</f>
        <v>22645.5125</v>
      </c>
      <c r="K86" s="7" t="n">
        <v>43200</v>
      </c>
      <c r="L86" s="5" t="n">
        <v>1914</v>
      </c>
      <c r="M86" s="6" t="n">
        <f aca="false">MAX((M85+K86-J86)*0.994,0)</f>
        <v>264918.769159136</v>
      </c>
    </row>
    <row r="87" customFormat="false" ht="15" hidden="false" customHeight="false" outlineLevel="0" collapsed="false">
      <c r="A87" s="5" t="n">
        <v>1915</v>
      </c>
      <c r="B87" s="8" t="n">
        <v>0.0409999999999995</v>
      </c>
      <c r="C87" s="8" t="n">
        <v>0.0211</v>
      </c>
      <c r="D87" s="8" t="n">
        <v>1</v>
      </c>
      <c r="E87" s="5" t="s">
        <v>12</v>
      </c>
      <c r="F87" s="9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9" t="n">
        <f aca="false">F87*(1+H87+G87)</f>
        <v>62.1075</v>
      </c>
      <c r="J87" s="6" t="n">
        <f aca="false">I87*365</f>
        <v>22669.2375</v>
      </c>
      <c r="K87" s="7" t="n">
        <v>21600</v>
      </c>
      <c r="L87" s="5" t="n">
        <v>1915</v>
      </c>
      <c r="M87" s="6" t="n">
        <f aca="false">MAX((M86+K87-J87)*0.994,0)</f>
        <v>262266.434469181</v>
      </c>
    </row>
    <row r="88" customFormat="false" ht="15" hidden="false" customHeight="false" outlineLevel="0" collapsed="false">
      <c r="A88" s="5" t="n">
        <v>1916</v>
      </c>
      <c r="B88" s="8" t="n">
        <v>0.0409999999999995</v>
      </c>
      <c r="C88" s="8" t="n">
        <v>0.0213</v>
      </c>
      <c r="D88" s="8" t="n">
        <v>1</v>
      </c>
      <c r="E88" s="5" t="s">
        <v>12</v>
      </c>
      <c r="F88" s="9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9" t="n">
        <f aca="false">F88*(1+H88+G88)</f>
        <v>62.1725</v>
      </c>
      <c r="J88" s="6" t="n">
        <f aca="false">I88*365</f>
        <v>22692.9625</v>
      </c>
      <c r="K88" s="7"/>
      <c r="L88" s="5" t="n">
        <v>1916</v>
      </c>
      <c r="M88" s="6" t="n">
        <f aca="false">MAX((M87+K88-J88)*0.994,0)</f>
        <v>238136.031137366</v>
      </c>
    </row>
    <row r="89" customFormat="false" ht="15" hidden="false" customHeight="false" outlineLevel="0" collapsed="false">
      <c r="A89" s="5" t="n">
        <v>1917</v>
      </c>
      <c r="B89" s="8" t="n">
        <v>0.0409999999999995</v>
      </c>
      <c r="C89" s="8" t="n">
        <v>0.0215</v>
      </c>
      <c r="D89" s="8" t="n">
        <v>1</v>
      </c>
      <c r="E89" s="5" t="s">
        <v>12</v>
      </c>
      <c r="F89" s="9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9" t="n">
        <f aca="false">F89*(1+H89+G89)</f>
        <v>62.2375</v>
      </c>
      <c r="J89" s="6" t="n">
        <f aca="false">I89*365</f>
        <v>22716.6875</v>
      </c>
      <c r="K89" s="7"/>
      <c r="L89" s="5" t="n">
        <v>1917</v>
      </c>
      <c r="M89" s="6" t="n">
        <f aca="false">MAX((M88+K89-J89)*0.994,0)</f>
        <v>214126.827575542</v>
      </c>
    </row>
    <row r="90" customFormat="false" ht="15" hidden="false" customHeight="false" outlineLevel="0" collapsed="false">
      <c r="A90" s="5" t="n">
        <v>1918</v>
      </c>
      <c r="B90" s="8" t="n">
        <v>0.0409999999999994</v>
      </c>
      <c r="C90" s="8" t="n">
        <v>0.0217</v>
      </c>
      <c r="D90" s="8" t="n">
        <v>1</v>
      </c>
      <c r="E90" s="5" t="s">
        <v>12</v>
      </c>
      <c r="F90" s="9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9" t="n">
        <f aca="false">F90*(1+H90+G90)</f>
        <v>62.3025</v>
      </c>
      <c r="J90" s="6" t="n">
        <f aca="false">I90*365</f>
        <v>22740.4125</v>
      </c>
      <c r="K90" s="7"/>
      <c r="L90" s="5" t="n">
        <v>1918</v>
      </c>
      <c r="M90" s="6" t="n">
        <f aca="false">MAX((M89+K90-J90)*0.994,0)</f>
        <v>190238.096585089</v>
      </c>
    </row>
    <row r="91" customFormat="false" ht="15" hidden="false" customHeight="false" outlineLevel="0" collapsed="false">
      <c r="A91" s="5" t="n">
        <v>1919</v>
      </c>
      <c r="B91" s="8" t="n">
        <v>0.0409999999999994</v>
      </c>
      <c r="C91" s="8" t="n">
        <v>0.0219</v>
      </c>
      <c r="D91" s="8" t="n">
        <v>1</v>
      </c>
      <c r="E91" s="5" t="s">
        <v>12</v>
      </c>
      <c r="F91" s="9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9" t="n">
        <f aca="false">F91*(1+H91+G91)</f>
        <v>62.3675</v>
      </c>
      <c r="J91" s="6" t="n">
        <f aca="false">I91*365</f>
        <v>22764.1375</v>
      </c>
      <c r="K91" s="7" t="n">
        <v>194400</v>
      </c>
      <c r="L91" s="5" t="n">
        <v>1919</v>
      </c>
      <c r="M91" s="6" t="n">
        <f aca="false">MAX((M90+K91-J91)*0.994,0)</f>
        <v>359702.715330578</v>
      </c>
    </row>
    <row r="92" customFormat="false" ht="15" hidden="false" customHeight="false" outlineLevel="0" collapsed="false">
      <c r="A92" s="5" t="n">
        <v>1920</v>
      </c>
      <c r="B92" s="8" t="n">
        <v>0.0409999999999994</v>
      </c>
      <c r="C92" s="8" t="n">
        <v>0.0221</v>
      </c>
      <c r="D92" s="8" t="n">
        <v>1</v>
      </c>
      <c r="E92" s="5" t="s">
        <v>12</v>
      </c>
      <c r="F92" s="9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9" t="n">
        <f aca="false">F92*(1+H92+G92)</f>
        <v>62.4325</v>
      </c>
      <c r="J92" s="6" t="n">
        <f aca="false">I92*365</f>
        <v>22787.8625</v>
      </c>
      <c r="K92" s="7"/>
      <c r="L92" s="5" t="n">
        <v>1920</v>
      </c>
      <c r="M92" s="6" t="n">
        <f aca="false">MAX((M91+K92-J92)*0.994,0)</f>
        <v>334893.363713595</v>
      </c>
    </row>
    <row r="93" customFormat="false" ht="15" hidden="false" customHeight="false" outlineLevel="0" collapsed="false">
      <c r="A93" s="5" t="n">
        <v>1921</v>
      </c>
      <c r="B93" s="8" t="n">
        <v>0.0409999999999994</v>
      </c>
      <c r="C93" s="8" t="n">
        <v>0.0223</v>
      </c>
      <c r="D93" s="8" t="n">
        <v>1</v>
      </c>
      <c r="E93" s="5" t="s">
        <v>12</v>
      </c>
      <c r="F93" s="9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9" t="n">
        <f aca="false">F93*(1+H93+G93)</f>
        <v>62.4975</v>
      </c>
      <c r="J93" s="6" t="n">
        <f aca="false">I93*365</f>
        <v>22811.5875</v>
      </c>
      <c r="K93" s="7"/>
      <c r="L93" s="5" t="n">
        <v>1921</v>
      </c>
      <c r="M93" s="6" t="n">
        <f aca="false">MAX((M92+K93-J93)*0.994,0)</f>
        <v>310209.285556313</v>
      </c>
    </row>
    <row r="94" customFormat="false" ht="15" hidden="false" customHeight="false" outlineLevel="0" collapsed="false">
      <c r="A94" s="5" t="n">
        <v>1922</v>
      </c>
      <c r="B94" s="8" t="n">
        <v>0.0409999999999994</v>
      </c>
      <c r="C94" s="8" t="n">
        <v>0.0225</v>
      </c>
      <c r="D94" s="8" t="n">
        <v>1</v>
      </c>
      <c r="E94" s="5" t="s">
        <v>12</v>
      </c>
      <c r="F94" s="9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9" t="n">
        <f aca="false">F94*(1+H94+G94)</f>
        <v>62.5625</v>
      </c>
      <c r="J94" s="6" t="n">
        <f aca="false">I94*365</f>
        <v>22835.3125</v>
      </c>
      <c r="K94" s="7"/>
      <c r="L94" s="5" t="n">
        <v>1922</v>
      </c>
      <c r="M94" s="6" t="n">
        <f aca="false">MAX((M93+K94-J94)*0.994,0)</f>
        <v>285649.729217975</v>
      </c>
    </row>
    <row r="95" customFormat="false" ht="15" hidden="false" customHeight="false" outlineLevel="0" collapsed="false">
      <c r="A95" s="5" t="n">
        <v>1923</v>
      </c>
      <c r="B95" s="8" t="n">
        <v>0.0409999999999994</v>
      </c>
      <c r="C95" s="8" t="n">
        <v>0.0227</v>
      </c>
      <c r="D95" s="8" t="n">
        <v>1</v>
      </c>
      <c r="E95" s="5" t="s">
        <v>12</v>
      </c>
      <c r="F95" s="9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9" t="n">
        <f aca="false">F95*(1+H95+G95)</f>
        <v>62.6275</v>
      </c>
      <c r="J95" s="6" t="n">
        <f aca="false">I95*365</f>
        <v>22859.0375</v>
      </c>
      <c r="K95" s="7"/>
      <c r="L95" s="5" t="n">
        <v>1923</v>
      </c>
      <c r="M95" s="6" t="n">
        <f aca="false">MAX((M94+K95-J95)*0.994,0)</f>
        <v>261213.947567667</v>
      </c>
    </row>
    <row r="96" customFormat="false" ht="15" hidden="false" customHeight="false" outlineLevel="0" collapsed="false">
      <c r="A96" s="5" t="n">
        <v>1924</v>
      </c>
      <c r="B96" s="8" t="n">
        <v>0.0409999999999994</v>
      </c>
      <c r="C96" s="8" t="n">
        <v>0.0229</v>
      </c>
      <c r="D96" s="8" t="n">
        <v>1</v>
      </c>
      <c r="E96" s="5" t="s">
        <v>12</v>
      </c>
      <c r="F96" s="9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9" t="n">
        <f aca="false">F96*(1+H96+G96)</f>
        <v>62.6925</v>
      </c>
      <c r="J96" s="6" t="n">
        <f aca="false">I96*365</f>
        <v>22882.7625</v>
      </c>
      <c r="K96" s="7"/>
      <c r="L96" s="5" t="n">
        <v>1924</v>
      </c>
      <c r="M96" s="6" t="n">
        <f aca="false">MAX((M95+K96-J96)*0.994,0)</f>
        <v>236901.197957261</v>
      </c>
    </row>
    <row r="97" customFormat="false" ht="15" hidden="false" customHeight="false" outlineLevel="0" collapsed="false">
      <c r="A97" s="5" t="n">
        <v>1925</v>
      </c>
      <c r="B97" s="8" t="n">
        <v>0.0409999999999994</v>
      </c>
      <c r="C97" s="8" t="n">
        <v>0.0231</v>
      </c>
      <c r="D97" s="8" t="n">
        <v>1</v>
      </c>
      <c r="E97" s="5" t="s">
        <v>12</v>
      </c>
      <c r="F97" s="9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9" t="n">
        <f aca="false">F97*(1+H97+G97)</f>
        <v>62.7575</v>
      </c>
      <c r="J97" s="6" t="n">
        <f aca="false">I97*365</f>
        <v>22906.4875</v>
      </c>
      <c r="K97" s="7"/>
      <c r="L97" s="5" t="n">
        <v>1925</v>
      </c>
      <c r="M97" s="6" t="n">
        <f aca="false">MAX((M96+K97-J97)*0.994,0)</f>
        <v>212710.742194518</v>
      </c>
    </row>
    <row r="98" customFormat="false" ht="15" hidden="false" customHeight="false" outlineLevel="0" collapsed="false">
      <c r="A98" s="5" t="n">
        <v>1926</v>
      </c>
      <c r="B98" s="8" t="n">
        <v>0.0409999999999994</v>
      </c>
      <c r="C98" s="8" t="n">
        <v>0.0233</v>
      </c>
      <c r="D98" s="8" t="n">
        <v>1</v>
      </c>
      <c r="E98" s="5" t="s">
        <v>12</v>
      </c>
      <c r="F98" s="9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9" t="n">
        <f aca="false">F98*(1+H98+G98)</f>
        <v>62.8225</v>
      </c>
      <c r="J98" s="6" t="n">
        <f aca="false">I98*365</f>
        <v>22930.2125</v>
      </c>
      <c r="K98" s="7"/>
      <c r="L98" s="5" t="n">
        <v>1926</v>
      </c>
      <c r="M98" s="6" t="n">
        <f aca="false">MAX((M97+K98-J98)*0.994,0)</f>
        <v>188641.846516351</v>
      </c>
    </row>
    <row r="99" customFormat="false" ht="15" hidden="false" customHeight="false" outlineLevel="0" collapsed="false">
      <c r="A99" s="5" t="n">
        <v>1927</v>
      </c>
      <c r="B99" s="8" t="n">
        <v>0.0409999999999994</v>
      </c>
      <c r="C99" s="8" t="n">
        <v>0.0235</v>
      </c>
      <c r="D99" s="8" t="n">
        <v>1</v>
      </c>
      <c r="E99" s="5" t="s">
        <v>12</v>
      </c>
      <c r="F99" s="9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9" t="n">
        <f aca="false">F99*(1+H99+G99)</f>
        <v>62.8875</v>
      </c>
      <c r="J99" s="6" t="n">
        <f aca="false">I99*365</f>
        <v>22953.9375</v>
      </c>
      <c r="K99" s="7"/>
      <c r="L99" s="5" t="n">
        <v>1927</v>
      </c>
      <c r="M99" s="6" t="n">
        <f aca="false">MAX((M98+K99-J99)*0.994,0)</f>
        <v>164693.781562252</v>
      </c>
    </row>
    <row r="100" customFormat="false" ht="15" hidden="false" customHeight="false" outlineLevel="0" collapsed="false">
      <c r="A100" s="5" t="n">
        <v>1928</v>
      </c>
      <c r="B100" s="8" t="n">
        <v>0.0409999999999993</v>
      </c>
      <c r="C100" s="8" t="n">
        <v>0.0237</v>
      </c>
      <c r="D100" s="8" t="n">
        <v>1</v>
      </c>
      <c r="E100" s="5" t="s">
        <v>12</v>
      </c>
      <c r="F100" s="9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9" t="n">
        <f aca="false">F100*(1+H100+G100)</f>
        <v>62.9525</v>
      </c>
      <c r="J100" s="6" t="n">
        <f aca="false">I100*365</f>
        <v>22977.6625</v>
      </c>
      <c r="K100" s="7"/>
      <c r="L100" s="5" t="n">
        <v>1928</v>
      </c>
      <c r="M100" s="6" t="n">
        <f aca="false">MAX((M99+K100-J100)*0.994,0)</f>
        <v>140865.822347879</v>
      </c>
    </row>
    <row r="101" customFormat="false" ht="15" hidden="false" customHeight="false" outlineLevel="0" collapsed="false">
      <c r="A101" s="5" t="n">
        <v>1929</v>
      </c>
      <c r="B101" s="8" t="n">
        <v>0.0409999999999993</v>
      </c>
      <c r="C101" s="8" t="n">
        <v>0.0239</v>
      </c>
      <c r="D101" s="8" t="n">
        <v>1</v>
      </c>
      <c r="E101" s="5" t="s">
        <v>12</v>
      </c>
      <c r="F101" s="9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9" t="n">
        <f aca="false">F101*(1+H101+G101)</f>
        <v>63.0175</v>
      </c>
      <c r="J101" s="6" t="n">
        <f aca="false">I101*365</f>
        <v>23001.3875</v>
      </c>
      <c r="K101" s="7"/>
      <c r="L101" s="5" t="n">
        <v>1929</v>
      </c>
      <c r="M101" s="6" t="n">
        <f aca="false">MAX((M100+K101-J101)*0.994,0)</f>
        <v>117157.248238792</v>
      </c>
    </row>
    <row r="102" customFormat="false" ht="15" hidden="false" customHeight="false" outlineLevel="0" collapsed="false">
      <c r="A102" s="5" t="n">
        <v>1930</v>
      </c>
      <c r="B102" s="8" t="n">
        <v>0.0409999999999993</v>
      </c>
      <c r="C102" s="8" t="n">
        <v>0.0241</v>
      </c>
      <c r="D102" s="8" t="n">
        <v>1</v>
      </c>
      <c r="E102" s="5" t="s">
        <v>12</v>
      </c>
      <c r="F102" s="9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9" t="n">
        <f aca="false">F102*(1+H102+G102)</f>
        <v>63.0825</v>
      </c>
      <c r="J102" s="6" t="n">
        <f aca="false">I102*365</f>
        <v>23025.1125</v>
      </c>
      <c r="K102" s="7"/>
      <c r="L102" s="5" t="n">
        <v>1930</v>
      </c>
      <c r="M102" s="6" t="n">
        <f aca="false">MAX((M101+K102-J102)*0.994,0)</f>
        <v>93567.3429243589</v>
      </c>
    </row>
    <row r="103" customFormat="false" ht="15" hidden="false" customHeight="false" outlineLevel="0" collapsed="false">
      <c r="A103" s="5" t="n">
        <v>1931</v>
      </c>
      <c r="B103" s="8" t="n">
        <v>0.0409999999999993</v>
      </c>
      <c r="C103" s="8" t="n">
        <v>0.0243</v>
      </c>
      <c r="D103" s="8" t="n">
        <v>1</v>
      </c>
      <c r="E103" s="5" t="s">
        <v>12</v>
      </c>
      <c r="F103" s="9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9" t="n">
        <f aca="false">F103*(1+H103+G103)</f>
        <v>63.1475</v>
      </c>
      <c r="J103" s="6" t="n">
        <f aca="false">I103*365</f>
        <v>23048.8375</v>
      </c>
      <c r="K103" s="7"/>
      <c r="L103" s="5" t="n">
        <v>1931</v>
      </c>
      <c r="M103" s="6" t="n">
        <f aca="false">MAX((M102+K103-J103)*0.994,0)</f>
        <v>70095.3943918127</v>
      </c>
    </row>
    <row r="104" customFormat="false" ht="15" hidden="false" customHeight="false" outlineLevel="0" collapsed="false">
      <c r="A104" s="5" t="n">
        <v>1932</v>
      </c>
      <c r="B104" s="8" t="n">
        <v>0.0409999999999993</v>
      </c>
      <c r="C104" s="8" t="n">
        <v>0.0245</v>
      </c>
      <c r="D104" s="8" t="n">
        <v>1</v>
      </c>
      <c r="E104" s="5" t="s">
        <v>12</v>
      </c>
      <c r="F104" s="9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9" t="n">
        <f aca="false">F104*(1+H104+G104)</f>
        <v>63.2125</v>
      </c>
      <c r="J104" s="6" t="n">
        <f aca="false">I104*365</f>
        <v>23072.5625</v>
      </c>
      <c r="K104" s="7"/>
      <c r="L104" s="5" t="n">
        <v>1932</v>
      </c>
      <c r="M104" s="6" t="n">
        <f aca="false">MAX((M103+K104-J104)*0.994,0)</f>
        <v>46740.6949004618</v>
      </c>
    </row>
    <row r="105" customFormat="false" ht="15" hidden="false" customHeight="false" outlineLevel="0" collapsed="false">
      <c r="A105" s="5" t="n">
        <v>1933</v>
      </c>
      <c r="B105" s="8" t="n">
        <v>0.0409999999999993</v>
      </c>
      <c r="C105" s="8" t="n">
        <v>0.0247</v>
      </c>
      <c r="D105" s="8" t="n">
        <v>1</v>
      </c>
      <c r="E105" s="5" t="s">
        <v>12</v>
      </c>
      <c r="F105" s="9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9" t="n">
        <f aca="false">F105*(1+H105+G105)</f>
        <v>63.2775</v>
      </c>
      <c r="J105" s="6" t="n">
        <f aca="false">I105*365</f>
        <v>23096.2875</v>
      </c>
      <c r="K105" s="7"/>
      <c r="L105" s="5" t="n">
        <v>1933</v>
      </c>
      <c r="M105" s="6" t="n">
        <f aca="false">MAX((M104+K105-J105)*0.994,0)</f>
        <v>23502.5409560591</v>
      </c>
    </row>
    <row r="106" customFormat="false" ht="15" hidden="false" customHeight="false" outlineLevel="0" collapsed="false">
      <c r="A106" s="5" t="n">
        <v>1934</v>
      </c>
      <c r="B106" s="8" t="n">
        <v>0.0409999999999993</v>
      </c>
      <c r="C106" s="8" t="n">
        <v>0.0249</v>
      </c>
      <c r="D106" s="8" t="n">
        <v>1</v>
      </c>
      <c r="E106" s="5" t="s">
        <v>12</v>
      </c>
      <c r="F106" s="9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9" t="n">
        <f aca="false">F106*(1+H106+G106)</f>
        <v>63.3425</v>
      </c>
      <c r="J106" s="6" t="n">
        <f aca="false">I106*365</f>
        <v>23120.0125</v>
      </c>
      <c r="K106" s="7"/>
      <c r="L106" s="5" t="n">
        <v>1934</v>
      </c>
      <c r="M106" s="6" t="n">
        <f aca="false">MAX((M105+K106-J106)*0.994,0)</f>
        <v>380.233285322701</v>
      </c>
    </row>
    <row r="107" customFormat="false" ht="15" hidden="false" customHeight="false" outlineLevel="0" collapsed="false">
      <c r="A107" s="5" t="n">
        <v>1935</v>
      </c>
      <c r="B107" s="8" t="n">
        <v>0.0409999999999993</v>
      </c>
      <c r="C107" s="8" t="n">
        <v>0.0251</v>
      </c>
      <c r="D107" s="8" t="n">
        <v>1</v>
      </c>
      <c r="E107" s="5" t="s">
        <v>12</v>
      </c>
      <c r="F107" s="9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9" t="n">
        <f aca="false">F107*(1+H107+G107)</f>
        <v>63.4075</v>
      </c>
      <c r="J107" s="6" t="n">
        <f aca="false">I107*365</f>
        <v>23143.7375</v>
      </c>
      <c r="K107" s="7"/>
      <c r="L107" s="5" t="n">
        <v>1935</v>
      </c>
      <c r="M107" s="6" t="n">
        <f aca="false">MAX((M106+K107-J107)*0.994,0)</f>
        <v>0</v>
      </c>
    </row>
    <row r="108" customFormat="false" ht="15" hidden="false" customHeight="false" outlineLevel="0" collapsed="false">
      <c r="A108" s="5" t="n">
        <v>1936</v>
      </c>
      <c r="B108" s="8" t="n">
        <v>0.0409999999999993</v>
      </c>
      <c r="C108" s="8" t="n">
        <v>0.0253</v>
      </c>
      <c r="D108" s="8" t="n">
        <v>1</v>
      </c>
      <c r="E108" s="5" t="s">
        <v>12</v>
      </c>
      <c r="F108" s="9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9" t="n">
        <f aca="false">F108*(1+H108+G108)</f>
        <v>63.4725</v>
      </c>
      <c r="J108" s="6" t="n">
        <f aca="false">I108*365</f>
        <v>23167.4625</v>
      </c>
      <c r="K108" s="7"/>
      <c r="L108" s="5" t="n">
        <v>1936</v>
      </c>
      <c r="M108" s="6" t="n">
        <f aca="false">MAX((M107+K108-J108)*0.994,0)</f>
        <v>0</v>
      </c>
    </row>
    <row r="109" customFormat="false" ht="15" hidden="false" customHeight="false" outlineLevel="0" collapsed="false">
      <c r="G109" s="10"/>
      <c r="I109" s="9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40" zoomScaleNormal="140" zoomScalePageLayoutView="100" workbookViewId="0">
      <selection pane="topLeft" activeCell="F34" activeCellId="0" sqref="F34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4" width="17.42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7"/>
    <col collapsed="false" customWidth="false" hidden="false" outlineLevel="0" max="7" min="7" style="1" width="8.85"/>
    <col collapsed="false" customWidth="true" hidden="false" outlineLevel="0" max="8" min="8" style="1" width="7"/>
    <col collapsed="false" customWidth="true" hidden="false" outlineLevel="0" max="9" min="9" style="1" width="24.57"/>
    <col collapsed="false" customWidth="false" hidden="false" outlineLevel="0" max="16384" min="10" style="1" width="8.85"/>
  </cols>
  <sheetData>
    <row r="1" customFormat="false" ht="15" hidden="false" customHeight="false" outlineLevel="0" collapsed="false">
      <c r="A1" s="5" t="s">
        <v>0</v>
      </c>
      <c r="B1" s="7" t="s">
        <v>13</v>
      </c>
      <c r="D1" s="5" t="s">
        <v>14</v>
      </c>
      <c r="E1" s="5" t="s">
        <v>15</v>
      </c>
      <c r="F1" s="5" t="s">
        <v>16</v>
      </c>
      <c r="H1" s="5" t="s">
        <v>0</v>
      </c>
      <c r="I1" s="5" t="s">
        <v>17</v>
      </c>
    </row>
    <row r="2" customFormat="false" ht="15" hidden="false" customHeight="false" outlineLevel="0" collapsed="false">
      <c r="A2" s="5" t="n">
        <v>1830</v>
      </c>
      <c r="B2" s="7" t="n">
        <f aca="false">$I$2*(1-(A2-1830)*2/300)</f>
        <v>244800</v>
      </c>
      <c r="D2" s="5" t="s">
        <v>18</v>
      </c>
      <c r="E2" s="6" t="s">
        <v>19</v>
      </c>
      <c r="F2" s="6" t="n">
        <v>90000</v>
      </c>
      <c r="H2" s="11" t="n">
        <v>1830</v>
      </c>
      <c r="I2" s="6" t="n">
        <f aca="false">IF(H23="Yes",SUM(F2,F3,F4),SUM(F3,F4))</f>
        <v>244800</v>
      </c>
    </row>
    <row r="3" customFormat="false" ht="15" hidden="false" customHeight="false" outlineLevel="0" collapsed="false">
      <c r="A3" s="5" t="n">
        <v>1831</v>
      </c>
      <c r="B3" s="7" t="n">
        <f aca="false">$I$2*(1-(A3-1830)*2/300)</f>
        <v>243168</v>
      </c>
      <c r="D3" s="5" t="s">
        <v>20</v>
      </c>
      <c r="E3" s="6" t="s">
        <v>21</v>
      </c>
      <c r="F3" s="6" t="n">
        <v>158400</v>
      </c>
      <c r="H3" s="11" t="n">
        <v>1840</v>
      </c>
      <c r="I3" s="6" t="n">
        <f aca="false">SUM(F5,F6)</f>
        <v>32400</v>
      </c>
    </row>
    <row r="4" customFormat="false" ht="15" hidden="false" customHeight="false" outlineLevel="0" collapsed="false">
      <c r="A4" s="5" t="n">
        <v>1832</v>
      </c>
      <c r="B4" s="7" t="n">
        <f aca="false">$I$2*(1-(A4-1830)*2/300)</f>
        <v>241536</v>
      </c>
      <c r="D4" s="5" t="s">
        <v>22</v>
      </c>
      <c r="E4" s="6" t="s">
        <v>23</v>
      </c>
      <c r="F4" s="6" t="n">
        <v>86400</v>
      </c>
      <c r="H4" s="11" t="n">
        <v>1848</v>
      </c>
      <c r="I4" s="6" t="n">
        <f aca="false">SUM(F7)</f>
        <v>10800</v>
      </c>
    </row>
    <row r="5" customFormat="false" ht="15" hidden="false" customHeight="false" outlineLevel="0" collapsed="false">
      <c r="A5" s="5" t="n">
        <v>1833</v>
      </c>
      <c r="B5" s="7" t="n">
        <f aca="false">$I$2*(1-(A5-1830)*2/300)</f>
        <v>239904</v>
      </c>
      <c r="D5" s="5" t="s">
        <v>24</v>
      </c>
      <c r="E5" s="6" t="s">
        <v>25</v>
      </c>
      <c r="F5" s="6" t="n">
        <v>21600</v>
      </c>
      <c r="H5" s="11" t="n">
        <v>1850</v>
      </c>
      <c r="I5" s="6" t="n">
        <f aca="false">SUM(F8,F9)</f>
        <v>259200</v>
      </c>
    </row>
    <row r="6" customFormat="false" ht="15" hidden="false" customHeight="false" outlineLevel="0" collapsed="false">
      <c r="A6" s="5" t="n">
        <v>1834</v>
      </c>
      <c r="B6" s="7" t="n">
        <f aca="false">$I$2*(1-(A6-1830)*2/300)</f>
        <v>238272</v>
      </c>
      <c r="D6" s="5" t="s">
        <v>26</v>
      </c>
      <c r="E6" s="6" t="s">
        <v>27</v>
      </c>
      <c r="F6" s="6" t="n">
        <v>10800</v>
      </c>
      <c r="H6" s="11" t="n">
        <v>1855</v>
      </c>
      <c r="I6" s="6" t="n">
        <f aca="false">SUM(F10)</f>
        <v>21600</v>
      </c>
    </row>
    <row r="7" customFormat="false" ht="15" hidden="false" customHeight="false" outlineLevel="0" collapsed="false">
      <c r="A7" s="5" t="n">
        <v>1835</v>
      </c>
      <c r="B7" s="7" t="n">
        <f aca="false">$I$2*(1-(A7-1830)*2/300)</f>
        <v>236640</v>
      </c>
      <c r="D7" s="5" t="s">
        <v>28</v>
      </c>
      <c r="E7" s="6" t="s">
        <v>27</v>
      </c>
      <c r="F7" s="6" t="n">
        <v>10800</v>
      </c>
      <c r="H7" s="11" t="n">
        <v>1860</v>
      </c>
      <c r="I7" s="6" t="n">
        <f aca="false">SUM(F11)</f>
        <v>10800</v>
      </c>
    </row>
    <row r="8" customFormat="false" ht="15" hidden="false" customHeight="false" outlineLevel="0" collapsed="false">
      <c r="A8" s="5" t="n">
        <v>1836</v>
      </c>
      <c r="B8" s="7" t="n">
        <f aca="false">$I$2*(1-(A8-1830)*2/300)</f>
        <v>235008</v>
      </c>
      <c r="D8" s="5" t="s">
        <v>29</v>
      </c>
      <c r="E8" s="6" t="s">
        <v>30</v>
      </c>
      <c r="F8" s="6" t="n">
        <v>129600</v>
      </c>
      <c r="H8" s="11" t="n">
        <v>1870</v>
      </c>
      <c r="I8" s="6" t="n">
        <f aca="false">SUM(F12,F13)</f>
        <v>331200</v>
      </c>
    </row>
    <row r="9" customFormat="false" ht="15" hidden="false" customHeight="false" outlineLevel="0" collapsed="false">
      <c r="A9" s="5" t="n">
        <v>1837</v>
      </c>
      <c r="B9" s="7" t="n">
        <f aca="false">$I$2*(1-(A9-1830)*2/300)</f>
        <v>233376</v>
      </c>
      <c r="D9" s="5" t="s">
        <v>31</v>
      </c>
      <c r="E9" s="6" t="s">
        <v>32</v>
      </c>
      <c r="F9" s="6" t="n">
        <v>129600</v>
      </c>
      <c r="H9" s="11" t="n">
        <v>1872</v>
      </c>
      <c r="I9" s="6" t="n">
        <f aca="false">SUM(F14)</f>
        <v>14400</v>
      </c>
    </row>
    <row r="10" customFormat="false" ht="15" hidden="false" customHeight="false" outlineLevel="0" collapsed="false">
      <c r="A10" s="5" t="n">
        <v>1838</v>
      </c>
      <c r="B10" s="7" t="n">
        <f aca="false">$I$2*(1-(A10-1830)*2/300)</f>
        <v>231744</v>
      </c>
      <c r="D10" s="5" t="s">
        <v>33</v>
      </c>
      <c r="E10" s="6" t="s">
        <v>34</v>
      </c>
      <c r="F10" s="6" t="n">
        <v>21600</v>
      </c>
      <c r="H10" s="11" t="n">
        <v>1875</v>
      </c>
      <c r="I10" s="6" t="n">
        <f aca="false">SUM(F15)</f>
        <v>14400</v>
      </c>
    </row>
    <row r="11" customFormat="false" ht="15" hidden="false" customHeight="false" outlineLevel="0" collapsed="false">
      <c r="A11" s="5" t="n">
        <v>1839</v>
      </c>
      <c r="B11" s="7" t="n">
        <f aca="false">$I$2*(1-(A11-1830)*2/300)</f>
        <v>230112</v>
      </c>
      <c r="D11" s="5" t="s">
        <v>35</v>
      </c>
      <c r="E11" s="6" t="s">
        <v>27</v>
      </c>
      <c r="F11" s="6" t="n">
        <v>10800</v>
      </c>
      <c r="H11" s="11" t="n">
        <v>1880</v>
      </c>
      <c r="I11" s="6" t="n">
        <f aca="false">SUM(F16,F17)</f>
        <v>50400</v>
      </c>
    </row>
    <row r="12" customFormat="false" ht="15" hidden="false" customHeight="false" outlineLevel="0" collapsed="false">
      <c r="A12" s="5" t="n">
        <v>1840</v>
      </c>
      <c r="B12" s="7" t="n">
        <f aca="false">$I$2*(1-(A12-1830)*2/300)+$I$3*(1-(A12-1840)*2/300)</f>
        <v>260880</v>
      </c>
      <c r="D12" s="5" t="s">
        <v>36</v>
      </c>
      <c r="E12" s="6" t="s">
        <v>37</v>
      </c>
      <c r="F12" s="6" t="n">
        <v>187200</v>
      </c>
      <c r="H12" s="11" t="n">
        <v>1890</v>
      </c>
      <c r="I12" s="6" t="n">
        <f aca="false">SUM(F18)</f>
        <v>54000</v>
      </c>
    </row>
    <row r="13" customFormat="false" ht="15" hidden="false" customHeight="false" outlineLevel="0" collapsed="false">
      <c r="A13" s="5" t="n">
        <v>1841</v>
      </c>
      <c r="B13" s="7" t="n">
        <f aca="false">$I$2*(1-(A13-1830)*2/300)+$I$3*(1-(A13-1840)*2/300)</f>
        <v>259032</v>
      </c>
      <c r="D13" s="5" t="s">
        <v>38</v>
      </c>
      <c r="E13" s="6" t="s">
        <v>39</v>
      </c>
      <c r="F13" s="6" t="n">
        <v>144000</v>
      </c>
      <c r="H13" s="11" t="n">
        <v>1895</v>
      </c>
      <c r="I13" s="6" t="n">
        <f aca="false">SUM(F19)</f>
        <v>18000</v>
      </c>
    </row>
    <row r="14" customFormat="false" ht="15" hidden="false" customHeight="false" outlineLevel="0" collapsed="false">
      <c r="A14" s="5" t="n">
        <v>1842</v>
      </c>
      <c r="B14" s="7" t="n">
        <f aca="false">$I$2*(1-(A14-1830)*2/300)+$I$3*(1-(A14-1840)*2/300)</f>
        <v>257184</v>
      </c>
      <c r="D14" s="5" t="s">
        <v>40</v>
      </c>
      <c r="E14" s="6" t="s">
        <v>41</v>
      </c>
      <c r="F14" s="6" t="n">
        <v>14400</v>
      </c>
      <c r="H14" s="11" t="n">
        <v>1898</v>
      </c>
      <c r="I14" s="6" t="n">
        <f aca="false">SUM(F20)</f>
        <v>18000</v>
      </c>
    </row>
    <row r="15" customFormat="false" ht="15" hidden="false" customHeight="false" outlineLevel="0" collapsed="false">
      <c r="A15" s="5" t="n">
        <v>1843</v>
      </c>
      <c r="B15" s="7" t="n">
        <f aca="false">$I$2*(1-(A15-1830)*2/300)+$I$3*(1-(A15-1840)*2/300)</f>
        <v>255336</v>
      </c>
      <c r="D15" s="5" t="s">
        <v>42</v>
      </c>
      <c r="E15" s="6" t="s">
        <v>41</v>
      </c>
      <c r="F15" s="6" t="n">
        <v>14400</v>
      </c>
      <c r="H15" s="11" t="n">
        <v>1900</v>
      </c>
      <c r="I15" s="6" t="n">
        <f aca="false">SUM(F21,F22)</f>
        <v>255600</v>
      </c>
    </row>
    <row r="16" customFormat="false" ht="15" hidden="false" customHeight="false" outlineLevel="0" collapsed="false">
      <c r="A16" s="5" t="n">
        <v>1844</v>
      </c>
      <c r="B16" s="7" t="n">
        <f aca="false">$I$2*(1-(A16-1830)*2/300)+$I$3*(1-(A16-1840)*2/300)</f>
        <v>253488</v>
      </c>
      <c r="D16" s="5" t="s">
        <v>43</v>
      </c>
      <c r="E16" s="6" t="s">
        <v>41</v>
      </c>
      <c r="F16" s="6" t="n">
        <v>14400</v>
      </c>
      <c r="H16" s="11" t="n">
        <v>1905</v>
      </c>
      <c r="I16" s="6" t="n">
        <f aca="false">SUM(F23)</f>
        <v>21600</v>
      </c>
    </row>
    <row r="17" customFormat="false" ht="15" hidden="false" customHeight="false" outlineLevel="0" collapsed="false">
      <c r="A17" s="5" t="n">
        <v>1845</v>
      </c>
      <c r="B17" s="7" t="n">
        <f aca="false">$I$2*(1-(A17-1830)*2/300)+$I$3*(1-(A17-1840)*2/300)</f>
        <v>251640</v>
      </c>
      <c r="D17" s="5" t="s">
        <v>44</v>
      </c>
      <c r="E17" s="6" t="s">
        <v>45</v>
      </c>
      <c r="F17" s="6" t="n">
        <v>36000</v>
      </c>
      <c r="H17" s="11" t="n">
        <v>1910</v>
      </c>
      <c r="I17" s="6" t="n">
        <f aca="false">SUM(F24)</f>
        <v>21600</v>
      </c>
    </row>
    <row r="18" customFormat="false" ht="15" hidden="false" customHeight="false" outlineLevel="0" collapsed="false">
      <c r="A18" s="5" t="n">
        <v>1846</v>
      </c>
      <c r="B18" s="7" t="n">
        <f aca="false">$I$2*(1-(A18-1830)*2/300)+$I$3*(1-(A18-1840)*2/300)</f>
        <v>249792</v>
      </c>
      <c r="D18" s="5" t="s">
        <v>46</v>
      </c>
      <c r="E18" s="6" t="s">
        <v>47</v>
      </c>
      <c r="F18" s="6" t="n">
        <v>54000</v>
      </c>
      <c r="H18" s="11" t="n">
        <v>1914</v>
      </c>
      <c r="I18" s="6" t="n">
        <f aca="false">SUM(F25)</f>
        <v>43200</v>
      </c>
    </row>
    <row r="19" customFormat="false" ht="15" hidden="false" customHeight="false" outlineLevel="0" collapsed="false">
      <c r="A19" s="5" t="n">
        <v>1847</v>
      </c>
      <c r="B19" s="7" t="n">
        <f aca="false">$I$2*(1-(A19-1830)*2/300)+$I$3*(1-(A19-1840)*2/300)</f>
        <v>247944</v>
      </c>
      <c r="D19" s="5" t="s">
        <v>48</v>
      </c>
      <c r="E19" s="5" t="s">
        <v>49</v>
      </c>
      <c r="F19" s="6" t="n">
        <v>18000</v>
      </c>
      <c r="H19" s="11" t="n">
        <v>1915</v>
      </c>
      <c r="I19" s="6" t="n">
        <f aca="false">SUM(F26)</f>
        <v>21600</v>
      </c>
    </row>
    <row r="20" customFormat="false" ht="15" hidden="false" customHeight="false" outlineLevel="0" collapsed="false">
      <c r="A20" s="5" t="n">
        <v>1848</v>
      </c>
      <c r="B20" s="7" t="n">
        <f aca="false">$I$2*(1-(A20-1830)*2/300)+$I$3*(1-(A20-1840)*2/300)+$I$4*(1-(A20-1848)*2/300)</f>
        <v>256896</v>
      </c>
      <c r="D20" s="5" t="s">
        <v>50</v>
      </c>
      <c r="E20" s="5" t="s">
        <v>49</v>
      </c>
      <c r="F20" s="6" t="n">
        <v>18000</v>
      </c>
      <c r="H20" s="11" t="n">
        <v>1919</v>
      </c>
      <c r="I20" s="6" t="n">
        <f aca="false">SUM(F27)</f>
        <v>194400</v>
      </c>
    </row>
    <row r="21" customFormat="false" ht="15" hidden="false" customHeight="false" outlineLevel="0" collapsed="false">
      <c r="A21" s="5" t="n">
        <v>1849</v>
      </c>
      <c r="B21" s="7" t="n">
        <f aca="false">$I$2*(1-(A21-1830)*2/300)+$I$3*(1-(A21-1840)*2/300)+$I$4*(1-(A21-1848)*2/300)</f>
        <v>254976</v>
      </c>
      <c r="D21" s="5" t="s">
        <v>51</v>
      </c>
      <c r="E21" s="6" t="s">
        <v>52</v>
      </c>
      <c r="F21" s="6" t="n">
        <v>18000</v>
      </c>
      <c r="H21" s="5" t="s">
        <v>53</v>
      </c>
      <c r="I21" s="6" t="n">
        <f aca="false">SUM(I2:I20)</f>
        <v>1638000</v>
      </c>
    </row>
    <row r="22" customFormat="false" ht="15" hidden="false" customHeight="false" outlineLevel="0" collapsed="false">
      <c r="A22" s="5" t="n">
        <v>1850</v>
      </c>
      <c r="B22" s="7" t="n">
        <f aca="false">$I$2*(1-(A22-1830)*2/300)+$I$3*(1-(A22-1840)*2/300)+$I$4*(1-(A22-1848)*2/300)+$I$5*(1-(A22-1850)*2/300)</f>
        <v>512256</v>
      </c>
      <c r="D22" s="5" t="s">
        <v>54</v>
      </c>
      <c r="E22" s="6" t="s">
        <v>55</v>
      </c>
      <c r="F22" s="6" t="n">
        <v>237600</v>
      </c>
    </row>
    <row r="23" customFormat="false" ht="15" hidden="false" customHeight="false" outlineLevel="0" collapsed="false">
      <c r="A23" s="5" t="n">
        <v>1851</v>
      </c>
      <c r="B23" s="7" t="n">
        <f aca="false">$I$2*(1-(A23-1830)*2/300)+$I$3*(1-(A23-1840)*2/300)+$I$4*(1-(A23-1848)*2/300)+$I$5*(1-(A23-1850)*2/300)</f>
        <v>508608</v>
      </c>
      <c r="D23" s="5" t="s">
        <v>56</v>
      </c>
      <c r="E23" s="6" t="s">
        <v>57</v>
      </c>
      <c r="F23" s="6" t="n">
        <v>21600</v>
      </c>
      <c r="H23" s="1" t="s">
        <v>58</v>
      </c>
      <c r="I23" s="1" t="s">
        <v>59</v>
      </c>
    </row>
    <row r="24" customFormat="false" ht="15" hidden="false" customHeight="false" outlineLevel="0" collapsed="false">
      <c r="A24" s="5" t="n">
        <v>1852</v>
      </c>
      <c r="B24" s="7" t="n">
        <f aca="false">$I$2*(1-(A24-1830)*2/300)+$I$3*(1-(A24-1840)*2/300)+$I$4*(1-(A24-1848)*2/300)+$I$5*(1-(A24-1850)*2/300)</f>
        <v>504960</v>
      </c>
      <c r="D24" s="5" t="s">
        <v>60</v>
      </c>
      <c r="E24" s="6" t="s">
        <v>57</v>
      </c>
      <c r="F24" s="6" t="n">
        <v>21600</v>
      </c>
    </row>
    <row r="25" customFormat="false" ht="15" hidden="false" customHeight="false" outlineLevel="0" collapsed="false">
      <c r="A25" s="5" t="n">
        <v>1853</v>
      </c>
      <c r="B25" s="7" t="n">
        <f aca="false">$I$2*(1-(A25-1830)*2/300)+$I$3*(1-(A25-1840)*2/300)+$I$4*(1-(A25-1848)*2/300)+$I$5*(1-(A25-1850)*2/300)</f>
        <v>501312</v>
      </c>
      <c r="D25" s="5" t="s">
        <v>61</v>
      </c>
      <c r="E25" s="6" t="s">
        <v>62</v>
      </c>
      <c r="F25" s="6" t="n">
        <v>43200</v>
      </c>
    </row>
    <row r="26" customFormat="false" ht="15" hidden="false" customHeight="false" outlineLevel="0" collapsed="false">
      <c r="A26" s="5" t="n">
        <v>1854</v>
      </c>
      <c r="B26" s="7" t="n">
        <f aca="false">$I$2*(1-(A26-1830)*2/300)+$I$3*(1-(A26-1840)*2/300)+$I$4*(1-(A26-1848)*2/300)+$I$5*(1-(A26-1850)*2/300)</f>
        <v>497664</v>
      </c>
      <c r="D26" s="5" t="s">
        <v>63</v>
      </c>
      <c r="E26" s="6" t="s">
        <v>57</v>
      </c>
      <c r="F26" s="6" t="n">
        <v>21600</v>
      </c>
    </row>
    <row r="27" customFormat="false" ht="15" hidden="false" customHeight="false" outlineLevel="0" collapsed="false">
      <c r="A27" s="5" t="n">
        <v>1855</v>
      </c>
      <c r="B27" s="7" t="n">
        <f aca="false">$I$2*(1-(A27-1830)*2/300)+$I$3*(1-(A27-1840)*2/300)+$I$4*(1-(A27-1848)*2/300)+$I$5*(1-(A27-1850)*2/300)+$I$6*(1-(A27-1855)*2/300)</f>
        <v>515616</v>
      </c>
      <c r="D27" s="5" t="s">
        <v>64</v>
      </c>
      <c r="E27" s="6" t="s">
        <v>65</v>
      </c>
      <c r="F27" s="6" t="n">
        <v>194400</v>
      </c>
    </row>
    <row r="28" customFormat="false" ht="15" hidden="false" customHeight="false" outlineLevel="0" collapsed="false">
      <c r="A28" s="5" t="n">
        <v>1856</v>
      </c>
      <c r="B28" s="7" t="n">
        <f aca="false">$I$2*(1-(A28-1830)*2/300)+$I$3*(1-(A28-1840)*2/300)+$I$4*(1-(A28-1848)*2/300)+$I$5*(1-(A28-1850)*2/300)+$I$6*(1-(A28-1855)*2/300)</f>
        <v>511824</v>
      </c>
    </row>
    <row r="29" customFormat="false" ht="15" hidden="false" customHeight="false" outlineLevel="0" collapsed="false">
      <c r="A29" s="5" t="n">
        <v>1857</v>
      </c>
      <c r="B29" s="7" t="n">
        <f aca="false">$I$2*(1-(A29-1830)*2/300)+$I$3*(1-(A29-1840)*2/300)+$I$4*(1-(A29-1848)*2/300)+$I$5*(1-(A29-1850)*2/300)+$I$6*(1-(A29-1855)*2/300)</f>
        <v>508032</v>
      </c>
    </row>
    <row r="30" customFormat="false" ht="15" hidden="false" customHeight="false" outlineLevel="0" collapsed="false">
      <c r="A30" s="5" t="n">
        <v>1858</v>
      </c>
      <c r="B30" s="7" t="n">
        <f aca="false">$I$2*(1-(A30-1830)*2/300)+$I$3*(1-(A30-1840)*2/300)+$I$4*(1-(A30-1848)*2/300)+$I$5*(1-(A30-1850)*2/300)+$I$6*(1-(A30-1855)*2/300)</f>
        <v>504240</v>
      </c>
    </row>
    <row r="31" customFormat="false" ht="15" hidden="false" customHeight="false" outlineLevel="0" collapsed="false">
      <c r="A31" s="5" t="n">
        <v>1859</v>
      </c>
      <c r="B31" s="7" t="n">
        <f aca="false">$I$2*(1-(A31-1830)*2/300)+$I$3*(1-(A31-1840)*2/300)+$I$4*(1-(A31-1848)*2/300)+$I$5*(1-(A31-1850)*2/300)+$I$6*(1-(A31-1855)*2/300)</f>
        <v>500448</v>
      </c>
    </row>
    <row r="32" customFormat="false" ht="15" hidden="false" customHeight="false" outlineLevel="0" collapsed="false">
      <c r="A32" s="5" t="n">
        <v>1860</v>
      </c>
      <c r="B32" s="7" t="n">
        <f aca="false">$I$2*(1-(A32-1830)*2/300)+$I$3*(1-(A32-1840)*2/300)+$I$4*(1-(A32-1848)*2/300)+$I$5*(1-(A32-1850)*2/300)+$I$6*(1-(A32-1855)*2/300)+$I$2*(1-(A32-1860)*2/300)</f>
        <v>741456</v>
      </c>
    </row>
    <row r="33" customFormat="false" ht="15" hidden="false" customHeight="false" outlineLevel="0" collapsed="false">
      <c r="A33" s="5" t="n">
        <v>1861</v>
      </c>
      <c r="B33" s="7" t="n">
        <f aca="false">$I$2*(1-(A33-1830)*2/300)+$I$3*(1-(A33-1840)*2/300)+$I$4*(1-(A33-1848)*2/300)+$I$5*(1-(A33-1850)*2/300)+$I$6*(1-(A33-1855)*2/300)+$I$2*(1-(A33-1860)*2/300)</f>
        <v>736032</v>
      </c>
    </row>
    <row r="34" customFormat="false" ht="15" hidden="false" customHeight="false" outlineLevel="0" collapsed="false">
      <c r="A34" s="5" t="n">
        <v>1862</v>
      </c>
      <c r="B34" s="7" t="n">
        <f aca="false">$I$2*(1-(A34-1830)*2/300)+$I$3*(1-(A34-1840)*2/300)+$I$4*(1-(A34-1848)*2/300)+$I$5*(1-(A34-1850)*2/300)+$I$6*(1-(A34-1855)*2/300)+$I$2*(1-(A34-1860)*2/300)</f>
        <v>730608</v>
      </c>
    </row>
    <row r="35" customFormat="false" ht="15" hidden="false" customHeight="false" outlineLevel="0" collapsed="false">
      <c r="A35" s="5" t="n">
        <v>1863</v>
      </c>
      <c r="B35" s="7" t="n">
        <f aca="false">$I$2*(1-(A35-1830)*2/300)+$I$3*(1-(A35-1840)*2/300)+$I$4*(1-(A35-1848)*2/300)+$I$5*(1-(A35-1850)*2/300)+$I$6*(1-(A35-1855)*2/300)+$I$2*(1-(A35-1860)*2/300)</f>
        <v>725184</v>
      </c>
    </row>
    <row r="36" customFormat="false" ht="15" hidden="false" customHeight="false" outlineLevel="0" collapsed="false">
      <c r="A36" s="5" t="n">
        <v>1864</v>
      </c>
      <c r="B36" s="7" t="n">
        <f aca="false">$I$2*(1-(A36-1830)*2/300)+$I$3*(1-(A36-1840)*2/300)+$I$4*(1-(A36-1848)*2/300)+$I$5*(1-(A36-1850)*2/300)+$I$6*(1-(A36-1855)*2/300)+$I$2*(1-(A36-1860)*2/300)</f>
        <v>719760</v>
      </c>
    </row>
    <row r="37" customFormat="false" ht="15" hidden="false" customHeight="false" outlineLevel="0" collapsed="false">
      <c r="A37" s="5" t="n">
        <v>1865</v>
      </c>
      <c r="B37" s="7" t="n">
        <f aca="false">$I$2*(1-(A37-1830)*2/300)+$I$3*(1-(A37-1840)*2/300)+$I$4*(1-(A37-1848)*2/300)+$I$5*(1-(A37-1850)*2/300)+$I$6*(1-(A37-1855)*2/300)+$I$2*(1-(A37-1860)*2/300)</f>
        <v>714336</v>
      </c>
    </row>
    <row r="38" customFormat="false" ht="15" hidden="false" customHeight="false" outlineLevel="0" collapsed="false">
      <c r="A38" s="5" t="n">
        <v>1866</v>
      </c>
      <c r="B38" s="7" t="n">
        <f aca="false">$I$2*(1-(A38-1830)*2/300)+$I$3*(1-(A38-1840)*2/300)+$I$4*(1-(A38-1848)*2/300)+$I$5*(1-(A38-1850)*2/300)+$I$6*(1-(A38-1855)*2/300)+$I$2*(1-(A38-1860)*2/300)</f>
        <v>708912</v>
      </c>
    </row>
    <row r="39" customFormat="false" ht="15" hidden="false" customHeight="false" outlineLevel="0" collapsed="false">
      <c r="A39" s="5" t="n">
        <v>1867</v>
      </c>
      <c r="B39" s="7" t="n">
        <f aca="false">$I$2*(1-(A39-1830)*2/300)+$I$3*(1-(A39-1840)*2/300)+$I$4*(1-(A39-1848)*2/300)+$I$5*(1-(A39-1850)*2/300)+$I$6*(1-(A39-1855)*2/300)+$I$2*(1-(A39-1860)*2/300)</f>
        <v>703488</v>
      </c>
    </row>
    <row r="40" customFormat="false" ht="15" hidden="false" customHeight="false" outlineLevel="0" collapsed="false">
      <c r="A40" s="5" t="n">
        <v>1868</v>
      </c>
      <c r="B40" s="7" t="n">
        <f aca="false">$I$2*(1-(A40-1830)*2/300)+$I$3*(1-(A40-1840)*2/300)+$I$4*(1-(A40-1848)*2/300)+$I$5*(1-(A40-1850)*2/300)+$I$6*(1-(A40-1855)*2/300)+$I$2*(1-(A40-1860)*2/300)</f>
        <v>698064</v>
      </c>
    </row>
    <row r="41" customFormat="false" ht="15" hidden="false" customHeight="false" outlineLevel="0" collapsed="false">
      <c r="A41" s="5" t="n">
        <v>1869</v>
      </c>
      <c r="B41" s="7" t="n">
        <f aca="false">$I$2*(1-(A41-1830)*2/300)+$I$3*(1-(A41-1840)*2/300)+$I$4*(1-(A41-1848)*2/300)+$I$5*(1-(A41-1850)*2/300)+$I$6*(1-(A41-1855)*2/300)+$I$2*(1-(A41-1860)*2/300)</f>
        <v>692640</v>
      </c>
    </row>
    <row r="42" customFormat="false" ht="15" hidden="false" customHeight="false" outlineLevel="0" collapsed="false">
      <c r="A42" s="5" t="n">
        <v>1870</v>
      </c>
      <c r="B42" s="7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5" hidden="false" customHeight="false" outlineLevel="0" collapsed="false">
      <c r="A43" s="5" t="n">
        <v>1871</v>
      </c>
      <c r="B43" s="7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5" hidden="false" customHeight="false" outlineLevel="0" collapsed="false">
      <c r="A44" s="5" t="n">
        <v>1872</v>
      </c>
      <c r="B44" s="7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5" hidden="false" customHeight="false" outlineLevel="0" collapsed="false">
      <c r="A45" s="5" t="n">
        <v>1873</v>
      </c>
      <c r="B45" s="7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5" hidden="false" customHeight="false" outlineLevel="0" collapsed="false">
      <c r="A46" s="5" t="n">
        <v>1874</v>
      </c>
      <c r="B46" s="7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5" hidden="false" customHeight="false" outlineLevel="0" collapsed="false">
      <c r="A47" s="5" t="n">
        <v>1875</v>
      </c>
      <c r="B47" s="7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5" hidden="false" customHeight="false" outlineLevel="0" collapsed="false">
      <c r="A48" s="5" t="n">
        <v>1876</v>
      </c>
      <c r="B48" s="7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5" hidden="false" customHeight="false" outlineLevel="0" collapsed="false">
      <c r="A49" s="5" t="n">
        <v>1877</v>
      </c>
      <c r="B49" s="7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5" hidden="false" customHeight="false" outlineLevel="0" collapsed="false">
      <c r="A50" s="5" t="n">
        <v>1878</v>
      </c>
      <c r="B50" s="7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5" hidden="false" customHeight="false" outlineLevel="0" collapsed="false">
      <c r="A51" s="5" t="n">
        <v>1879</v>
      </c>
      <c r="B51" s="7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5" hidden="false" customHeight="false" outlineLevel="0" collapsed="false">
      <c r="A52" s="5" t="n">
        <v>1880</v>
      </c>
      <c r="B52" s="7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5" hidden="false" customHeight="false" outlineLevel="0" collapsed="false">
      <c r="A53" s="5" t="n">
        <v>1881</v>
      </c>
      <c r="B53" s="7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5" hidden="false" customHeight="false" outlineLevel="0" collapsed="false">
      <c r="A54" s="5" t="n">
        <v>1882</v>
      </c>
      <c r="B54" s="7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5" hidden="false" customHeight="false" outlineLevel="0" collapsed="false">
      <c r="A55" s="5" t="n">
        <v>1883</v>
      </c>
      <c r="B55" s="7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5" hidden="false" customHeight="false" outlineLevel="0" collapsed="false">
      <c r="A56" s="5" t="n">
        <v>1884</v>
      </c>
      <c r="B56" s="7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5" hidden="false" customHeight="false" outlineLevel="0" collapsed="false">
      <c r="A57" s="5" t="n">
        <v>1885</v>
      </c>
      <c r="B57" s="7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5" hidden="false" customHeight="false" outlineLevel="0" collapsed="false">
      <c r="A58" s="5" t="n">
        <v>1886</v>
      </c>
      <c r="B58" s="7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5" hidden="false" customHeight="false" outlineLevel="0" collapsed="false">
      <c r="A59" s="5" t="n">
        <v>1887</v>
      </c>
      <c r="B59" s="7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5" hidden="false" customHeight="false" outlineLevel="0" collapsed="false">
      <c r="A60" s="5" t="n">
        <v>1888</v>
      </c>
      <c r="B60" s="7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5" hidden="false" customHeight="false" outlineLevel="0" collapsed="false">
      <c r="A61" s="5" t="n">
        <v>1889</v>
      </c>
      <c r="B61" s="7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5" hidden="false" customHeight="false" outlineLevel="0" collapsed="false">
      <c r="A62" s="5" t="n">
        <v>1890</v>
      </c>
      <c r="B62" s="7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5" hidden="false" customHeight="false" outlineLevel="0" collapsed="false">
      <c r="A63" s="5" t="n">
        <v>1891</v>
      </c>
      <c r="B63" s="7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5" hidden="false" customHeight="false" outlineLevel="0" collapsed="false">
      <c r="A64" s="5" t="n">
        <v>1892</v>
      </c>
      <c r="B64" s="7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5" hidden="false" customHeight="false" outlineLevel="0" collapsed="false">
      <c r="A65" s="5" t="n">
        <v>1893</v>
      </c>
      <c r="B65" s="7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5" hidden="false" customHeight="false" outlineLevel="0" collapsed="false">
      <c r="A66" s="5" t="n">
        <v>1894</v>
      </c>
      <c r="B66" s="7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5" hidden="false" customHeight="false" outlineLevel="0" collapsed="false">
      <c r="A67" s="5" t="n">
        <v>1895</v>
      </c>
      <c r="B67" s="7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5" hidden="false" customHeight="false" outlineLevel="0" collapsed="false">
      <c r="A68" s="5" t="n">
        <v>1896</v>
      </c>
      <c r="B68" s="7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5" hidden="false" customHeight="false" outlineLevel="0" collapsed="false">
      <c r="A69" s="5" t="n">
        <v>1897</v>
      </c>
      <c r="B69" s="7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5" hidden="false" customHeight="false" outlineLevel="0" collapsed="false">
      <c r="A70" s="5" t="n">
        <v>1898</v>
      </c>
      <c r="B70" s="7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5" hidden="false" customHeight="false" outlineLevel="0" collapsed="false">
      <c r="A71" s="5" t="n">
        <v>1899</v>
      </c>
      <c r="B71" s="7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5" hidden="false" customHeight="false" outlineLevel="0" collapsed="false">
      <c r="A72" s="5" t="n">
        <v>1900</v>
      </c>
      <c r="B72" s="7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5" hidden="false" customHeight="false" outlineLevel="0" collapsed="false">
      <c r="A73" s="5" t="n">
        <v>1901</v>
      </c>
      <c r="B73" s="7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5" hidden="false" customHeight="false" outlineLevel="0" collapsed="false">
      <c r="A74" s="5" t="n">
        <v>1902</v>
      </c>
      <c r="B74" s="7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5" hidden="false" customHeight="false" outlineLevel="0" collapsed="false">
      <c r="A75" s="5" t="n">
        <v>1903</v>
      </c>
      <c r="B75" s="7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5" hidden="false" customHeight="false" outlineLevel="0" collapsed="false">
      <c r="A76" s="5" t="n">
        <v>1904</v>
      </c>
      <c r="B76" s="7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5" hidden="false" customHeight="false" outlineLevel="0" collapsed="false">
      <c r="A77" s="5" t="n">
        <v>1905</v>
      </c>
      <c r="B77" s="7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5" hidden="false" customHeight="false" outlineLevel="0" collapsed="false">
      <c r="A78" s="5" t="n">
        <v>1906</v>
      </c>
      <c r="B78" s="7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5" hidden="false" customHeight="false" outlineLevel="0" collapsed="false">
      <c r="A79" s="5" t="n">
        <v>1907</v>
      </c>
      <c r="B79" s="7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5" hidden="false" customHeight="false" outlineLevel="0" collapsed="false">
      <c r="A80" s="5" t="n">
        <v>1908</v>
      </c>
      <c r="B80" s="7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5" hidden="false" customHeight="false" outlineLevel="0" collapsed="false">
      <c r="A81" s="5" t="n">
        <v>1909</v>
      </c>
      <c r="B81" s="7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5" hidden="false" customHeight="false" outlineLevel="0" collapsed="false">
      <c r="A82" s="5" t="n">
        <v>1910</v>
      </c>
      <c r="B82" s="7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5" hidden="false" customHeight="false" outlineLevel="0" collapsed="false">
      <c r="A83" s="5" t="n">
        <v>1911</v>
      </c>
      <c r="B83" s="7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5" hidden="false" customHeight="false" outlineLevel="0" collapsed="false">
      <c r="A84" s="5" t="n">
        <v>1912</v>
      </c>
      <c r="B84" s="7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5" hidden="false" customHeight="false" outlineLevel="0" collapsed="false">
      <c r="A85" s="5" t="n">
        <v>1913</v>
      </c>
      <c r="B85" s="7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5" hidden="false" customHeight="false" outlineLevel="0" collapsed="false">
      <c r="A86" s="5" t="n">
        <v>1914</v>
      </c>
      <c r="B86" s="7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5" hidden="false" customHeight="false" outlineLevel="0" collapsed="false">
      <c r="A87" s="5" t="n">
        <v>1915</v>
      </c>
      <c r="B87" s="7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5" hidden="false" customHeight="false" outlineLevel="0" collapsed="false">
      <c r="A88" s="5" t="n">
        <v>1916</v>
      </c>
      <c r="B88" s="7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5" hidden="false" customHeight="false" outlineLevel="0" collapsed="false">
      <c r="A89" s="5" t="n">
        <v>1917</v>
      </c>
      <c r="B89" s="7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5" hidden="false" customHeight="false" outlineLevel="0" collapsed="false">
      <c r="A90" s="5" t="n">
        <v>1918</v>
      </c>
      <c r="B90" s="7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5" hidden="false" customHeight="false" outlineLevel="0" collapsed="false">
      <c r="A91" s="5" t="n">
        <v>1919</v>
      </c>
      <c r="B91" s="7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5" hidden="false" customHeight="false" outlineLevel="0" collapsed="false">
      <c r="A92" s="5" t="n">
        <v>1920</v>
      </c>
      <c r="B92" s="7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5" hidden="false" customHeight="false" outlineLevel="0" collapsed="false">
      <c r="A93" s="5" t="n">
        <v>1921</v>
      </c>
      <c r="B93" s="7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5" hidden="false" customHeight="false" outlineLevel="0" collapsed="false">
      <c r="A94" s="5" t="n">
        <v>1922</v>
      </c>
      <c r="B94" s="7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5" hidden="false" customHeight="false" outlineLevel="0" collapsed="false">
      <c r="A95" s="5" t="n">
        <v>1923</v>
      </c>
      <c r="B95" s="7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5" hidden="false" customHeight="false" outlineLevel="0" collapsed="false">
      <c r="A96" s="5" t="n">
        <v>1924</v>
      </c>
      <c r="B96" s="7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5" hidden="false" customHeight="false" outlineLevel="0" collapsed="false">
      <c r="A97" s="5" t="n">
        <v>1925</v>
      </c>
      <c r="B97" s="7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5" hidden="false" customHeight="false" outlineLevel="0" collapsed="false">
      <c r="A98" s="5" t="n">
        <v>1926</v>
      </c>
      <c r="B98" s="7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5" hidden="false" customHeight="false" outlineLevel="0" collapsed="false">
      <c r="A99" s="5" t="n">
        <v>1927</v>
      </c>
      <c r="B99" s="7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5" hidden="false" customHeight="false" outlineLevel="0" collapsed="false">
      <c r="A100" s="5" t="n">
        <v>1928</v>
      </c>
      <c r="B100" s="7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5" hidden="false" customHeight="false" outlineLevel="0" collapsed="false">
      <c r="A101" s="5" t="n">
        <v>1929</v>
      </c>
      <c r="B101" s="7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5" hidden="false" customHeight="false" outlineLevel="0" collapsed="false">
      <c r="A102" s="5" t="n">
        <v>1930</v>
      </c>
      <c r="B102" s="7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5" hidden="false" customHeight="false" outlineLevel="0" collapsed="false">
      <c r="A103" s="5" t="n">
        <v>1931</v>
      </c>
      <c r="B103" s="7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5" hidden="false" customHeight="false" outlineLevel="0" collapsed="false">
      <c r="A104" s="5" t="n">
        <v>1932</v>
      </c>
      <c r="B104" s="7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5" hidden="false" customHeight="false" outlineLevel="0" collapsed="false">
      <c r="A105" s="5" t="n">
        <v>1933</v>
      </c>
      <c r="B105" s="7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5" hidden="false" customHeight="false" outlineLevel="0" collapsed="false">
      <c r="A106" s="5" t="n">
        <v>1934</v>
      </c>
      <c r="B106" s="7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5" hidden="false" customHeight="false" outlineLevel="0" collapsed="false">
      <c r="A107" s="5" t="n">
        <v>1935</v>
      </c>
      <c r="B107" s="7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5" hidden="false" customHeight="false" outlineLevel="0" collapsed="false">
      <c r="A108" s="5" t="n">
        <v>1936</v>
      </c>
      <c r="B108" s="7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40" zoomScaleNormal="140" zoomScalePageLayoutView="100" workbookViewId="0">
      <selection pane="topLeft" activeCell="G51" activeCellId="0" sqref="G51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85"/>
    <col collapsed="false" customWidth="true" hidden="false" outlineLevel="0" max="5" min="5" style="1" width="10.57"/>
    <col collapsed="false" customWidth="true" hidden="false" outlineLevel="0" max="6" min="6" style="1" width="17.86"/>
    <col collapsed="false" customWidth="true" hidden="false" outlineLevel="0" max="7" min="7" style="1" width="12.42"/>
    <col collapsed="false" customWidth="false" hidden="false" outlineLevel="0" max="16384" min="8" style="1" width="8.85"/>
  </cols>
  <sheetData>
    <row r="1" customFormat="false" ht="15" hidden="false" customHeight="false" outlineLevel="0" collapsed="false">
      <c r="A1" s="5" t="s">
        <v>0</v>
      </c>
      <c r="B1" s="5" t="s">
        <v>66</v>
      </c>
      <c r="C1" s="5" t="s">
        <v>67</v>
      </c>
      <c r="D1" s="5" t="s">
        <v>1</v>
      </c>
      <c r="E1" s="5" t="s">
        <v>3</v>
      </c>
      <c r="F1" s="5" t="s">
        <v>68</v>
      </c>
    </row>
    <row r="2" customFormat="false" ht="15" hidden="false" customHeight="false" outlineLevel="0" collapsed="false">
      <c r="A2" s="5" t="n">
        <v>1830</v>
      </c>
      <c r="B2" s="12" t="n">
        <v>0.1</v>
      </c>
      <c r="C2" s="12" t="n">
        <v>-0.1</v>
      </c>
      <c r="D2" s="13" t="n">
        <v>0.01</v>
      </c>
      <c r="E2" s="14" t="n">
        <v>0.512</v>
      </c>
      <c r="F2" s="13" t="n">
        <f aca="false">(D2-0.005)*0.1/0.035*(1+B2+C2)*0.01*120</f>
        <v>0.0171428571428571</v>
      </c>
    </row>
    <row r="3" customFormat="false" ht="15" hidden="false" customHeight="false" outlineLevel="0" collapsed="false">
      <c r="A3" s="5" t="n">
        <v>1840</v>
      </c>
      <c r="B3" s="12" t="n">
        <v>0.2</v>
      </c>
      <c r="C3" s="12" t="n">
        <v>-0.03</v>
      </c>
      <c r="D3" s="13" t="n">
        <v>0.02</v>
      </c>
      <c r="E3" s="14" t="n">
        <f aca="false">MIN(1,E2+F2)</f>
        <v>0.529142857142857</v>
      </c>
      <c r="F3" s="13" t="n">
        <f aca="false">(D3-0.005)*0.1/0.035*(1+B3+C3)*0.01*120</f>
        <v>0.0601714285714286</v>
      </c>
    </row>
    <row r="4" customFormat="false" ht="15" hidden="false" customHeight="false" outlineLevel="0" collapsed="false">
      <c r="A4" s="5" t="n">
        <v>1850</v>
      </c>
      <c r="B4" s="12" t="n">
        <v>0.7</v>
      </c>
      <c r="C4" s="12" t="n">
        <v>0.02</v>
      </c>
      <c r="D4" s="13" t="n">
        <v>0.025</v>
      </c>
      <c r="E4" s="14" t="n">
        <f aca="false">MIN(1,E3+F3)</f>
        <v>0.589314285714286</v>
      </c>
      <c r="F4" s="13" t="n">
        <f aca="false">(D4-0.005)*0.1/0.035*(1+B4+C4)*0.01*120</f>
        <v>0.117942857142857</v>
      </c>
    </row>
    <row r="5" customFormat="false" ht="15" hidden="false" customHeight="false" outlineLevel="0" collapsed="false">
      <c r="A5" s="5" t="n">
        <v>1860</v>
      </c>
      <c r="B5" s="12" t="n">
        <v>0.7</v>
      </c>
      <c r="C5" s="12" t="n">
        <v>0.17</v>
      </c>
      <c r="D5" s="13" t="n">
        <v>0.03</v>
      </c>
      <c r="E5" s="14" t="n">
        <f aca="false">MIN(1,E4+F4)</f>
        <v>0.707257142857143</v>
      </c>
      <c r="F5" s="13" t="n">
        <f aca="false">(D5-0.005)*0.1/0.035*(1+B5+C5)*0.01*120</f>
        <v>0.160285714285714</v>
      </c>
    </row>
    <row r="6" customFormat="false" ht="15" hidden="false" customHeight="false" outlineLevel="0" collapsed="false">
      <c r="A6" s="5" t="n">
        <v>1870</v>
      </c>
      <c r="B6" s="12" t="n">
        <v>0.9</v>
      </c>
      <c r="C6" s="12" t="n">
        <v>0.32</v>
      </c>
      <c r="D6" s="13" t="n">
        <v>0.04</v>
      </c>
      <c r="E6" s="14" t="n">
        <f aca="false">MIN(1,E5+F5)</f>
        <v>0.867542857142857</v>
      </c>
      <c r="F6" s="13" t="n">
        <f aca="false">(D6-0.005)*0.1/0.035*(1+B6+C6)*0.01*120</f>
        <v>0.2664</v>
      </c>
    </row>
    <row r="7" customFormat="false" ht="15" hidden="false" customHeight="false" outlineLevel="0" collapsed="false">
      <c r="A7" s="5" t="n">
        <v>1880</v>
      </c>
      <c r="B7" s="12" t="n">
        <v>0.9</v>
      </c>
      <c r="C7" s="12" t="n">
        <v>0.32</v>
      </c>
      <c r="D7" s="13" t="n">
        <v>0.04</v>
      </c>
      <c r="E7" s="14" t="n">
        <f aca="false">MIN(1,E6+F6)</f>
        <v>1</v>
      </c>
      <c r="F7" s="13" t="n">
        <f aca="false">(D7-0.005)*0.1/0.035*(1+B7+C7)*0.01*120</f>
        <v>0.2664</v>
      </c>
    </row>
    <row r="8" customFormat="false" ht="15" hidden="false" customHeight="false" outlineLevel="0" collapsed="false">
      <c r="A8" s="5" t="n">
        <v>1890</v>
      </c>
      <c r="B8" s="12" t="n">
        <v>1.15</v>
      </c>
      <c r="C8" s="12" t="n">
        <v>0.32</v>
      </c>
      <c r="D8" s="13" t="n">
        <v>0.04</v>
      </c>
      <c r="E8" s="14" t="n">
        <f aca="false">MIN(1,E7+F7)</f>
        <v>1</v>
      </c>
      <c r="F8" s="13" t="n">
        <f aca="false">(D8-0.005)*0.1/0.035*(1+B8+C8)*0.01*120</f>
        <v>0.2964</v>
      </c>
    </row>
    <row r="9" customFormat="false" ht="15" hidden="false" customHeight="false" outlineLevel="0" collapsed="false">
      <c r="A9" s="5" t="n">
        <v>1900</v>
      </c>
      <c r="B9" s="12" t="n">
        <v>1.35</v>
      </c>
      <c r="C9" s="12" t="n">
        <v>0.32</v>
      </c>
      <c r="D9" s="13" t="n">
        <v>0.04</v>
      </c>
      <c r="E9" s="14" t="n">
        <f aca="false">MIN(1,E8+F8)</f>
        <v>1</v>
      </c>
      <c r="F9" s="13" t="n">
        <f aca="false">(D9-0.005)*0.1/0.035*(1+B9+C9)*0.01*120</f>
        <v>0.3204</v>
      </c>
    </row>
    <row r="10" customFormat="false" ht="15" hidden="false" customHeight="false" outlineLevel="0" collapsed="false">
      <c r="A10" s="5" t="n">
        <v>1910</v>
      </c>
      <c r="B10" s="12" t="n">
        <v>1.35</v>
      </c>
      <c r="C10" s="12" t="n">
        <v>0.32</v>
      </c>
      <c r="D10" s="13" t="n">
        <v>0.04</v>
      </c>
      <c r="E10" s="14" t="n">
        <f aca="false">MIN(1,E9+F9)</f>
        <v>1</v>
      </c>
      <c r="F10" s="13" t="n">
        <f aca="false">(D10-0.005)*0.1/0.035*(1+B10+C10)*0.01*120</f>
        <v>0.3204</v>
      </c>
    </row>
    <row r="11" customFormat="false" ht="15" hidden="false" customHeight="false" outlineLevel="0" collapsed="false">
      <c r="A11" s="5" t="n">
        <v>1920</v>
      </c>
      <c r="B11" s="12" t="n">
        <v>1.35</v>
      </c>
      <c r="C11" s="12" t="n">
        <v>0.32</v>
      </c>
      <c r="D11" s="13" t="n">
        <v>0.04</v>
      </c>
      <c r="E11" s="14" t="n">
        <f aca="false">MIN(1,E10+F10)</f>
        <v>1</v>
      </c>
      <c r="F11" s="13" t="n">
        <f aca="false">(D11-0.005)*0.1/0.035*(1+B11+C11)*0.01*120</f>
        <v>0.3204</v>
      </c>
    </row>
    <row r="12" customFormat="false" ht="15" hidden="false" customHeight="false" outlineLevel="0" collapsed="false">
      <c r="A12" s="5" t="n">
        <v>1930</v>
      </c>
      <c r="B12" s="12" t="n">
        <v>1.35</v>
      </c>
      <c r="C12" s="12" t="n">
        <v>0.32</v>
      </c>
      <c r="D12" s="13" t="n">
        <v>0.04</v>
      </c>
      <c r="E12" s="14" t="n">
        <f aca="false">MIN(1,E11+F11)</f>
        <v>1</v>
      </c>
      <c r="F12" s="13" t="n">
        <f aca="false">(D12-0.005)*0.1/0.035*(1+B12+C12)*0.01*120</f>
        <v>0.3204</v>
      </c>
    </row>
    <row r="13" customFormat="false" ht="15" hidden="false" customHeight="false" outlineLevel="0" collapsed="false">
      <c r="A13" s="5"/>
      <c r="B13" s="12"/>
      <c r="C13" s="12"/>
      <c r="D13" s="13"/>
      <c r="E13" s="14"/>
      <c r="F13" s="13"/>
    </row>
    <row r="14" customFormat="false" ht="15" hidden="false" customHeight="false" outlineLevel="0" collapsed="false">
      <c r="A14" s="5" t="s">
        <v>69</v>
      </c>
      <c r="B14" s="12" t="n">
        <v>0</v>
      </c>
      <c r="C14" s="12" t="n">
        <v>0</v>
      </c>
      <c r="D14" s="13" t="n">
        <v>0.04</v>
      </c>
      <c r="E14" s="14" t="n">
        <v>0.01</v>
      </c>
      <c r="F14" s="13" t="n">
        <f aca="false">(D14-0.005)*0.1/0.035*(1+B14+C14)*0.01*120</f>
        <v>0.12</v>
      </c>
    </row>
    <row r="15" customFormat="false" ht="15" hidden="false" customHeight="false" outlineLevel="0" collapsed="false">
      <c r="A15" s="5" t="s">
        <v>69</v>
      </c>
      <c r="B15" s="12" t="n">
        <v>0</v>
      </c>
      <c r="C15" s="12" t="n">
        <v>0</v>
      </c>
      <c r="D15" s="13" t="n">
        <v>0.04</v>
      </c>
      <c r="E15" s="14" t="n">
        <f aca="false">SUM(E14,F14)</f>
        <v>0.13</v>
      </c>
      <c r="F15" s="13" t="n">
        <f aca="false">(D15-0.005)*0.1/0.035*(1+B15+C15)*0.01*120</f>
        <v>0.12</v>
      </c>
    </row>
    <row r="16" customFormat="false" ht="15" hidden="false" customHeight="false" outlineLevel="0" collapsed="false">
      <c r="D16" s="10"/>
      <c r="E16" s="15"/>
    </row>
    <row r="17" customFormat="false" ht="15" hidden="false" customHeight="false" outlineLevel="0" collapsed="false">
      <c r="A17" s="5" t="s">
        <v>69</v>
      </c>
      <c r="B17" s="12" t="n">
        <v>1</v>
      </c>
      <c r="C17" s="12" t="n">
        <v>0</v>
      </c>
      <c r="D17" s="13" t="n">
        <v>0.01</v>
      </c>
      <c r="E17" s="14" t="n">
        <v>0.01</v>
      </c>
      <c r="F17" s="13" t="n">
        <f aca="false">(D17-0.005)*0.1/0.035*(1+B17+C17)*0.01*120</f>
        <v>0.0342857142857143</v>
      </c>
    </row>
    <row r="18" customFormat="false" ht="15" hidden="false" customHeight="false" outlineLevel="0" collapsed="false">
      <c r="A18" s="5" t="s">
        <v>69</v>
      </c>
      <c r="B18" s="12" t="n">
        <v>1</v>
      </c>
      <c r="C18" s="12" t="n">
        <v>0</v>
      </c>
      <c r="D18" s="13" t="n">
        <v>0.04</v>
      </c>
      <c r="E18" s="14" t="n">
        <f aca="false">SUM(E17,F17)</f>
        <v>0.0442857142857143</v>
      </c>
      <c r="F18" s="13" t="n">
        <f aca="false">(D18-0.005)*0.1/0.035*(1+B18+C18)*0.01*120</f>
        <v>0.24</v>
      </c>
    </row>
    <row r="20" customFormat="false" ht="15" hidden="false" customHeight="false" outlineLevel="0" collapsed="false">
      <c r="A20" s="5" t="s">
        <v>0</v>
      </c>
      <c r="B20" s="5" t="s">
        <v>66</v>
      </c>
      <c r="C20" s="5" t="s">
        <v>67</v>
      </c>
      <c r="D20" s="5" t="s">
        <v>1</v>
      </c>
      <c r="E20" s="5" t="s">
        <v>3</v>
      </c>
      <c r="F20" s="5" t="s">
        <v>68</v>
      </c>
    </row>
    <row r="21" customFormat="false" ht="15" hidden="false" customHeight="false" outlineLevel="0" collapsed="false">
      <c r="A21" s="5" t="n">
        <v>1830</v>
      </c>
      <c r="B21" s="12" t="n">
        <v>0.1</v>
      </c>
      <c r="C21" s="12" t="n">
        <v>-0.1</v>
      </c>
      <c r="D21" s="13" t="n">
        <v>0.01</v>
      </c>
      <c r="E21" s="14" t="n">
        <v>0.1</v>
      </c>
      <c r="F21" s="13" t="n">
        <f aca="false">(D21-0.005)*0.1/0.035*(1+B21+C21)*0.01*12</f>
        <v>0.00171428571428571</v>
      </c>
    </row>
    <row r="22" customFormat="false" ht="15" hidden="false" customHeight="false" outlineLevel="0" collapsed="false">
      <c r="A22" s="5" t="n">
        <v>1831</v>
      </c>
      <c r="B22" s="12" t="n">
        <v>0.1</v>
      </c>
      <c r="C22" s="12" t="n">
        <v>-0.1</v>
      </c>
      <c r="D22" s="13" t="n">
        <v>0.0105</v>
      </c>
      <c r="E22" s="14" t="n">
        <f aca="false">MIN(1,E21+F21)</f>
        <v>0.101714285714286</v>
      </c>
      <c r="F22" s="13" t="n">
        <f aca="false">(D22-0.005)*0.1/0.035*(1+B22+C22)*0.01*12</f>
        <v>0.00188571428571429</v>
      </c>
    </row>
    <row r="23" customFormat="false" ht="15" hidden="false" customHeight="false" outlineLevel="0" collapsed="false">
      <c r="A23" s="5" t="n">
        <v>1832</v>
      </c>
      <c r="B23" s="12" t="n">
        <v>0.1</v>
      </c>
      <c r="C23" s="12" t="n">
        <v>-0.1</v>
      </c>
      <c r="D23" s="13" t="n">
        <v>0.011</v>
      </c>
      <c r="E23" s="14" t="n">
        <f aca="false">MIN(1,E22+F22)</f>
        <v>0.1036</v>
      </c>
      <c r="F23" s="13" t="n">
        <f aca="false">(D23-0.005)*0.1/0.035*(1+B23+C23)*0.01*12</f>
        <v>0.00205714285714286</v>
      </c>
    </row>
    <row r="24" customFormat="false" ht="15" hidden="false" customHeight="false" outlineLevel="0" collapsed="false">
      <c r="A24" s="5" t="n">
        <v>1833</v>
      </c>
      <c r="B24" s="12" t="n">
        <v>0.1</v>
      </c>
      <c r="C24" s="12" t="n">
        <v>-0.1</v>
      </c>
      <c r="D24" s="13" t="n">
        <v>0.0115</v>
      </c>
      <c r="E24" s="14" t="n">
        <f aca="false">MIN(1,E23+F23)</f>
        <v>0.105657142857143</v>
      </c>
      <c r="F24" s="13" t="n">
        <f aca="false">(D24-0.005)*0.1/0.035*(1+B24+C24)*0.01*12</f>
        <v>0.00222857142857143</v>
      </c>
    </row>
    <row r="25" customFormat="false" ht="15" hidden="false" customHeight="false" outlineLevel="0" collapsed="false">
      <c r="A25" s="5" t="n">
        <v>1834</v>
      </c>
      <c r="B25" s="12" t="n">
        <v>0.1</v>
      </c>
      <c r="C25" s="12" t="n">
        <v>-0.1</v>
      </c>
      <c r="D25" s="13" t="n">
        <v>0.012</v>
      </c>
      <c r="E25" s="14" t="n">
        <f aca="false">MIN(1,E24+F24)</f>
        <v>0.107885714285714</v>
      </c>
      <c r="F25" s="13" t="n">
        <f aca="false">(D25-0.005)*0.1/0.035*(1+B25+C25)*0.01*12</f>
        <v>0.0024</v>
      </c>
    </row>
    <row r="26" customFormat="false" ht="15" hidden="false" customHeight="false" outlineLevel="0" collapsed="false">
      <c r="A26" s="5" t="n">
        <v>1835</v>
      </c>
      <c r="B26" s="12" t="n">
        <v>0.1</v>
      </c>
      <c r="C26" s="12" t="n">
        <v>-0.1</v>
      </c>
      <c r="D26" s="13" t="n">
        <v>0.0125</v>
      </c>
      <c r="E26" s="14" t="n">
        <f aca="false">MIN(1,E25+F25)</f>
        <v>0.110285714285714</v>
      </c>
      <c r="F26" s="13" t="n">
        <f aca="false">(D26-0.005)*0.1/0.035*(1+B26+C26)*0.01*12</f>
        <v>0.00257142857142857</v>
      </c>
    </row>
    <row r="27" customFormat="false" ht="15" hidden="false" customHeight="false" outlineLevel="0" collapsed="false">
      <c r="A27" s="5" t="n">
        <v>1836</v>
      </c>
      <c r="B27" s="12" t="n">
        <v>0.1</v>
      </c>
      <c r="C27" s="12" t="n">
        <v>-0.1</v>
      </c>
      <c r="D27" s="13" t="n">
        <v>0.013</v>
      </c>
      <c r="E27" s="14" t="n">
        <f aca="false">MIN(1,E26+F26)</f>
        <v>0.112857142857143</v>
      </c>
      <c r="F27" s="13" t="n">
        <f aca="false">(D27-0.005)*0.1/0.035*(1+B27+C27)*0.01*12</f>
        <v>0.00274285714285714</v>
      </c>
    </row>
    <row r="28" customFormat="false" ht="15" hidden="false" customHeight="false" outlineLevel="0" collapsed="false">
      <c r="A28" s="5" t="n">
        <v>1837</v>
      </c>
      <c r="B28" s="12" t="n">
        <v>0.1</v>
      </c>
      <c r="C28" s="12" t="n">
        <v>-0.1</v>
      </c>
      <c r="D28" s="13" t="n">
        <v>0.0135</v>
      </c>
      <c r="E28" s="14" t="n">
        <f aca="false">MIN(1,E27+F27)</f>
        <v>0.1156</v>
      </c>
      <c r="F28" s="13" t="n">
        <f aca="false">(D28-0.005)*0.1/0.035*(1+B28+C28)*0.01*12</f>
        <v>0.00291428571428571</v>
      </c>
    </row>
    <row r="29" customFormat="false" ht="15" hidden="false" customHeight="false" outlineLevel="0" collapsed="false">
      <c r="A29" s="5" t="n">
        <v>1838</v>
      </c>
      <c r="B29" s="12" t="n">
        <v>0.1</v>
      </c>
      <c r="C29" s="12" t="n">
        <v>-0.1</v>
      </c>
      <c r="D29" s="13" t="n">
        <v>0.014</v>
      </c>
      <c r="E29" s="14" t="n">
        <f aca="false">MIN(1,E28+F28)</f>
        <v>0.118514285714286</v>
      </c>
      <c r="F29" s="13" t="n">
        <f aca="false">(D29-0.005)*0.1/0.035*(1+B29+C29)*0.01*12</f>
        <v>0.00308571428571429</v>
      </c>
    </row>
    <row r="30" customFormat="false" ht="15" hidden="false" customHeight="false" outlineLevel="0" collapsed="false">
      <c r="A30" s="5" t="n">
        <v>1839</v>
      </c>
      <c r="B30" s="12" t="n">
        <v>0.1</v>
      </c>
      <c r="C30" s="12" t="n">
        <v>-0.1</v>
      </c>
      <c r="D30" s="13" t="n">
        <v>0.0145</v>
      </c>
      <c r="E30" s="14" t="n">
        <f aca="false">MIN(1,E29+F29)</f>
        <v>0.1216</v>
      </c>
      <c r="F30" s="13" t="n">
        <f aca="false">(D30-0.005)*0.1/0.035*(1+B30+C30)*0.01*12</f>
        <v>0.00325714285714286</v>
      </c>
    </row>
    <row r="31" customFormat="false" ht="15" hidden="false" customHeight="false" outlineLevel="0" collapsed="false">
      <c r="A31" s="5" t="n">
        <v>1840</v>
      </c>
      <c r="B31" s="12" t="n">
        <v>0.1</v>
      </c>
      <c r="C31" s="12" t="n">
        <v>-0.1</v>
      </c>
      <c r="D31" s="13" t="n">
        <v>0.015</v>
      </c>
      <c r="E31" s="14" t="n">
        <f aca="false">MIN(1,E30+F30)</f>
        <v>0.124857142857143</v>
      </c>
      <c r="F31" s="13" t="n">
        <f aca="false">(D31-0.005)*0.1/0.035*(1+B31+C31)*0.01*12</f>
        <v>0.00342857142857143</v>
      </c>
    </row>
    <row r="32" customFormat="false" ht="15" hidden="false" customHeight="false" outlineLevel="0" collapsed="false">
      <c r="A32" s="5" t="n">
        <v>1841</v>
      </c>
      <c r="B32" s="12" t="n">
        <v>0.1</v>
      </c>
      <c r="C32" s="12" t="n">
        <v>-0.1</v>
      </c>
      <c r="D32" s="13" t="n">
        <v>0.0155</v>
      </c>
      <c r="E32" s="14" t="n">
        <f aca="false">MIN(1,E31+F31)</f>
        <v>0.128285714285714</v>
      </c>
      <c r="F32" s="13" t="n">
        <f aca="false">(D32-0.005)*0.1/0.035*(1+B32+C32)*0.01*12</f>
        <v>0.0036</v>
      </c>
    </row>
    <row r="33" customFormat="false" ht="15" hidden="false" customHeight="false" outlineLevel="0" collapsed="false">
      <c r="A33" s="5" t="n">
        <v>1842</v>
      </c>
      <c r="B33" s="12" t="n">
        <v>0.1</v>
      </c>
      <c r="C33" s="12" t="n">
        <v>-0.1</v>
      </c>
      <c r="D33" s="13" t="n">
        <v>0.016</v>
      </c>
      <c r="E33" s="14" t="n">
        <f aca="false">MIN(1,E32+F32)</f>
        <v>0.131885714285714</v>
      </c>
      <c r="F33" s="13" t="n">
        <f aca="false">(D33-0.005)*0.1/0.035*(1+B33+C33)*0.01*12</f>
        <v>0.00377142857142857</v>
      </c>
    </row>
    <row r="34" customFormat="false" ht="15" hidden="false" customHeight="false" outlineLevel="0" collapsed="false">
      <c r="A34" s="5" t="n">
        <v>1843</v>
      </c>
      <c r="B34" s="12" t="n">
        <v>0.1</v>
      </c>
      <c r="C34" s="12" t="n">
        <v>-0.03</v>
      </c>
      <c r="D34" s="13" t="n">
        <v>0.0165</v>
      </c>
      <c r="E34" s="14" t="n">
        <f aca="false">MIN(1,E33+F33)</f>
        <v>0.135657142857143</v>
      </c>
      <c r="F34" s="13" t="n">
        <f aca="false">(D34-0.005)*0.1/0.035*(1+B34+C34)*0.01*12</f>
        <v>0.00421885714285714</v>
      </c>
    </row>
    <row r="35" customFormat="false" ht="15" hidden="false" customHeight="false" outlineLevel="0" collapsed="false">
      <c r="A35" s="5" t="n">
        <v>1844</v>
      </c>
      <c r="B35" s="12" t="n">
        <v>0.2</v>
      </c>
      <c r="C35" s="12" t="n">
        <v>-0.03</v>
      </c>
      <c r="D35" s="13" t="n">
        <v>0.017</v>
      </c>
      <c r="E35" s="14" t="n">
        <f aca="false">MIN(1,E34+F34)</f>
        <v>0.139876</v>
      </c>
      <c r="F35" s="13" t="n">
        <f aca="false">(D35-0.005)*0.1/0.035*(1+B35+C35)*0.01*12</f>
        <v>0.00481371428571429</v>
      </c>
    </row>
    <row r="36" customFormat="false" ht="15" hidden="false" customHeight="false" outlineLevel="0" collapsed="false">
      <c r="A36" s="5" t="n">
        <v>1845</v>
      </c>
      <c r="B36" s="12" t="n">
        <v>0.2</v>
      </c>
      <c r="C36" s="12" t="n">
        <v>-0.03</v>
      </c>
      <c r="D36" s="13" t="n">
        <v>0.0175</v>
      </c>
      <c r="E36" s="14" t="n">
        <f aca="false">MIN(1,E35+F35)</f>
        <v>0.144689714285714</v>
      </c>
      <c r="F36" s="13" t="n">
        <f aca="false">(D36-0.005)*0.1/0.035*(1+B36+C36)*0.01*12</f>
        <v>0.00501428571428571</v>
      </c>
    </row>
    <row r="37" customFormat="false" ht="15" hidden="false" customHeight="false" outlineLevel="0" collapsed="false">
      <c r="A37" s="5" t="n">
        <v>1846</v>
      </c>
      <c r="B37" s="12" t="n">
        <v>0.2</v>
      </c>
      <c r="C37" s="12" t="n">
        <v>-0.03</v>
      </c>
      <c r="D37" s="13" t="n">
        <v>0.018</v>
      </c>
      <c r="E37" s="14" t="n">
        <f aca="false">MIN(1,E36+F36)</f>
        <v>0.149704</v>
      </c>
      <c r="F37" s="13" t="n">
        <f aca="false">(D37-0.005)*0.1/0.035*(1+B37+C37)*0.01*12</f>
        <v>0.00521485714285714</v>
      </c>
    </row>
    <row r="38" customFormat="false" ht="15" hidden="false" customHeight="false" outlineLevel="0" collapsed="false">
      <c r="A38" s="5" t="n">
        <v>1847</v>
      </c>
      <c r="B38" s="12" t="n">
        <v>0.2</v>
      </c>
      <c r="C38" s="12" t="n">
        <v>-0.03</v>
      </c>
      <c r="D38" s="13" t="n">
        <v>0.0185</v>
      </c>
      <c r="E38" s="14" t="n">
        <f aca="false">MIN(1,E37+F37)</f>
        <v>0.154918857142857</v>
      </c>
      <c r="F38" s="13" t="n">
        <f aca="false">(D38-0.005)*0.1/0.035*(1+B38+C38)*0.01*12</f>
        <v>0.00541542857142857</v>
      </c>
    </row>
    <row r="39" customFormat="false" ht="15" hidden="false" customHeight="false" outlineLevel="0" collapsed="false">
      <c r="A39" s="5" t="n">
        <v>1848</v>
      </c>
      <c r="B39" s="12" t="n">
        <v>0.2</v>
      </c>
      <c r="C39" s="12" t="n">
        <v>-0.03</v>
      </c>
      <c r="D39" s="13" t="n">
        <v>0.019</v>
      </c>
      <c r="E39" s="14" t="n">
        <f aca="false">MIN(1,E38+F38)</f>
        <v>0.160334285714286</v>
      </c>
      <c r="F39" s="13" t="n">
        <f aca="false">(D39-0.005)*0.1/0.035*(1+B39+C39)*0.01*12</f>
        <v>0.005616</v>
      </c>
    </row>
    <row r="40" customFormat="false" ht="15" hidden="false" customHeight="false" outlineLevel="0" collapsed="false">
      <c r="A40" s="5" t="n">
        <v>1849</v>
      </c>
      <c r="B40" s="12" t="n">
        <v>0.2</v>
      </c>
      <c r="C40" s="12" t="n">
        <v>-0.03</v>
      </c>
      <c r="D40" s="13" t="n">
        <v>0.0195</v>
      </c>
      <c r="E40" s="14" t="n">
        <f aca="false">MIN(1,E39+F39)</f>
        <v>0.165950285714286</v>
      </c>
      <c r="F40" s="13" t="n">
        <f aca="false">(D40-0.005)*0.1/0.035*(1+B40+C40)*0.01*12</f>
        <v>0.00581657142857143</v>
      </c>
    </row>
    <row r="41" customFormat="false" ht="15" hidden="false" customHeight="false" outlineLevel="0" collapsed="false">
      <c r="A41" s="5" t="n">
        <v>1850</v>
      </c>
      <c r="B41" s="12" t="n">
        <v>0.2</v>
      </c>
      <c r="C41" s="12" t="n">
        <v>-0.03</v>
      </c>
      <c r="D41" s="13" t="n">
        <v>0.02</v>
      </c>
      <c r="E41" s="14" t="n">
        <f aca="false">MIN(1,E40+F40)</f>
        <v>0.171766857142857</v>
      </c>
      <c r="F41" s="13" t="n">
        <f aca="false">(D41-0.005)*0.1/0.035*(1+B41+C41)*0.01*12</f>
        <v>0.00601714285714286</v>
      </c>
    </row>
    <row r="42" customFormat="false" ht="15" hidden="false" customHeight="false" outlineLevel="0" collapsed="false">
      <c r="A42" s="5" t="n">
        <v>1851</v>
      </c>
      <c r="B42" s="12" t="n">
        <v>0.3</v>
      </c>
      <c r="C42" s="12" t="n">
        <v>-0.03</v>
      </c>
      <c r="D42" s="13" t="n">
        <v>0.0205</v>
      </c>
      <c r="E42" s="14" t="n">
        <f aca="false">MIN(1,E41+F41)</f>
        <v>0.177784</v>
      </c>
      <c r="F42" s="13" t="n">
        <f aca="false">(D42-0.005)*0.1/0.035*(1+B42+C42)*0.01*12</f>
        <v>0.00674914285714286</v>
      </c>
    </row>
    <row r="43" customFormat="false" ht="15" hidden="false" customHeight="false" outlineLevel="0" collapsed="false">
      <c r="A43" s="5" t="n">
        <v>1852</v>
      </c>
      <c r="B43" s="12" t="n">
        <v>0.3</v>
      </c>
      <c r="C43" s="12" t="n">
        <v>-0.03</v>
      </c>
      <c r="D43" s="13" t="n">
        <v>0.021</v>
      </c>
      <c r="E43" s="14" t="n">
        <f aca="false">MIN(1,E42+F42)</f>
        <v>0.184533142857143</v>
      </c>
      <c r="F43" s="13" t="n">
        <f aca="false">(D43-0.005)*0.1/0.035*(1+B43+C43)*0.01*12</f>
        <v>0.00696685714285714</v>
      </c>
    </row>
    <row r="44" customFormat="false" ht="15" hidden="false" customHeight="false" outlineLevel="0" collapsed="false">
      <c r="A44" s="5" t="n">
        <v>1853</v>
      </c>
      <c r="B44" s="12" t="n">
        <v>0.4</v>
      </c>
      <c r="C44" s="12" t="n">
        <v>-0.03</v>
      </c>
      <c r="D44" s="13" t="n">
        <v>0.0215</v>
      </c>
      <c r="E44" s="14" t="n">
        <f aca="false">MIN(1,E43+F43)</f>
        <v>0.1915</v>
      </c>
      <c r="F44" s="13" t="n">
        <f aca="false">(D44-0.005)*0.1/0.035*(1+B44+C44)*0.01*12</f>
        <v>0.00775028571428571</v>
      </c>
    </row>
    <row r="45" customFormat="false" ht="15" hidden="false" customHeight="false" outlineLevel="0" collapsed="false">
      <c r="A45" s="5" t="n">
        <v>1854</v>
      </c>
      <c r="B45" s="12" t="n">
        <v>0.4</v>
      </c>
      <c r="C45" s="12" t="n">
        <v>-0.03</v>
      </c>
      <c r="D45" s="13" t="n">
        <v>0.022</v>
      </c>
      <c r="E45" s="14" t="n">
        <f aca="false">MIN(1,E44+F44)</f>
        <v>0.199250285714286</v>
      </c>
      <c r="F45" s="13" t="n">
        <f aca="false">(D45-0.005)*0.1/0.035*(1+B45+C45)*0.01*12</f>
        <v>0.00798514285714286</v>
      </c>
    </row>
    <row r="46" customFormat="false" ht="15" hidden="false" customHeight="false" outlineLevel="0" collapsed="false">
      <c r="A46" s="5" t="n">
        <v>1855</v>
      </c>
      <c r="B46" s="12" t="n">
        <v>0.4</v>
      </c>
      <c r="C46" s="12" t="n">
        <v>0.02</v>
      </c>
      <c r="D46" s="13" t="n">
        <v>0.0225</v>
      </c>
      <c r="E46" s="14" t="n">
        <f aca="false">MIN(1,E45+F45)</f>
        <v>0.207235428571429</v>
      </c>
      <c r="F46" s="13" t="n">
        <f aca="false">(D46-0.005)*0.1/0.035*(1+B46+C46)*0.01*12</f>
        <v>0.00852</v>
      </c>
    </row>
    <row r="47" customFormat="false" ht="15" hidden="false" customHeight="false" outlineLevel="0" collapsed="false">
      <c r="A47" s="5" t="n">
        <v>1856</v>
      </c>
      <c r="B47" s="12" t="n">
        <v>0.7</v>
      </c>
      <c r="C47" s="12" t="n">
        <v>0.02</v>
      </c>
      <c r="D47" s="13" t="n">
        <v>0.023</v>
      </c>
      <c r="E47" s="14" t="n">
        <f aca="false">MIN(1,E46+F46)</f>
        <v>0.215755428571429</v>
      </c>
      <c r="F47" s="13" t="n">
        <f aca="false">(D47-0.005)*0.1/0.035*(1+B47+C47)*0.01*12</f>
        <v>0.0106148571428571</v>
      </c>
    </row>
    <row r="48" customFormat="false" ht="15" hidden="false" customHeight="false" outlineLevel="0" collapsed="false">
      <c r="A48" s="5" t="n">
        <v>1857</v>
      </c>
      <c r="B48" s="12" t="n">
        <v>0.7</v>
      </c>
      <c r="C48" s="12" t="n">
        <v>0.02</v>
      </c>
      <c r="D48" s="13" t="n">
        <v>0.0235</v>
      </c>
      <c r="E48" s="14" t="n">
        <f aca="false">MIN(1,E47+F47)</f>
        <v>0.226370285714286</v>
      </c>
      <c r="F48" s="13" t="n">
        <f aca="false">(D48-0.005)*0.1/0.035*(1+B48+C48)*0.01*12</f>
        <v>0.0109097142857143</v>
      </c>
    </row>
    <row r="49" customFormat="false" ht="15" hidden="false" customHeight="false" outlineLevel="0" collapsed="false">
      <c r="A49" s="5" t="n">
        <v>1858</v>
      </c>
      <c r="B49" s="12" t="n">
        <v>0.7</v>
      </c>
      <c r="C49" s="12" t="n">
        <v>0.02</v>
      </c>
      <c r="D49" s="13" t="n">
        <v>0.024</v>
      </c>
      <c r="E49" s="14" t="n">
        <f aca="false">MIN(1,E48+F48)</f>
        <v>0.23728</v>
      </c>
      <c r="F49" s="13" t="n">
        <f aca="false">(D49-0.005)*0.1/0.035*(1+B49+C49)*0.01*12</f>
        <v>0.0112045714285714</v>
      </c>
    </row>
    <row r="50" customFormat="false" ht="15" hidden="false" customHeight="false" outlineLevel="0" collapsed="false">
      <c r="A50" s="5" t="n">
        <v>1859</v>
      </c>
      <c r="B50" s="12" t="n">
        <v>0.7</v>
      </c>
      <c r="C50" s="12" t="n">
        <v>0.02</v>
      </c>
      <c r="D50" s="13" t="n">
        <v>0.0245</v>
      </c>
      <c r="E50" s="14" t="n">
        <f aca="false">MIN(1,E49+F49)</f>
        <v>0.248484571428571</v>
      </c>
      <c r="F50" s="13" t="n">
        <f aca="false">(D50-0.005)*0.1/0.035*(1+B50+C50)*0.01*12</f>
        <v>0.0114994285714286</v>
      </c>
    </row>
    <row r="51" customFormat="false" ht="15" hidden="false" customHeight="false" outlineLevel="0" collapsed="false">
      <c r="A51" s="5" t="n">
        <v>1860</v>
      </c>
      <c r="B51" s="12" t="n">
        <v>0.7</v>
      </c>
      <c r="C51" s="12" t="n">
        <v>0.02</v>
      </c>
      <c r="D51" s="13" t="n">
        <v>0.025</v>
      </c>
      <c r="E51" s="14" t="n">
        <f aca="false">MIN(1,E50+F50)</f>
        <v>0.259984</v>
      </c>
      <c r="F51" s="13" t="n">
        <f aca="false">(D51-0.005)*0.1/0.035*(1+B51+C51)*0.01*12</f>
        <v>0.0117942857142857</v>
      </c>
    </row>
    <row r="52" customFormat="false" ht="15" hidden="false" customHeight="false" outlineLevel="0" collapsed="false">
      <c r="A52" s="5" t="n">
        <v>1861</v>
      </c>
      <c r="B52" s="12" t="n">
        <v>0.7</v>
      </c>
      <c r="C52" s="12" t="n">
        <v>0.02</v>
      </c>
      <c r="D52" s="13" t="n">
        <v>0.0255</v>
      </c>
      <c r="E52" s="14" t="n">
        <f aca="false">MIN(1,E51+F51)</f>
        <v>0.271778285714286</v>
      </c>
      <c r="F52" s="13" t="n">
        <f aca="false">(D52-0.005)*0.1/0.035*(1+B52+C52)*0.01*12</f>
        <v>0.0120891428571429</v>
      </c>
    </row>
    <row r="53" customFormat="false" ht="15" hidden="false" customHeight="false" outlineLevel="0" collapsed="false">
      <c r="A53" s="5" t="n">
        <v>1862</v>
      </c>
      <c r="B53" s="12" t="n">
        <v>0.7</v>
      </c>
      <c r="C53" s="12" t="n">
        <v>0.02</v>
      </c>
      <c r="D53" s="13" t="n">
        <v>0.026</v>
      </c>
      <c r="E53" s="14" t="n">
        <f aca="false">MIN(1,E52+F52)</f>
        <v>0.283867428571429</v>
      </c>
      <c r="F53" s="13" t="n">
        <f aca="false">(D53-0.005)*0.1/0.035*(1+B53+C53)*0.01*12</f>
        <v>0.012384</v>
      </c>
    </row>
    <row r="54" customFormat="false" ht="15" hidden="false" customHeight="false" outlineLevel="0" collapsed="false">
      <c r="A54" s="5" t="n">
        <v>1863</v>
      </c>
      <c r="B54" s="12" t="n">
        <v>0.7</v>
      </c>
      <c r="C54" s="12" t="n">
        <v>0.12</v>
      </c>
      <c r="D54" s="13" t="n">
        <v>0.0265</v>
      </c>
      <c r="E54" s="14" t="n">
        <f aca="false">MIN(1,E53+F53)</f>
        <v>0.296251428571429</v>
      </c>
      <c r="F54" s="13" t="n">
        <f aca="false">(D54-0.005)*0.1/0.035*(1+B54+C54)*0.01*12</f>
        <v>0.013416</v>
      </c>
    </row>
    <row r="55" customFormat="false" ht="15" hidden="false" customHeight="false" outlineLevel="0" collapsed="false">
      <c r="A55" s="5" t="n">
        <v>1864</v>
      </c>
      <c r="B55" s="12" t="n">
        <v>0.7</v>
      </c>
      <c r="C55" s="12" t="n">
        <v>0.12</v>
      </c>
      <c r="D55" s="13" t="n">
        <v>0.027</v>
      </c>
      <c r="E55" s="14" t="n">
        <f aca="false">MIN(1,E54+F54)</f>
        <v>0.309667428571429</v>
      </c>
      <c r="F55" s="13" t="n">
        <f aca="false">(D55-0.005)*0.1/0.035*(1+B55+C55)*0.01*12</f>
        <v>0.013728</v>
      </c>
    </row>
    <row r="56" customFormat="false" ht="15" hidden="false" customHeight="false" outlineLevel="0" collapsed="false">
      <c r="A56" s="5" t="n">
        <v>1865</v>
      </c>
      <c r="B56" s="12" t="n">
        <v>0.7</v>
      </c>
      <c r="C56" s="12" t="n">
        <v>0.12</v>
      </c>
      <c r="D56" s="13" t="n">
        <v>0.0275</v>
      </c>
      <c r="E56" s="14" t="n">
        <f aca="false">MIN(1,E55+F55)</f>
        <v>0.323395428571429</v>
      </c>
      <c r="F56" s="13" t="n">
        <f aca="false">(D56-0.005)*0.1/0.035*(1+B56+C56)*0.01*12</f>
        <v>0.01404</v>
      </c>
    </row>
    <row r="57" customFormat="false" ht="15" hidden="false" customHeight="false" outlineLevel="0" collapsed="false">
      <c r="A57" s="5" t="n">
        <v>1866</v>
      </c>
      <c r="B57" s="12" t="n">
        <v>0.7</v>
      </c>
      <c r="C57" s="12" t="n">
        <v>0.12</v>
      </c>
      <c r="D57" s="13" t="n">
        <v>0.028</v>
      </c>
      <c r="E57" s="14" t="n">
        <f aca="false">MIN(1,E56+F56)</f>
        <v>0.337435428571429</v>
      </c>
      <c r="F57" s="13" t="n">
        <f aca="false">(D57-0.005)*0.1/0.035*(1+B57+C57)*0.01*12</f>
        <v>0.014352</v>
      </c>
    </row>
    <row r="58" customFormat="false" ht="15" hidden="false" customHeight="false" outlineLevel="0" collapsed="false">
      <c r="A58" s="5" t="n">
        <v>1867</v>
      </c>
      <c r="B58" s="12" t="n">
        <v>0.7</v>
      </c>
      <c r="C58" s="12" t="n">
        <v>0.12</v>
      </c>
      <c r="D58" s="13" t="n">
        <v>0.0285</v>
      </c>
      <c r="E58" s="14" t="n">
        <f aca="false">MIN(1,E57+F57)</f>
        <v>0.351787428571429</v>
      </c>
      <c r="F58" s="13" t="n">
        <f aca="false">(D58-0.005)*0.1/0.035*(1+B58+C58)*0.01*12</f>
        <v>0.014664</v>
      </c>
    </row>
    <row r="59" customFormat="false" ht="15" hidden="false" customHeight="false" outlineLevel="0" collapsed="false">
      <c r="A59" s="5" t="n">
        <v>1868</v>
      </c>
      <c r="B59" s="12" t="n">
        <v>0.7</v>
      </c>
      <c r="C59" s="12" t="n">
        <v>0.12</v>
      </c>
      <c r="D59" s="13" t="n">
        <v>0.029</v>
      </c>
      <c r="E59" s="14" t="n">
        <f aca="false">MIN(1,E58+F58)</f>
        <v>0.366451428571429</v>
      </c>
      <c r="F59" s="13" t="n">
        <f aca="false">(D59-0.005)*0.1/0.035*(1+B59+C59)*0.01*12</f>
        <v>0.014976</v>
      </c>
    </row>
    <row r="60" customFormat="false" ht="15" hidden="false" customHeight="false" outlineLevel="0" collapsed="false">
      <c r="A60" s="5" t="n">
        <v>1869</v>
      </c>
      <c r="B60" s="12" t="n">
        <v>0.7</v>
      </c>
      <c r="C60" s="12" t="n">
        <v>0.12</v>
      </c>
      <c r="D60" s="13" t="n">
        <v>0.0295</v>
      </c>
      <c r="E60" s="14" t="n">
        <f aca="false">MIN(1,E59+F59)</f>
        <v>0.381427428571429</v>
      </c>
      <c r="F60" s="13" t="n">
        <f aca="false">(D60-0.005)*0.1/0.035*(1+B60+C60)*0.01*12</f>
        <v>0.015288</v>
      </c>
    </row>
    <row r="61" customFormat="false" ht="15" hidden="false" customHeight="false" outlineLevel="0" collapsed="false">
      <c r="A61" s="5" t="n">
        <v>1870</v>
      </c>
      <c r="B61" s="12" t="n">
        <v>0.7</v>
      </c>
      <c r="C61" s="12" t="n">
        <v>0.17</v>
      </c>
      <c r="D61" s="13" t="n">
        <v>0.03</v>
      </c>
      <c r="E61" s="14" t="n">
        <f aca="false">MIN(1,E60+F60)</f>
        <v>0.396715428571429</v>
      </c>
      <c r="F61" s="13" t="n">
        <f aca="false">(D61-0.005)*0.1/0.035*(1+B61+C61)*0.01*12</f>
        <v>0.0160285714285714</v>
      </c>
    </row>
    <row r="62" customFormat="false" ht="15" hidden="false" customHeight="false" outlineLevel="0" collapsed="false">
      <c r="A62" s="5" t="n">
        <v>1871</v>
      </c>
      <c r="B62" s="12" t="n">
        <v>0.7</v>
      </c>
      <c r="C62" s="12" t="n">
        <v>0.17</v>
      </c>
      <c r="D62" s="13" t="n">
        <v>0.0305</v>
      </c>
      <c r="E62" s="14" t="n">
        <f aca="false">MIN(1,E61+F61)</f>
        <v>0.412744</v>
      </c>
      <c r="F62" s="13" t="n">
        <f aca="false">(D62-0.005)*0.1/0.035*(1+B62+C62)*0.01*12</f>
        <v>0.0163491428571429</v>
      </c>
    </row>
    <row r="63" customFormat="false" ht="15" hidden="false" customHeight="false" outlineLevel="0" collapsed="false">
      <c r="A63" s="5" t="n">
        <v>1872</v>
      </c>
      <c r="B63" s="12" t="n">
        <v>0.7</v>
      </c>
      <c r="C63" s="12" t="n">
        <v>0.17</v>
      </c>
      <c r="D63" s="13" t="n">
        <v>0.031</v>
      </c>
      <c r="E63" s="14" t="n">
        <f aca="false">MIN(1,E62+F62)</f>
        <v>0.429093142857143</v>
      </c>
      <c r="F63" s="13" t="n">
        <f aca="false">(D63-0.005)*0.1/0.035*(1+B63+C63)*0.01*12</f>
        <v>0.0166697142857143</v>
      </c>
    </row>
    <row r="64" customFormat="false" ht="15" hidden="false" customHeight="false" outlineLevel="0" collapsed="false">
      <c r="A64" s="5" t="n">
        <v>1873</v>
      </c>
      <c r="B64" s="12" t="n">
        <v>0.7</v>
      </c>
      <c r="C64" s="12" t="n">
        <v>0.17</v>
      </c>
      <c r="D64" s="13" t="n">
        <v>0.0315</v>
      </c>
      <c r="E64" s="14" t="n">
        <f aca="false">MIN(1,E63+F63)</f>
        <v>0.445762857142857</v>
      </c>
      <c r="F64" s="13" t="n">
        <f aca="false">(D64-0.005)*0.1/0.035*(1+B64+C64)*0.01*12</f>
        <v>0.0169902857142857</v>
      </c>
    </row>
    <row r="65" customFormat="false" ht="15" hidden="false" customHeight="false" outlineLevel="0" collapsed="false">
      <c r="A65" s="5" t="n">
        <v>1874</v>
      </c>
      <c r="B65" s="12" t="n">
        <v>0.7</v>
      </c>
      <c r="C65" s="12" t="n">
        <v>0.17</v>
      </c>
      <c r="D65" s="13" t="n">
        <v>0.032</v>
      </c>
      <c r="E65" s="14" t="n">
        <f aca="false">MIN(1,E64+F64)</f>
        <v>0.462753142857143</v>
      </c>
      <c r="F65" s="13" t="n">
        <f aca="false">(D65-0.005)*0.1/0.035*(1+B65+C65)*0.01*12</f>
        <v>0.0173108571428571</v>
      </c>
    </row>
    <row r="66" customFormat="false" ht="15" hidden="false" customHeight="false" outlineLevel="0" collapsed="false">
      <c r="A66" s="5" t="n">
        <v>1875</v>
      </c>
      <c r="B66" s="12" t="n">
        <v>0.7</v>
      </c>
      <c r="C66" s="12" t="n">
        <v>0.17</v>
      </c>
      <c r="D66" s="13" t="n">
        <v>0.0325</v>
      </c>
      <c r="E66" s="14" t="n">
        <f aca="false">MIN(1,E65+F65)</f>
        <v>0.480064</v>
      </c>
      <c r="F66" s="13" t="n">
        <f aca="false">(D66-0.005)*0.1/0.035*(1+B66+C66)*0.01*12</f>
        <v>0.0176314285714286</v>
      </c>
    </row>
    <row r="67" customFormat="false" ht="15" hidden="false" customHeight="false" outlineLevel="0" collapsed="false">
      <c r="A67" s="5" t="n">
        <v>1876</v>
      </c>
      <c r="B67" s="12" t="n">
        <v>0.7</v>
      </c>
      <c r="C67" s="12" t="n">
        <v>0.17</v>
      </c>
      <c r="D67" s="13" t="n">
        <v>0.033</v>
      </c>
      <c r="E67" s="14" t="n">
        <f aca="false">MIN(1,E66+F66)</f>
        <v>0.497695428571429</v>
      </c>
      <c r="F67" s="13" t="n">
        <f aca="false">(D67-0.005)*0.1/0.035*(1+B67+C67)*0.01*12</f>
        <v>0.017952</v>
      </c>
    </row>
    <row r="68" customFormat="false" ht="15" hidden="false" customHeight="false" outlineLevel="0" collapsed="false">
      <c r="A68" s="5" t="n">
        <v>1877</v>
      </c>
      <c r="B68" s="12" t="n">
        <v>0.7</v>
      </c>
      <c r="C68" s="12" t="n">
        <v>0.17</v>
      </c>
      <c r="D68" s="13" t="n">
        <v>0.0335</v>
      </c>
      <c r="E68" s="14" t="n">
        <f aca="false">MIN(1,E67+F67)</f>
        <v>0.515647428571429</v>
      </c>
      <c r="F68" s="13" t="n">
        <f aca="false">(D68-0.005)*0.1/0.035*(1+B68+C68)*0.01*12</f>
        <v>0.0182725714285714</v>
      </c>
    </row>
    <row r="69" customFormat="false" ht="15" hidden="false" customHeight="false" outlineLevel="0" collapsed="false">
      <c r="A69" s="5" t="n">
        <v>1878</v>
      </c>
      <c r="B69" s="12" t="n">
        <v>0.7</v>
      </c>
      <c r="C69" s="12" t="n">
        <v>0.17</v>
      </c>
      <c r="D69" s="13" t="n">
        <v>0.034</v>
      </c>
      <c r="E69" s="14" t="n">
        <f aca="false">MIN(1,E68+F68)</f>
        <v>0.53392</v>
      </c>
      <c r="F69" s="13" t="n">
        <f aca="false">(D69-0.005)*0.1/0.035*(1+B69+C69)*0.01*12</f>
        <v>0.0185931428571429</v>
      </c>
    </row>
    <row r="70" customFormat="false" ht="15" hidden="false" customHeight="false" outlineLevel="0" collapsed="false">
      <c r="A70" s="5" t="n">
        <v>1879</v>
      </c>
      <c r="B70" s="12" t="n">
        <v>0.7</v>
      </c>
      <c r="C70" s="12" t="n">
        <v>0.17</v>
      </c>
      <c r="D70" s="13" t="n">
        <v>0.0345</v>
      </c>
      <c r="E70" s="14" t="n">
        <f aca="false">MIN(1,E69+F69)</f>
        <v>0.552513142857143</v>
      </c>
      <c r="F70" s="13" t="n">
        <f aca="false">(D70-0.005)*0.1/0.035*(1+B70+C70)*0.01*12</f>
        <v>0.0189137142857143</v>
      </c>
    </row>
    <row r="71" customFormat="false" ht="15" hidden="false" customHeight="false" outlineLevel="0" collapsed="false">
      <c r="A71" s="5" t="n">
        <v>1880</v>
      </c>
      <c r="B71" s="12" t="n">
        <v>0.7</v>
      </c>
      <c r="C71" s="12" t="n">
        <v>0.17</v>
      </c>
      <c r="D71" s="13" t="n">
        <v>0.035</v>
      </c>
      <c r="E71" s="14" t="n">
        <f aca="false">MIN(1,E70+F70)</f>
        <v>0.571426857142857</v>
      </c>
      <c r="F71" s="13" t="n">
        <f aca="false">(D71-0.005)*0.1/0.035*(1+B71+C71)*0.01*12</f>
        <v>0.0192342857142857</v>
      </c>
    </row>
    <row r="72" customFormat="false" ht="15" hidden="false" customHeight="false" outlineLevel="0" collapsed="false">
      <c r="A72" s="5" t="n">
        <v>1881</v>
      </c>
      <c r="B72" s="12" t="n">
        <v>0.7</v>
      </c>
      <c r="C72" s="12" t="n">
        <v>0.17</v>
      </c>
      <c r="D72" s="13" t="n">
        <v>0.0355</v>
      </c>
      <c r="E72" s="14" t="n">
        <f aca="false">MIN(1,E71+F71)</f>
        <v>0.590661142857143</v>
      </c>
      <c r="F72" s="13" t="n">
        <f aca="false">(D72-0.005)*0.1/0.035*(1+B72+C72)*0.01*12</f>
        <v>0.0195548571428571</v>
      </c>
    </row>
    <row r="73" customFormat="false" ht="15" hidden="false" customHeight="false" outlineLevel="0" collapsed="false">
      <c r="A73" s="5" t="n">
        <v>1882</v>
      </c>
      <c r="B73" s="12" t="n">
        <v>0.7</v>
      </c>
      <c r="C73" s="12" t="n">
        <v>0.17</v>
      </c>
      <c r="D73" s="13" t="n">
        <v>0.036</v>
      </c>
      <c r="E73" s="14" t="n">
        <f aca="false">MIN(1,E72+F72)</f>
        <v>0.610216</v>
      </c>
      <c r="F73" s="13" t="n">
        <f aca="false">(D73-0.005)*0.1/0.035*(1+B73+C73)*0.01*12</f>
        <v>0.0198754285714286</v>
      </c>
    </row>
    <row r="74" customFormat="false" ht="15" hidden="false" customHeight="false" outlineLevel="0" collapsed="false">
      <c r="A74" s="5" t="n">
        <v>1883</v>
      </c>
      <c r="B74" s="12" t="n">
        <v>0.7</v>
      </c>
      <c r="C74" s="12" t="n">
        <v>0.32</v>
      </c>
      <c r="D74" s="13" t="n">
        <v>0.0365</v>
      </c>
      <c r="E74" s="14" t="n">
        <f aca="false">MIN(1,E73+F73)</f>
        <v>0.630091428571429</v>
      </c>
      <c r="F74" s="13" t="n">
        <f aca="false">(D74-0.005)*0.1/0.035*(1+B74+C74)*0.01*12</f>
        <v>0.021816</v>
      </c>
    </row>
    <row r="75" customFormat="false" ht="15" hidden="false" customHeight="false" outlineLevel="0" collapsed="false">
      <c r="A75" s="5" t="n">
        <v>1884</v>
      </c>
      <c r="B75" s="12" t="n">
        <v>0.7</v>
      </c>
      <c r="C75" s="12" t="n">
        <v>0.32</v>
      </c>
      <c r="D75" s="13" t="n">
        <v>0.037</v>
      </c>
      <c r="E75" s="14" t="n">
        <f aca="false">MIN(1,E74+F74)</f>
        <v>0.651907428571429</v>
      </c>
      <c r="F75" s="13" t="n">
        <f aca="false">(D75-0.005)*0.1/0.035*(1+B75+C75)*0.01*12</f>
        <v>0.0221622857142857</v>
      </c>
    </row>
    <row r="76" customFormat="false" ht="15" hidden="false" customHeight="false" outlineLevel="0" collapsed="false">
      <c r="A76" s="5" t="n">
        <v>1885</v>
      </c>
      <c r="B76" s="12" t="n">
        <v>0.7</v>
      </c>
      <c r="C76" s="12" t="n">
        <v>0.32</v>
      </c>
      <c r="D76" s="13" t="n">
        <v>0.0375</v>
      </c>
      <c r="E76" s="14" t="n">
        <f aca="false">MIN(1,E75+F75)</f>
        <v>0.674069714285714</v>
      </c>
      <c r="F76" s="13" t="n">
        <f aca="false">(D76-0.005)*0.1/0.035*(1+B76+C76)*0.01*12</f>
        <v>0.0225085714285714</v>
      </c>
    </row>
    <row r="77" customFormat="false" ht="15" hidden="false" customHeight="false" outlineLevel="0" collapsed="false">
      <c r="A77" s="5" t="n">
        <v>1886</v>
      </c>
      <c r="B77" s="12" t="n">
        <v>0.7</v>
      </c>
      <c r="C77" s="12" t="n">
        <v>0.32</v>
      </c>
      <c r="D77" s="13" t="n">
        <v>0.038</v>
      </c>
      <c r="E77" s="14" t="n">
        <f aca="false">MIN(1,E76+F76)</f>
        <v>0.696578285714286</v>
      </c>
      <c r="F77" s="13" t="n">
        <f aca="false">(D77-0.005)*0.1/0.035*(1+B77+C77)*0.01*12</f>
        <v>0.0228548571428571</v>
      </c>
    </row>
    <row r="78" customFormat="false" ht="15" hidden="false" customHeight="false" outlineLevel="0" collapsed="false">
      <c r="A78" s="5" t="n">
        <v>1887</v>
      </c>
      <c r="B78" s="12" t="n">
        <v>0.7</v>
      </c>
      <c r="C78" s="12" t="n">
        <v>0.32</v>
      </c>
      <c r="D78" s="13" t="n">
        <v>0.0385</v>
      </c>
      <c r="E78" s="14" t="n">
        <f aca="false">MIN(1,E77+F77)</f>
        <v>0.719433142857143</v>
      </c>
      <c r="F78" s="13" t="n">
        <f aca="false">(D78-0.005)*0.1/0.035*(1+B78+C78)*0.01*12</f>
        <v>0.0232011428571429</v>
      </c>
    </row>
    <row r="79" customFormat="false" ht="15" hidden="false" customHeight="false" outlineLevel="0" collapsed="false">
      <c r="A79" s="5" t="n">
        <v>1888</v>
      </c>
      <c r="B79" s="12" t="n">
        <v>0.7</v>
      </c>
      <c r="C79" s="12" t="n">
        <v>0.32</v>
      </c>
      <c r="D79" s="13" t="n">
        <v>0.039</v>
      </c>
      <c r="E79" s="14" t="n">
        <f aca="false">MIN(1,E78+F78)</f>
        <v>0.742634285714286</v>
      </c>
      <c r="F79" s="13" t="n">
        <f aca="false">(D79-0.005)*0.1/0.035*(1+B79+C79)*0.01*12</f>
        <v>0.0235474285714286</v>
      </c>
    </row>
    <row r="80" customFormat="false" ht="15" hidden="false" customHeight="false" outlineLevel="0" collapsed="false">
      <c r="A80" s="5" t="n">
        <v>1889</v>
      </c>
      <c r="B80" s="12" t="n">
        <v>0.7</v>
      </c>
      <c r="C80" s="12" t="n">
        <v>0.32</v>
      </c>
      <c r="D80" s="13" t="n">
        <v>0.0395</v>
      </c>
      <c r="E80" s="14" t="n">
        <f aca="false">MIN(1,E79+F79)</f>
        <v>0.766181714285714</v>
      </c>
      <c r="F80" s="13" t="n">
        <f aca="false">(D80-0.005)*0.1/0.035*(1+B80+C80)*0.01*12</f>
        <v>0.0238937142857143</v>
      </c>
    </row>
    <row r="81" customFormat="false" ht="15" hidden="false" customHeight="false" outlineLevel="0" collapsed="false">
      <c r="A81" s="5" t="n">
        <v>1890</v>
      </c>
      <c r="B81" s="12" t="n">
        <v>0.7</v>
      </c>
      <c r="C81" s="12" t="n">
        <v>0.32</v>
      </c>
      <c r="D81" s="13" t="n">
        <v>0.04</v>
      </c>
      <c r="E81" s="14" t="n">
        <f aca="false">MIN(1,E80+F80)</f>
        <v>0.790075428571428</v>
      </c>
      <c r="F81" s="13" t="n">
        <f aca="false">(D81-0.005)*0.1/0.035*(1+B81+C81)*0.01*12</f>
        <v>0.02424</v>
      </c>
    </row>
    <row r="82" customFormat="false" ht="15" hidden="false" customHeight="false" outlineLevel="0" collapsed="false">
      <c r="A82" s="5" t="n">
        <v>1891</v>
      </c>
      <c r="B82" s="12" t="n">
        <v>0.7</v>
      </c>
      <c r="C82" s="12" t="n">
        <v>0.32</v>
      </c>
      <c r="D82" s="13" t="n">
        <v>0.04</v>
      </c>
      <c r="E82" s="14" t="n">
        <f aca="false">MIN(1,E81+F81)</f>
        <v>0.814315428571429</v>
      </c>
      <c r="F82" s="13" t="n">
        <f aca="false">(D82-0.005)*0.1/0.035*(1+B82+C82)*0.01*12</f>
        <v>0.02424</v>
      </c>
    </row>
    <row r="83" customFormat="false" ht="15" hidden="false" customHeight="false" outlineLevel="0" collapsed="false">
      <c r="A83" s="5" t="n">
        <v>1892</v>
      </c>
      <c r="B83" s="12" t="n">
        <v>0.7</v>
      </c>
      <c r="C83" s="12" t="n">
        <v>0.32</v>
      </c>
      <c r="D83" s="13" t="n">
        <v>0.04</v>
      </c>
      <c r="E83" s="14" t="n">
        <f aca="false">MIN(1,E82+F82)</f>
        <v>0.838555428571429</v>
      </c>
      <c r="F83" s="13" t="n">
        <f aca="false">(D83-0.005)*0.1/0.035*(1+B83+C83)*0.01*12</f>
        <v>0.02424</v>
      </c>
    </row>
    <row r="84" customFormat="false" ht="15" hidden="false" customHeight="false" outlineLevel="0" collapsed="false">
      <c r="A84" s="5" t="n">
        <v>1893</v>
      </c>
      <c r="B84" s="12" t="n">
        <v>0.7</v>
      </c>
      <c r="C84" s="12" t="n">
        <v>0.32</v>
      </c>
      <c r="D84" s="13" t="n">
        <v>0.04</v>
      </c>
      <c r="E84" s="14" t="n">
        <f aca="false">MIN(1,E83+F83)</f>
        <v>0.862795428571429</v>
      </c>
      <c r="F84" s="13" t="n">
        <f aca="false">(D84-0.005)*0.1/0.035*(1+B84+C84)*0.01*12</f>
        <v>0.02424</v>
      </c>
    </row>
    <row r="85" customFormat="false" ht="15" hidden="false" customHeight="false" outlineLevel="0" collapsed="false">
      <c r="A85" s="5" t="n">
        <v>1894</v>
      </c>
      <c r="B85" s="12" t="n">
        <v>0.7</v>
      </c>
      <c r="C85" s="12" t="n">
        <v>0.32</v>
      </c>
      <c r="D85" s="13" t="n">
        <v>0.04</v>
      </c>
      <c r="E85" s="14" t="n">
        <f aca="false">MIN(1,E84+F84)</f>
        <v>0.887035428571429</v>
      </c>
      <c r="F85" s="13" t="n">
        <f aca="false">(D85-0.005)*0.1/0.035*(1+B85+C85)*0.01*12</f>
        <v>0.02424</v>
      </c>
    </row>
    <row r="86" customFormat="false" ht="15" hidden="false" customHeight="false" outlineLevel="0" collapsed="false">
      <c r="A86" s="5" t="n">
        <v>1895</v>
      </c>
      <c r="B86" s="12" t="n">
        <v>0.7</v>
      </c>
      <c r="C86" s="12" t="n">
        <v>0.32</v>
      </c>
      <c r="D86" s="13" t="n">
        <v>0.04</v>
      </c>
      <c r="E86" s="14" t="n">
        <f aca="false">MIN(1,E85+F85)</f>
        <v>0.911275428571429</v>
      </c>
      <c r="F86" s="13" t="n">
        <f aca="false">(D86-0.005)*0.1/0.035*(1+B86+C86)*0.01*12</f>
        <v>0.02424</v>
      </c>
    </row>
    <row r="87" customFormat="false" ht="15" hidden="false" customHeight="false" outlineLevel="0" collapsed="false">
      <c r="A87" s="5" t="n">
        <v>1896</v>
      </c>
      <c r="B87" s="12" t="n">
        <v>0.7</v>
      </c>
      <c r="C87" s="12" t="n">
        <v>0.32</v>
      </c>
      <c r="D87" s="13" t="n">
        <v>0.04</v>
      </c>
      <c r="E87" s="14" t="n">
        <f aca="false">MIN(1,E86+F86)</f>
        <v>0.935515428571429</v>
      </c>
      <c r="F87" s="13" t="n">
        <f aca="false">(D87-0.005)*0.1/0.035*(1+B87+C87)*0.01*12</f>
        <v>0.02424</v>
      </c>
    </row>
    <row r="88" customFormat="false" ht="15" hidden="false" customHeight="false" outlineLevel="0" collapsed="false">
      <c r="A88" s="5" t="n">
        <v>1897</v>
      </c>
      <c r="B88" s="12" t="n">
        <v>0.7</v>
      </c>
      <c r="C88" s="12" t="n">
        <v>0.32</v>
      </c>
      <c r="D88" s="13" t="n">
        <v>0.04</v>
      </c>
      <c r="E88" s="14" t="n">
        <f aca="false">MIN(1,E87+F87)</f>
        <v>0.959755428571429</v>
      </c>
      <c r="F88" s="13" t="n">
        <f aca="false">(D88-0.005)*0.1/0.035*(1+B88+C88)*0.01*12</f>
        <v>0.02424</v>
      </c>
    </row>
    <row r="89" customFormat="false" ht="15" hidden="false" customHeight="false" outlineLevel="0" collapsed="false">
      <c r="A89" s="5" t="n">
        <v>1898</v>
      </c>
      <c r="B89" s="12" t="n">
        <v>0.7</v>
      </c>
      <c r="C89" s="12" t="n">
        <v>0.32</v>
      </c>
      <c r="D89" s="13" t="n">
        <v>0.04</v>
      </c>
      <c r="E89" s="14" t="n">
        <f aca="false">MIN(1,E88+F88)</f>
        <v>0.983995428571429</v>
      </c>
      <c r="F89" s="13" t="n">
        <f aca="false">(D89-0.005)*0.1/0.035*(1+B89+C89)*0.01*12</f>
        <v>0.02424</v>
      </c>
    </row>
    <row r="90" customFormat="false" ht="15" hidden="false" customHeight="false" outlineLevel="0" collapsed="false">
      <c r="A90" s="5" t="n">
        <v>1899</v>
      </c>
      <c r="B90" s="12" t="n">
        <v>0.7</v>
      </c>
      <c r="C90" s="12" t="n">
        <v>0.32</v>
      </c>
      <c r="D90" s="13" t="n">
        <v>0.04</v>
      </c>
      <c r="E90" s="14" t="n">
        <f aca="false">MIN(1,E89+F89)</f>
        <v>1</v>
      </c>
      <c r="F90" s="13" t="n">
        <f aca="false">(D90-0.005)*0.1/0.035*(1+B90+C90)*0.01*12</f>
        <v>0.02424</v>
      </c>
    </row>
    <row r="91" customFormat="false" ht="15" hidden="false" customHeight="false" outlineLevel="0" collapsed="false">
      <c r="A91" s="5" t="n">
        <v>1900</v>
      </c>
      <c r="B91" s="12" t="n">
        <v>0.7</v>
      </c>
      <c r="C91" s="12" t="n">
        <v>0.32</v>
      </c>
      <c r="D91" s="13" t="n">
        <v>0.04</v>
      </c>
      <c r="E91" s="14" t="n">
        <f aca="false">MIN(1,E90+F90)</f>
        <v>1</v>
      </c>
      <c r="F91" s="13" t="n">
        <f aca="false">(D91-0.005)*0.1/0.035*(1+B91+C91)*0.01*12</f>
        <v>0.02424</v>
      </c>
    </row>
    <row r="92" customFormat="false" ht="15" hidden="false" customHeight="false" outlineLevel="0" collapsed="false">
      <c r="A92" s="5" t="n">
        <v>1901</v>
      </c>
      <c r="B92" s="12" t="n">
        <v>0.7</v>
      </c>
      <c r="C92" s="12" t="n">
        <v>0.32</v>
      </c>
      <c r="D92" s="13" t="n">
        <v>0.04</v>
      </c>
      <c r="E92" s="14" t="n">
        <f aca="false">MIN(1,E91+F91)</f>
        <v>1</v>
      </c>
      <c r="F92" s="13" t="n">
        <f aca="false">(D92-0.005)*0.1/0.035*(1+B92+C92)*0.01*12</f>
        <v>0.02424</v>
      </c>
    </row>
    <row r="93" customFormat="false" ht="15" hidden="false" customHeight="false" outlineLevel="0" collapsed="false">
      <c r="A93" s="5" t="n">
        <v>1902</v>
      </c>
      <c r="B93" s="12" t="n">
        <v>1.35</v>
      </c>
      <c r="C93" s="12" t="n">
        <v>0.32</v>
      </c>
      <c r="D93" s="13" t="n">
        <v>0.04</v>
      </c>
      <c r="E93" s="14" t="n">
        <f aca="false">MIN(1,E92+F92)</f>
        <v>1</v>
      </c>
      <c r="F93" s="13" t="n">
        <f aca="false">(D93-0.005)*0.1/0.035*(1+B93+C93)*0.01*12</f>
        <v>0.03204</v>
      </c>
    </row>
    <row r="94" customFormat="false" ht="15" hidden="false" customHeight="false" outlineLevel="0" collapsed="false">
      <c r="A94" s="5" t="n">
        <v>1903</v>
      </c>
      <c r="B94" s="12" t="n">
        <v>1.35</v>
      </c>
      <c r="C94" s="12" t="n">
        <v>0.32</v>
      </c>
      <c r="D94" s="13" t="n">
        <v>0.04</v>
      </c>
      <c r="E94" s="14" t="n">
        <f aca="false">MIN(1,E93+F93)</f>
        <v>1</v>
      </c>
      <c r="F94" s="13" t="n">
        <f aca="false">(D94-0.005)*0.1/0.035*(1+B94+C94)*0.01*12</f>
        <v>0.03204</v>
      </c>
    </row>
    <row r="95" customFormat="false" ht="15" hidden="false" customHeight="false" outlineLevel="0" collapsed="false">
      <c r="A95" s="5" t="n">
        <v>1904</v>
      </c>
      <c r="B95" s="12" t="n">
        <v>1.35</v>
      </c>
      <c r="C95" s="12" t="n">
        <v>0.32</v>
      </c>
      <c r="D95" s="13" t="n">
        <v>0.04</v>
      </c>
      <c r="E95" s="14" t="n">
        <f aca="false">MIN(1,E94+F94)</f>
        <v>1</v>
      </c>
      <c r="F95" s="13" t="n">
        <f aca="false">(D95-0.005)*0.1/0.035*(1+B95+C95)*0.01*12</f>
        <v>0.03204</v>
      </c>
    </row>
    <row r="96" customFormat="false" ht="15" hidden="false" customHeight="false" outlineLevel="0" collapsed="false">
      <c r="A96" s="5" t="n">
        <v>1905</v>
      </c>
      <c r="B96" s="12" t="n">
        <v>1.35</v>
      </c>
      <c r="C96" s="12" t="n">
        <v>0.32</v>
      </c>
      <c r="D96" s="13" t="n">
        <v>0.04</v>
      </c>
      <c r="E96" s="14" t="n">
        <f aca="false">MIN(1,E95+F95)</f>
        <v>1</v>
      </c>
      <c r="F96" s="13" t="n">
        <f aca="false">(D96-0.005)*0.1/0.035*(1+B96+C96)*0.01*12</f>
        <v>0.03204</v>
      </c>
    </row>
    <row r="97" customFormat="false" ht="15" hidden="false" customHeight="false" outlineLevel="0" collapsed="false">
      <c r="A97" s="5" t="n">
        <v>1906</v>
      </c>
      <c r="B97" s="12" t="n">
        <v>1.35</v>
      </c>
      <c r="C97" s="12" t="n">
        <v>0.32</v>
      </c>
      <c r="D97" s="13" t="n">
        <v>0.04</v>
      </c>
      <c r="E97" s="14" t="n">
        <f aca="false">MIN(1,E96+F96)</f>
        <v>1</v>
      </c>
      <c r="F97" s="13" t="n">
        <f aca="false">(D97-0.005)*0.1/0.035*(1+B97+C97)*0.01*12</f>
        <v>0.03204</v>
      </c>
    </row>
    <row r="98" customFormat="false" ht="15" hidden="false" customHeight="false" outlineLevel="0" collapsed="false">
      <c r="A98" s="5" t="n">
        <v>1907</v>
      </c>
      <c r="B98" s="12" t="n">
        <v>1.35</v>
      </c>
      <c r="C98" s="12" t="n">
        <v>0.32</v>
      </c>
      <c r="D98" s="13" t="n">
        <v>0.04</v>
      </c>
      <c r="E98" s="14" t="n">
        <f aca="false">MIN(1,E97+F97)</f>
        <v>1</v>
      </c>
      <c r="F98" s="13" t="n">
        <f aca="false">(D98-0.005)*0.1/0.035*(1+B98+C98)*0.01*12</f>
        <v>0.03204</v>
      </c>
    </row>
    <row r="99" customFormat="false" ht="15" hidden="false" customHeight="false" outlineLevel="0" collapsed="false">
      <c r="A99" s="5" t="n">
        <v>1908</v>
      </c>
      <c r="B99" s="12" t="n">
        <v>1.35</v>
      </c>
      <c r="C99" s="12" t="n">
        <v>0.32</v>
      </c>
      <c r="D99" s="13" t="n">
        <v>0.04</v>
      </c>
      <c r="E99" s="14" t="n">
        <f aca="false">MIN(1,E98+F98)</f>
        <v>1</v>
      </c>
      <c r="F99" s="13" t="n">
        <f aca="false">(D99-0.005)*0.1/0.035*(1+B99+C99)*0.01*12</f>
        <v>0.03204</v>
      </c>
    </row>
    <row r="100" customFormat="false" ht="15" hidden="false" customHeight="false" outlineLevel="0" collapsed="false">
      <c r="A100" s="5" t="n">
        <v>1909</v>
      </c>
      <c r="B100" s="12" t="n">
        <v>1.35</v>
      </c>
      <c r="C100" s="12" t="n">
        <v>0.32</v>
      </c>
      <c r="D100" s="13" t="n">
        <v>0.04</v>
      </c>
      <c r="E100" s="14" t="n">
        <f aca="false">MIN(1,E99+F99)</f>
        <v>1</v>
      </c>
      <c r="F100" s="13" t="n">
        <f aca="false">(D100-0.005)*0.1/0.035*(1+B100+C100)*0.01*12</f>
        <v>0.03204</v>
      </c>
    </row>
    <row r="101" customFormat="false" ht="15" hidden="false" customHeight="false" outlineLevel="0" collapsed="false">
      <c r="A101" s="5" t="n">
        <v>1910</v>
      </c>
      <c r="B101" s="12" t="n">
        <v>1.35</v>
      </c>
      <c r="C101" s="12" t="n">
        <v>0.32</v>
      </c>
      <c r="D101" s="13" t="n">
        <v>0.04</v>
      </c>
      <c r="E101" s="14" t="n">
        <f aca="false">MIN(1,E100+F100)</f>
        <v>1</v>
      </c>
      <c r="F101" s="13" t="n">
        <f aca="false">(D101-0.005)*0.1/0.035*(1+B101+C101)*0.01*12</f>
        <v>0.03204</v>
      </c>
    </row>
    <row r="102" customFormat="false" ht="15" hidden="false" customHeight="false" outlineLevel="0" collapsed="false">
      <c r="A102" s="5" t="n">
        <v>1911</v>
      </c>
      <c r="B102" s="12" t="n">
        <v>1.35</v>
      </c>
      <c r="C102" s="12" t="n">
        <v>0.32</v>
      </c>
      <c r="D102" s="13" t="n">
        <v>0.04</v>
      </c>
      <c r="E102" s="14" t="n">
        <f aca="false">MIN(1,E101+F101)</f>
        <v>1</v>
      </c>
      <c r="F102" s="13" t="n">
        <f aca="false">(D102-0.005)*0.1/0.035*(1+B102+C102)*0.01*12</f>
        <v>0.03204</v>
      </c>
    </row>
    <row r="103" customFormat="false" ht="15" hidden="false" customHeight="false" outlineLevel="0" collapsed="false">
      <c r="A103" s="5" t="n">
        <v>1912</v>
      </c>
      <c r="B103" s="12" t="n">
        <v>1.35</v>
      </c>
      <c r="C103" s="12" t="n">
        <v>0.32</v>
      </c>
      <c r="D103" s="13" t="n">
        <v>0.04</v>
      </c>
      <c r="E103" s="14" t="n">
        <f aca="false">MIN(1,E102+F102)</f>
        <v>1</v>
      </c>
      <c r="F103" s="13" t="n">
        <f aca="false">(D103-0.005)*0.1/0.035*(1+B103+C103)*0.01*12</f>
        <v>0.03204</v>
      </c>
    </row>
    <row r="104" customFormat="false" ht="15" hidden="false" customHeight="false" outlineLevel="0" collapsed="false">
      <c r="A104" s="5" t="n">
        <v>1913</v>
      </c>
      <c r="B104" s="12" t="n">
        <v>1.35</v>
      </c>
      <c r="C104" s="12" t="n">
        <v>0.32</v>
      </c>
      <c r="D104" s="13" t="n">
        <v>0.04</v>
      </c>
      <c r="E104" s="14" t="n">
        <f aca="false">MIN(1,E103+F103)</f>
        <v>1</v>
      </c>
      <c r="F104" s="13" t="n">
        <f aca="false">(D104-0.005)*0.1/0.035*(1+B104+C104)*0.01*12</f>
        <v>0.03204</v>
      </c>
    </row>
    <row r="105" customFormat="false" ht="15" hidden="false" customHeight="false" outlineLevel="0" collapsed="false">
      <c r="A105" s="5" t="n">
        <v>1914</v>
      </c>
      <c r="B105" s="12" t="n">
        <v>1.35</v>
      </c>
      <c r="C105" s="12" t="n">
        <v>0.32</v>
      </c>
      <c r="D105" s="13" t="n">
        <v>0.04</v>
      </c>
      <c r="E105" s="14" t="n">
        <f aca="false">MIN(1,E104+F104)</f>
        <v>1</v>
      </c>
      <c r="F105" s="13" t="n">
        <f aca="false">(D105-0.005)*0.1/0.035*(1+B105+C105)*0.01*12</f>
        <v>0.03204</v>
      </c>
    </row>
    <row r="106" customFormat="false" ht="15" hidden="false" customHeight="false" outlineLevel="0" collapsed="false">
      <c r="A106" s="5" t="n">
        <v>1915</v>
      </c>
      <c r="B106" s="12" t="n">
        <v>1.35</v>
      </c>
      <c r="C106" s="12" t="n">
        <v>0.32</v>
      </c>
      <c r="D106" s="13" t="n">
        <v>0.04</v>
      </c>
      <c r="E106" s="14" t="n">
        <f aca="false">MIN(1,E105+F105)</f>
        <v>1</v>
      </c>
      <c r="F106" s="13" t="n">
        <f aca="false">(D106-0.005)*0.1/0.035*(1+B106+C106)*0.01*12</f>
        <v>0.03204</v>
      </c>
    </row>
    <row r="107" customFormat="false" ht="15" hidden="false" customHeight="false" outlineLevel="0" collapsed="false">
      <c r="A107" s="5" t="n">
        <v>1916</v>
      </c>
      <c r="B107" s="12" t="n">
        <v>1.35</v>
      </c>
      <c r="C107" s="12" t="n">
        <v>0.32</v>
      </c>
      <c r="D107" s="13" t="n">
        <v>0.04</v>
      </c>
      <c r="E107" s="14" t="n">
        <f aca="false">MIN(1,E106+F106)</f>
        <v>1</v>
      </c>
      <c r="F107" s="13" t="n">
        <f aca="false">(D107-0.005)*0.1/0.035*(1+B107+C107)*0.01*12</f>
        <v>0.03204</v>
      </c>
    </row>
    <row r="108" customFormat="false" ht="15" hidden="false" customHeight="false" outlineLevel="0" collapsed="false">
      <c r="A108" s="5" t="n">
        <v>1917</v>
      </c>
      <c r="B108" s="12" t="n">
        <v>1.35</v>
      </c>
      <c r="C108" s="12" t="n">
        <v>0.32</v>
      </c>
      <c r="D108" s="13" t="n">
        <v>0.04</v>
      </c>
      <c r="E108" s="14" t="n">
        <f aca="false">MIN(1,E107+F107)</f>
        <v>1</v>
      </c>
      <c r="F108" s="13" t="n">
        <f aca="false">(D108-0.005)*0.1/0.035*(1+B108+C108)*0.01*12</f>
        <v>0.03204</v>
      </c>
    </row>
    <row r="109" customFormat="false" ht="15" hidden="false" customHeight="false" outlineLevel="0" collapsed="false">
      <c r="A109" s="5" t="n">
        <v>1918</v>
      </c>
      <c r="B109" s="12" t="n">
        <v>1.35</v>
      </c>
      <c r="C109" s="12" t="n">
        <v>0.32</v>
      </c>
      <c r="D109" s="13" t="n">
        <v>0.04</v>
      </c>
      <c r="E109" s="14" t="n">
        <f aca="false">MIN(1,E108+F108)</f>
        <v>1</v>
      </c>
      <c r="F109" s="13" t="n">
        <f aca="false">(D109-0.005)*0.1/0.035*(1+B109+C109)*0.01*12</f>
        <v>0.03204</v>
      </c>
    </row>
    <row r="110" customFormat="false" ht="15" hidden="false" customHeight="false" outlineLevel="0" collapsed="false">
      <c r="A110" s="5" t="n">
        <v>1919</v>
      </c>
      <c r="B110" s="12" t="n">
        <v>1.35</v>
      </c>
      <c r="C110" s="12" t="n">
        <v>0.32</v>
      </c>
      <c r="D110" s="13" t="n">
        <v>0.04</v>
      </c>
      <c r="E110" s="14" t="n">
        <f aca="false">MIN(1,E109+F109)</f>
        <v>1</v>
      </c>
      <c r="F110" s="13" t="n">
        <f aca="false">(D110-0.005)*0.1/0.035*(1+B110+C110)*0.01*12</f>
        <v>0.03204</v>
      </c>
    </row>
    <row r="111" customFormat="false" ht="15" hidden="false" customHeight="false" outlineLevel="0" collapsed="false">
      <c r="A111" s="5" t="n">
        <v>1920</v>
      </c>
      <c r="B111" s="12" t="n">
        <v>1.35</v>
      </c>
      <c r="C111" s="12" t="n">
        <v>0.32</v>
      </c>
      <c r="D111" s="13" t="n">
        <v>0.04</v>
      </c>
      <c r="E111" s="14" t="n">
        <f aca="false">MIN(1,E110+F110)</f>
        <v>1</v>
      </c>
      <c r="F111" s="13" t="n">
        <f aca="false">(D111-0.005)*0.1/0.035*(1+B111+C111)*0.01*12</f>
        <v>0.03204</v>
      </c>
    </row>
    <row r="112" customFormat="false" ht="15" hidden="false" customHeight="false" outlineLevel="0" collapsed="false">
      <c r="A112" s="5" t="n">
        <v>1921</v>
      </c>
      <c r="B112" s="12" t="n">
        <v>1.35</v>
      </c>
      <c r="C112" s="12" t="n">
        <v>0.32</v>
      </c>
      <c r="D112" s="13" t="n">
        <v>0.04</v>
      </c>
      <c r="E112" s="14" t="n">
        <f aca="false">MIN(1,E111+F111)</f>
        <v>1</v>
      </c>
      <c r="F112" s="13" t="n">
        <f aca="false">(D112-0.005)*0.1/0.035*(1+B112+C112)*0.01*12</f>
        <v>0.03204</v>
      </c>
    </row>
    <row r="113" customFormat="false" ht="15" hidden="false" customHeight="false" outlineLevel="0" collapsed="false">
      <c r="A113" s="5" t="n">
        <v>1922</v>
      </c>
      <c r="B113" s="12" t="n">
        <v>1.35</v>
      </c>
      <c r="C113" s="12" t="n">
        <v>0.32</v>
      </c>
      <c r="D113" s="13" t="n">
        <v>0.04</v>
      </c>
      <c r="E113" s="14" t="n">
        <f aca="false">MIN(1,E112+F112)</f>
        <v>1</v>
      </c>
      <c r="F113" s="13" t="n">
        <f aca="false">(D113-0.005)*0.1/0.035*(1+B113+C113)*0.01*12</f>
        <v>0.03204</v>
      </c>
    </row>
    <row r="114" customFormat="false" ht="15" hidden="false" customHeight="false" outlineLevel="0" collapsed="false">
      <c r="A114" s="5" t="n">
        <v>1923</v>
      </c>
      <c r="B114" s="12" t="n">
        <v>1.35</v>
      </c>
      <c r="C114" s="12" t="n">
        <v>0.32</v>
      </c>
      <c r="D114" s="13" t="n">
        <v>0.04</v>
      </c>
      <c r="E114" s="14" t="n">
        <f aca="false">MIN(1,E113+F113)</f>
        <v>1</v>
      </c>
      <c r="F114" s="13" t="n">
        <f aca="false">(D114-0.005)*0.1/0.035*(1+B114+C114)*0.01*12</f>
        <v>0.03204</v>
      </c>
    </row>
    <row r="115" customFormat="false" ht="15" hidden="false" customHeight="false" outlineLevel="0" collapsed="false">
      <c r="A115" s="5" t="n">
        <v>1924</v>
      </c>
      <c r="B115" s="12" t="n">
        <v>1.35</v>
      </c>
      <c r="C115" s="12" t="n">
        <v>0.32</v>
      </c>
      <c r="D115" s="13" t="n">
        <v>0.04</v>
      </c>
      <c r="E115" s="14" t="n">
        <f aca="false">MIN(1,E114+F114)</f>
        <v>1</v>
      </c>
      <c r="F115" s="13" t="n">
        <f aca="false">(D115-0.005)*0.1/0.035*(1+B115+C115)*0.01*12</f>
        <v>0.03204</v>
      </c>
    </row>
    <row r="116" customFormat="false" ht="15" hidden="false" customHeight="false" outlineLevel="0" collapsed="false">
      <c r="A116" s="5" t="n">
        <v>1925</v>
      </c>
      <c r="B116" s="12" t="n">
        <v>1.35</v>
      </c>
      <c r="C116" s="12" t="n">
        <v>0.32</v>
      </c>
      <c r="D116" s="13" t="n">
        <v>0.04</v>
      </c>
      <c r="E116" s="14" t="n">
        <f aca="false">MIN(1,E115+F115)</f>
        <v>1</v>
      </c>
      <c r="F116" s="13" t="n">
        <f aca="false">(D116-0.005)*0.1/0.035*(1+B116+C116)*0.01*12</f>
        <v>0.03204</v>
      </c>
    </row>
    <row r="117" customFormat="false" ht="15" hidden="false" customHeight="false" outlineLevel="0" collapsed="false">
      <c r="A117" s="5" t="n">
        <v>1926</v>
      </c>
      <c r="B117" s="12" t="n">
        <v>1.35</v>
      </c>
      <c r="C117" s="12" t="n">
        <v>0.32</v>
      </c>
      <c r="D117" s="13" t="n">
        <v>0.04</v>
      </c>
      <c r="E117" s="14" t="n">
        <f aca="false">MIN(1,E116+F116)</f>
        <v>1</v>
      </c>
      <c r="F117" s="13" t="n">
        <f aca="false">(D117-0.005)*0.1/0.035*(1+B117+C117)*0.01*12</f>
        <v>0.03204</v>
      </c>
    </row>
    <row r="118" customFormat="false" ht="15" hidden="false" customHeight="false" outlineLevel="0" collapsed="false">
      <c r="A118" s="5" t="n">
        <v>1927</v>
      </c>
      <c r="B118" s="12" t="n">
        <v>1.35</v>
      </c>
      <c r="C118" s="12" t="n">
        <v>0.32</v>
      </c>
      <c r="D118" s="13" t="n">
        <v>0.04</v>
      </c>
      <c r="E118" s="14" t="n">
        <f aca="false">MIN(1,E117+F117)</f>
        <v>1</v>
      </c>
      <c r="F118" s="13" t="n">
        <f aca="false">(D118-0.005)*0.1/0.035*(1+B118+C118)*0.01*12</f>
        <v>0.03204</v>
      </c>
    </row>
    <row r="119" customFormat="false" ht="15" hidden="false" customHeight="false" outlineLevel="0" collapsed="false">
      <c r="A119" s="5" t="n">
        <v>1928</v>
      </c>
      <c r="B119" s="12" t="n">
        <v>1.35</v>
      </c>
      <c r="C119" s="12" t="n">
        <v>0.32</v>
      </c>
      <c r="D119" s="13" t="n">
        <v>0.04</v>
      </c>
      <c r="E119" s="14" t="n">
        <f aca="false">MIN(1,E118+F118)</f>
        <v>1</v>
      </c>
      <c r="F119" s="13" t="n">
        <f aca="false">(D119-0.005)*0.1/0.035*(1+B119+C119)*0.01*12</f>
        <v>0.03204</v>
      </c>
    </row>
    <row r="120" customFormat="false" ht="15" hidden="false" customHeight="false" outlineLevel="0" collapsed="false">
      <c r="A120" s="5" t="n">
        <v>1929</v>
      </c>
      <c r="B120" s="12" t="n">
        <v>1.35</v>
      </c>
      <c r="C120" s="12" t="n">
        <v>0.32</v>
      </c>
      <c r="D120" s="13" t="n">
        <v>0.04</v>
      </c>
      <c r="E120" s="14" t="n">
        <f aca="false">MIN(1,E119+F119)</f>
        <v>1</v>
      </c>
      <c r="F120" s="13" t="n">
        <f aca="false">(D120-0.005)*0.1/0.035*(1+B120+C120)*0.01*12</f>
        <v>0.03204</v>
      </c>
    </row>
    <row r="121" customFormat="false" ht="15" hidden="false" customHeight="false" outlineLevel="0" collapsed="false">
      <c r="A121" s="5" t="n">
        <v>1930</v>
      </c>
      <c r="B121" s="12" t="n">
        <v>1.35</v>
      </c>
      <c r="C121" s="12" t="n">
        <v>0.32</v>
      </c>
      <c r="D121" s="13" t="n">
        <v>0.04</v>
      </c>
      <c r="E121" s="14" t="n">
        <f aca="false">MIN(1,E120+F120)</f>
        <v>1</v>
      </c>
      <c r="F121" s="13" t="n">
        <f aca="false">(D121-0.005)*0.1/0.035*(1+B121+C121)*0.01*12</f>
        <v>0.03204</v>
      </c>
    </row>
    <row r="122" customFormat="false" ht="15" hidden="false" customHeight="false" outlineLevel="0" collapsed="false">
      <c r="A122" s="5" t="n">
        <v>1931</v>
      </c>
      <c r="B122" s="12" t="n">
        <v>1.35</v>
      </c>
      <c r="C122" s="12" t="n">
        <v>0.32</v>
      </c>
      <c r="D122" s="13" t="n">
        <v>0.04</v>
      </c>
      <c r="E122" s="14" t="n">
        <f aca="false">MIN(1,E121+F121)</f>
        <v>1</v>
      </c>
      <c r="F122" s="13" t="n">
        <f aca="false">(D122-0.005)*0.1/0.035*(1+B122+C122)*0.01*12</f>
        <v>0.03204</v>
      </c>
    </row>
    <row r="123" customFormat="false" ht="15" hidden="false" customHeight="false" outlineLevel="0" collapsed="false">
      <c r="A123" s="5" t="n">
        <v>1932</v>
      </c>
      <c r="B123" s="12" t="n">
        <v>1.35</v>
      </c>
      <c r="C123" s="12" t="n">
        <v>0.32</v>
      </c>
      <c r="D123" s="13" t="n">
        <v>0.04</v>
      </c>
      <c r="E123" s="14" t="n">
        <f aca="false">MIN(1,E122+F122)</f>
        <v>1</v>
      </c>
      <c r="F123" s="13" t="n">
        <f aca="false">(D123-0.005)*0.1/0.035*(1+B123+C123)*0.01*12</f>
        <v>0.03204</v>
      </c>
    </row>
    <row r="124" customFormat="false" ht="15" hidden="false" customHeight="false" outlineLevel="0" collapsed="false">
      <c r="A124" s="5" t="n">
        <v>1933</v>
      </c>
      <c r="B124" s="12" t="n">
        <v>1.35</v>
      </c>
      <c r="C124" s="12" t="n">
        <v>0.32</v>
      </c>
      <c r="D124" s="13" t="n">
        <v>0.04</v>
      </c>
      <c r="E124" s="14" t="n">
        <f aca="false">MIN(1,E123+F123)</f>
        <v>1</v>
      </c>
      <c r="F124" s="13" t="n">
        <f aca="false">(D124-0.005)*0.1/0.035*(1+B124+C124)*0.01*12</f>
        <v>0.03204</v>
      </c>
    </row>
    <row r="125" customFormat="false" ht="15" hidden="false" customHeight="false" outlineLevel="0" collapsed="false">
      <c r="A125" s="5" t="n">
        <v>1934</v>
      </c>
      <c r="B125" s="12" t="n">
        <v>1.35</v>
      </c>
      <c r="C125" s="12" t="n">
        <v>0.32</v>
      </c>
      <c r="D125" s="13" t="n">
        <v>0.04</v>
      </c>
      <c r="E125" s="14" t="n">
        <f aca="false">MIN(1,E124+F124)</f>
        <v>1</v>
      </c>
      <c r="F125" s="13" t="n">
        <f aca="false">(D125-0.005)*0.1/0.035*(1+B125+C125)*0.01*12</f>
        <v>0.03204</v>
      </c>
    </row>
    <row r="126" customFormat="false" ht="15" hidden="false" customHeight="false" outlineLevel="0" collapsed="false">
      <c r="A126" s="5" t="n">
        <v>1935</v>
      </c>
      <c r="B126" s="12" t="n">
        <v>1.35</v>
      </c>
      <c r="C126" s="12" t="n">
        <v>0.32</v>
      </c>
      <c r="D126" s="13" t="n">
        <v>0.04</v>
      </c>
      <c r="E126" s="14" t="n">
        <f aca="false">MIN(1,E125+F125)</f>
        <v>1</v>
      </c>
      <c r="F126" s="13" t="n">
        <f aca="false">(D126-0.005)*0.1/0.035*(1+B126+C126)*0.01*12</f>
        <v>0.03204</v>
      </c>
    </row>
    <row r="127" customFormat="false" ht="15" hidden="false" customHeight="false" outlineLevel="0" collapsed="false">
      <c r="A127" s="5" t="n">
        <v>1936</v>
      </c>
      <c r="B127" s="12" t="n">
        <v>1.35</v>
      </c>
      <c r="C127" s="12" t="n">
        <v>0.32</v>
      </c>
      <c r="D127" s="13" t="n">
        <v>0.04</v>
      </c>
      <c r="E127" s="14" t="n">
        <f aca="false">MIN(1,E126+F126)</f>
        <v>1</v>
      </c>
      <c r="F127" s="13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I1" colorId="64" zoomScale="140" zoomScaleNormal="140" zoomScalePageLayoutView="100" workbookViewId="0">
      <selection pane="topLeft" activeCell="K13" activeCellId="0" sqref="K13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9.72"/>
    <col collapsed="false" customWidth="true" hidden="false" outlineLevel="0" max="3" min="3" style="1" width="14.42"/>
    <col collapsed="false" customWidth="true" hidden="false" outlineLevel="0" max="4" min="4" style="1" width="14.57"/>
    <col collapsed="false" customWidth="true" hidden="false" outlineLevel="0" max="5" min="5" style="1" width="17.57"/>
    <col collapsed="false" customWidth="true" hidden="false" outlineLevel="0" max="6" min="6" style="1" width="17.72"/>
    <col collapsed="false" customWidth="true" hidden="false" outlineLevel="0" max="7" min="7" style="1" width="10.57"/>
    <col collapsed="false" customWidth="true" hidden="false" outlineLevel="0" max="8" min="8" style="1" width="28.57"/>
    <col collapsed="false" customWidth="true" hidden="false" outlineLevel="0" max="9" min="9" style="1" width="20.71"/>
    <col collapsed="false" customWidth="true" hidden="false" outlineLevel="0" max="10" min="10" style="1" width="19.42"/>
    <col collapsed="false" customWidth="true" hidden="false" outlineLevel="0" max="11" min="11" style="1" width="15.57"/>
    <col collapsed="false" customWidth="true" hidden="false" outlineLevel="0" max="12" min="12" style="1" width="20.42"/>
    <col collapsed="false" customWidth="true" hidden="false" outlineLevel="0" max="13" min="13" style="1" width="18.14"/>
    <col collapsed="false" customWidth="true" hidden="false" outlineLevel="0" max="14" min="14" style="1" width="18.42"/>
    <col collapsed="false" customWidth="true" hidden="false" outlineLevel="0" max="15" min="15" style="1" width="15.57"/>
    <col collapsed="false" customWidth="true" hidden="false" outlineLevel="0" max="16" min="16" style="1" width="18.42"/>
    <col collapsed="false" customWidth="true" hidden="false" outlineLevel="0" max="17" min="17" style="1" width="13"/>
    <col collapsed="false" customWidth="true" hidden="false" outlineLevel="0" max="18" min="18" style="1" width="14.42"/>
    <col collapsed="false" customWidth="true" hidden="false" outlineLevel="0" max="19" min="19" style="1" width="13.85"/>
    <col collapsed="false" customWidth="true" hidden="false" outlineLevel="0" max="20" min="20" style="1" width="9.85"/>
    <col collapsed="false" customWidth="true" hidden="false" outlineLevel="0" max="21" min="21" style="1" width="13.85"/>
    <col collapsed="false" customWidth="true" hidden="false" outlineLevel="0" max="22" min="22" style="1" width="9.85"/>
    <col collapsed="false" customWidth="true" hidden="false" outlineLevel="0" max="23" min="23" style="1" width="13.85"/>
    <col collapsed="false" customWidth="true" hidden="false" outlineLevel="0" max="24" min="24" style="1" width="9.85"/>
    <col collapsed="false" customWidth="true" hidden="false" outlineLevel="0" max="25" min="25" style="1" width="13.85"/>
    <col collapsed="false" customWidth="true" hidden="false" outlineLevel="0" max="26" min="26" style="1" width="8.13"/>
    <col collapsed="false" customWidth="false" hidden="false" outlineLevel="0" max="16384" min="27" style="1" width="8.85"/>
  </cols>
  <sheetData>
    <row r="1" customFormat="false" ht="15" hidden="false" customHeight="false" outlineLevel="0" collapsed="false">
      <c r="A1" s="16" t="s">
        <v>0</v>
      </c>
      <c r="B1" s="16" t="s">
        <v>70</v>
      </c>
      <c r="C1" s="16" t="s">
        <v>71</v>
      </c>
      <c r="D1" s="16" t="s">
        <v>72</v>
      </c>
      <c r="E1" s="16" t="s">
        <v>73</v>
      </c>
      <c r="F1" s="16" t="s">
        <v>74</v>
      </c>
      <c r="G1" s="16" t="s">
        <v>3</v>
      </c>
      <c r="H1" s="16" t="s">
        <v>75</v>
      </c>
      <c r="I1" s="16" t="s">
        <v>76</v>
      </c>
      <c r="J1" s="16" t="s">
        <v>77</v>
      </c>
      <c r="K1" s="16" t="s">
        <v>78</v>
      </c>
      <c r="L1" s="16" t="s">
        <v>79</v>
      </c>
      <c r="M1" s="16" t="s">
        <v>80</v>
      </c>
      <c r="N1" s="5" t="s">
        <v>81</v>
      </c>
      <c r="O1" s="5" t="s">
        <v>82</v>
      </c>
      <c r="P1" s="5" t="s">
        <v>83</v>
      </c>
      <c r="Q1" s="5" t="s">
        <v>84</v>
      </c>
      <c r="R1" s="5" t="s">
        <v>85</v>
      </c>
      <c r="V1" s="17" t="s">
        <v>86</v>
      </c>
      <c r="W1" s="17"/>
      <c r="X1" s="17"/>
    </row>
    <row r="2" customFormat="false" ht="15" hidden="false" customHeight="false" outlineLevel="0" collapsed="false">
      <c r="A2" s="5" t="n">
        <v>1830</v>
      </c>
      <c r="B2" s="6" t="n">
        <v>100000</v>
      </c>
      <c r="C2" s="6" t="n">
        <v>0</v>
      </c>
      <c r="D2" s="18" t="n">
        <v>0</v>
      </c>
      <c r="E2" s="19" t="n">
        <f aca="false">C2/B2</f>
        <v>0</v>
      </c>
      <c r="F2" s="19" t="n">
        <f aca="false">D2/B2</f>
        <v>0</v>
      </c>
      <c r="G2" s="2" t="n">
        <v>0.01</v>
      </c>
      <c r="H2" s="8" t="n">
        <f aca="false">MIN((D2/B2)/(0.01+(J2*0.001))+I2,1)</f>
        <v>0.4</v>
      </c>
      <c r="I2" s="12" t="n">
        <v>0.4</v>
      </c>
      <c r="J2" s="18" t="n">
        <v>0</v>
      </c>
      <c r="K2" s="6" t="n">
        <f aca="false">B2/500/4*(0.3-IF($N$2="Yes",0.1,0)+VLOOKUP(G2,$V$3:$W$11,2,1))*H2*12</f>
        <v>72</v>
      </c>
      <c r="L2" s="8" t="n">
        <f aca="false">(VLOOKUP(G2,$T$15:$U$21,2,1)+VLOOKUP($O$2,$T$26:$U$36,2,1)-0.12)*IF(E2&gt;0.041,0,1)</f>
        <v>0.14</v>
      </c>
      <c r="M2" s="8" t="n">
        <f aca="false">VLOOKUP(G2,$X$15:$Y$22,2,1)+VLOOKUP($P$2,$X$26:$Y$37,2,1)*IF(F2&gt;0.04,0,1)</f>
        <v>0.02</v>
      </c>
      <c r="N2" s="5" t="s">
        <v>58</v>
      </c>
      <c r="O2" s="2" t="n">
        <v>1</v>
      </c>
      <c r="P2" s="2" t="n">
        <v>0.1</v>
      </c>
      <c r="Q2" s="18" t="n">
        <v>35</v>
      </c>
      <c r="R2" s="8" t="n">
        <v>0</v>
      </c>
      <c r="V2" s="5" t="s">
        <v>3</v>
      </c>
      <c r="W2" s="5" t="s">
        <v>87</v>
      </c>
      <c r="X2" s="5" t="s">
        <v>88</v>
      </c>
    </row>
    <row r="3" customFormat="false" ht="15" hidden="false" customHeight="false" outlineLevel="0" collapsed="false">
      <c r="A3" s="5" t="n">
        <v>1831</v>
      </c>
      <c r="B3" s="6" t="n">
        <f aca="false">B2*(1+MAX(($Q$2-30)*0.0001+0.0001+$R$2,0))-K2</f>
        <v>99988</v>
      </c>
      <c r="C3" s="6" t="n">
        <f aca="false">C2*(1+MAX(($Q$2-30)*0.0001+0.0001+$R$2,0))+K2*IF(M2=0,1,L2/M2)</f>
        <v>504</v>
      </c>
      <c r="D3" s="18" t="n">
        <f aca="false">D2*(1+MAX(($Q$2-30)*0.0001+0.0001+$R$2,0))+K2*IF(L2=0,1,M2/L2)</f>
        <v>10.2857142857143</v>
      </c>
      <c r="E3" s="19" t="n">
        <f aca="false">C3/B3</f>
        <v>0.00504060487258471</v>
      </c>
      <c r="F3" s="19" t="n">
        <f aca="false">D3/B3</f>
        <v>0.000102869487195606</v>
      </c>
      <c r="G3" s="2" t="n">
        <v>0.01</v>
      </c>
      <c r="H3" s="8" t="n">
        <f aca="false">MIN((D3/B3)/(0.01+(J3*0.001))+I3,1)</f>
        <v>0.410286948719561</v>
      </c>
      <c r="I3" s="12" t="n">
        <v>0.4</v>
      </c>
      <c r="J3" s="18" t="n">
        <v>0</v>
      </c>
      <c r="K3" s="6" t="n">
        <f aca="false">B3/500/4*(0.3-IF($N$2="Yes",0.1,0)+VLOOKUP(G3,$V$3:$W$11,2,TRUE()))*H3*12</f>
        <v>73.8427885714286</v>
      </c>
      <c r="L3" s="8" t="n">
        <f aca="false">(VLOOKUP(G3,$T$15:$U$21,2,1)+VLOOKUP($O$2,$T$26:$U$36,2,1)-0.12)*IF(E3&gt;0.041,0,1)</f>
        <v>0.14</v>
      </c>
      <c r="M3" s="8" t="n">
        <f aca="false">VLOOKUP(G3,$X$15:$Y$22,2,1)+VLOOKUP($P$2,$X$26:$Y$37,2,1)*IF(F3&gt;0.04,0,1)</f>
        <v>0.02</v>
      </c>
      <c r="V3" s="20" t="n">
        <v>0</v>
      </c>
      <c r="W3" s="20" t="n">
        <f aca="false">SUM(X3)</f>
        <v>0</v>
      </c>
      <c r="X3" s="19" t="n">
        <v>0</v>
      </c>
    </row>
    <row r="4" customFormat="false" ht="15" hidden="false" customHeight="false" outlineLevel="0" collapsed="false">
      <c r="A4" s="5" t="n">
        <v>1832</v>
      </c>
      <c r="B4" s="6" t="n">
        <f aca="false">B3*(1+MAX(($Q$2-30)*0.0001+0.0001+$R$2,0))-K3</f>
        <v>99974.1500114286</v>
      </c>
      <c r="C4" s="6" t="n">
        <f aca="false">C3*(1+MAX(($Q$2-30)*0.0001+0.0001+$R$2,0))+K3*IF(M3=0,1,L3/M3)</f>
        <v>1021.20192</v>
      </c>
      <c r="D4" s="18" t="n">
        <f aca="false">D3*(1+MAX(($Q$2-30)*0.0001+0.0001+$R$2,0))+K3*IF(L3=0,1,M3/L3)</f>
        <v>20.8408555102041</v>
      </c>
      <c r="E4" s="19" t="n">
        <f aca="false">C4/B4</f>
        <v>0.0102146596883621</v>
      </c>
      <c r="F4" s="19" t="n">
        <f aca="false">D4/B4</f>
        <v>0.000208462442619634</v>
      </c>
      <c r="G4" s="2" t="n">
        <v>0.01</v>
      </c>
      <c r="H4" s="8" t="n">
        <f aca="false">MIN((D4/B4)/(0.01+(J4*0.001))+I4,1)</f>
        <v>0.420846244261963</v>
      </c>
      <c r="I4" s="12" t="n">
        <v>0.4</v>
      </c>
      <c r="J4" s="18" t="n">
        <v>0</v>
      </c>
      <c r="K4" s="6" t="n">
        <f aca="false">B4/500/4*(0.3-IF($N$2="Yes",0.1,0)+VLOOKUP(G4,$V$3:$W$11,2,TRUE()))*H4*12</f>
        <v>75.7327420000653</v>
      </c>
      <c r="L4" s="8" t="n">
        <f aca="false">(VLOOKUP(G4,$T$15:$U$21,2,1)+VLOOKUP($O$2,$T$26:$U$36,2,1)-0.12)*IF(E4&gt;0.041,0,1)</f>
        <v>0.14</v>
      </c>
      <c r="M4" s="8" t="n">
        <f aca="false">VLOOKUP(G4,$X$15:$Y$22,2,1)+VLOOKUP($P$2,$X$26:$Y$37,2,1)*IF(F4&gt;0.04,0,1)</f>
        <v>0.02</v>
      </c>
      <c r="V4" s="21" t="n">
        <v>0.1</v>
      </c>
      <c r="W4" s="20" t="n">
        <f aca="false">SUM(X3:X4)</f>
        <v>0.032</v>
      </c>
      <c r="X4" s="8" t="n">
        <v>0.032</v>
      </c>
    </row>
    <row r="5" customFormat="false" ht="15" hidden="false" customHeight="false" outlineLevel="0" collapsed="false">
      <c r="A5" s="5" t="n">
        <v>1833</v>
      </c>
      <c r="B5" s="6" t="n">
        <f aca="false">B4*(1+MAX(($Q$2-30)*0.0001+0.0001+$R$2,0))-K4</f>
        <v>99958.4017594354</v>
      </c>
      <c r="C5" s="6" t="n">
        <f aca="false">C4*(1+MAX(($Q$2-30)*0.0001+0.0001+$R$2,0))+K4*IF(M4=0,1,L4/M4)</f>
        <v>1551.94383515246</v>
      </c>
      <c r="D5" s="18" t="n">
        <f aca="false">D4*(1+MAX(($Q$2-30)*0.0001+0.0001+$R$2,0))+K4*IF(L4=0,1,M4/L4)</f>
        <v>31.6723231663767</v>
      </c>
      <c r="E5" s="19" t="n">
        <f aca="false">C5/B5</f>
        <v>0.0155258968514467</v>
      </c>
      <c r="F5" s="19" t="n">
        <f aca="false">D5/B5</f>
        <v>0.000316855037784626</v>
      </c>
      <c r="G5" s="2" t="n">
        <v>0.01</v>
      </c>
      <c r="H5" s="8" t="n">
        <f aca="false">MIN((D5/B5)/(0.01+(J5*0.001))+I5,1)</f>
        <v>0.431685503778463</v>
      </c>
      <c r="I5" s="12" t="n">
        <v>0.4</v>
      </c>
      <c r="J5" s="18" t="n">
        <v>0</v>
      </c>
      <c r="K5" s="6" t="n">
        <f aca="false">B5/500/4*(0.3-IF($N$2="Yes",0.1,0)+VLOOKUP(G5,$V$3:$W$11,2,TRUE()))*H5*12</f>
        <v>77.6710674367413</v>
      </c>
      <c r="L5" s="8" t="n">
        <f aca="false">(VLOOKUP(G5,$T$15:$U$21,2,1)+VLOOKUP($O$2,$T$26:$U$36,2,1)-0.12)*IF(E5&gt;0.041,0,1)</f>
        <v>0.14</v>
      </c>
      <c r="M5" s="8" t="n">
        <f aca="false">VLOOKUP(G5,$X$15:$Y$22,2,1)+VLOOKUP($P$2,$X$26:$Y$37,2,1)*IF(F5&gt;0.04,0,1)</f>
        <v>0.02</v>
      </c>
      <c r="V5" s="21" t="n">
        <v>0.2</v>
      </c>
      <c r="W5" s="14" t="n">
        <f aca="false">SUM(X3:X5)</f>
        <v>0.055</v>
      </c>
      <c r="X5" s="8" t="n">
        <v>0.023</v>
      </c>
    </row>
    <row r="6" customFormat="false" ht="15" hidden="false" customHeight="false" outlineLevel="0" collapsed="false">
      <c r="A6" s="5" t="n">
        <v>1834</v>
      </c>
      <c r="B6" s="6" t="n">
        <f aca="false">B5*(1+MAX(($Q$2-30)*0.0001+0.0001+$R$2,0))-K5</f>
        <v>99940.7057330543</v>
      </c>
      <c r="C6" s="6" t="n">
        <f aca="false">C5*(1+MAX(($Q$2-30)*0.0001+0.0001+$R$2,0))+K5*IF(M5=0,1,L5/M5)</f>
        <v>2096.57247351074</v>
      </c>
      <c r="D6" s="18" t="n">
        <f aca="false">D5*(1+MAX(($Q$2-30)*0.0001+0.0001+$R$2,0))+K5*IF(L5=0,1,M5/L5)</f>
        <v>42.7871933369538</v>
      </c>
      <c r="E6" s="19" t="n">
        <f aca="false">C6/B6</f>
        <v>0.0209781635834228</v>
      </c>
      <c r="F6" s="19" t="n">
        <f aca="false">D6/B6</f>
        <v>0.000428125787416793</v>
      </c>
      <c r="G6" s="2" t="n">
        <v>0.01</v>
      </c>
      <c r="H6" s="8" t="n">
        <f aca="false">MIN((D6/B6)/(0.01+(J6*0.001))+I6,1)</f>
        <v>0.442812578741679</v>
      </c>
      <c r="I6" s="12" t="n">
        <v>0.4</v>
      </c>
      <c r="J6" s="18" t="n">
        <v>0</v>
      </c>
      <c r="K6" s="6" t="n">
        <f aca="false">B6/500/4*(0.3-IF($N$2="Yes",0.1,0)+VLOOKUP(G6,$V$3:$W$11,2,TRUE()))*H6*12</f>
        <v>79.6590029284508</v>
      </c>
      <c r="L6" s="8" t="n">
        <f aca="false">(VLOOKUP(G6,$T$15:$U$21,2,1)+VLOOKUP($O$2,$T$26:$U$36,2,1)-0.12)*IF(E6&gt;0.041,0,1)</f>
        <v>0.14</v>
      </c>
      <c r="M6" s="8" t="n">
        <f aca="false">VLOOKUP(G6,$X$15:$Y$22,2,1)+VLOOKUP($P$2,$X$26:$Y$37,2,1)*IF(F6&gt;0.04,0,1)</f>
        <v>0.02</v>
      </c>
      <c r="V6" s="21" t="n">
        <v>0.3</v>
      </c>
      <c r="W6" s="14" t="n">
        <f aca="false">SUM(X3:X6)</f>
        <v>0.076</v>
      </c>
      <c r="X6" s="8" t="n">
        <v>0.021</v>
      </c>
    </row>
    <row r="7" customFormat="false" ht="15" hidden="false" customHeight="false" outlineLevel="0" collapsed="false">
      <c r="A7" s="5" t="n">
        <v>1835</v>
      </c>
      <c r="B7" s="6" t="n">
        <f aca="false">B6*(1+MAX(($Q$2-30)*0.0001+0.0001+$R$2,0))-K6</f>
        <v>99921.0111535657</v>
      </c>
      <c r="C7" s="6" t="n">
        <f aca="false">C6*(1+MAX(($Q$2-30)*0.0001+0.0001+$R$2,0))+K6*IF(M6=0,1,L6/M6)</f>
        <v>2655.443437494</v>
      </c>
      <c r="D7" s="18" t="n">
        <f aca="false">D6*(1+MAX(($Q$2-30)*0.0001+0.0001+$R$2,0))+K6*IF(L6=0,1,M6/L6)</f>
        <v>54.1927232141632</v>
      </c>
      <c r="E7" s="19" t="n">
        <f aca="false">C7/B7</f>
        <v>0.0265754259973703</v>
      </c>
      <c r="F7" s="19" t="n">
        <f aca="false">D7/B7</f>
        <v>0.000542355632599394</v>
      </c>
      <c r="G7" s="2" t="n">
        <v>0.01</v>
      </c>
      <c r="H7" s="8" t="n">
        <f aca="false">MIN((D7/B7)/(0.01+(J7*0.001))+I7,1)</f>
        <v>0.454235563259939</v>
      </c>
      <c r="I7" s="12" t="n">
        <v>0.4</v>
      </c>
      <c r="J7" s="18" t="n">
        <v>0</v>
      </c>
      <c r="K7" s="6" t="n">
        <f aca="false">B7/500/4*(0.3-IF($N$2="Yes",0.1,0)+VLOOKUP(G7,$V$3:$W$11,2,TRUE()))*H7*12</f>
        <v>81.6978182091167</v>
      </c>
      <c r="L7" s="8" t="n">
        <f aca="false">(VLOOKUP(G7,$T$15:$U$21,2,1)+VLOOKUP($O$2,$T$26:$U$36,2,1)-0.12)*IF(E7&gt;0.041,0,1)</f>
        <v>0.14</v>
      </c>
      <c r="M7" s="8" t="n">
        <f aca="false">VLOOKUP(G7,$X$15:$Y$22,2,1)+VLOOKUP($P$2,$X$26:$Y$37,2,1)*IF(F7&gt;0.04,0,1)</f>
        <v>0.02</v>
      </c>
      <c r="V7" s="21" t="n">
        <v>0.4</v>
      </c>
      <c r="W7" s="14" t="n">
        <f aca="false">SUM(X3:X7)</f>
        <v>0.096</v>
      </c>
      <c r="X7" s="8" t="n">
        <v>0.02</v>
      </c>
    </row>
    <row r="8" customFormat="false" ht="15" hidden="false" customHeight="false" outlineLevel="0" collapsed="false">
      <c r="A8" s="5" t="n">
        <v>1836</v>
      </c>
      <c r="B8" s="6" t="n">
        <f aca="false">B7*(1+MAX(($Q$2-30)*0.0001+0.0001+$R$2,0))-K7</f>
        <v>99899.2659420487</v>
      </c>
      <c r="C8" s="6" t="n">
        <f aca="false">C7*(1+MAX(($Q$2-30)*0.0001+0.0001+$R$2,0))+K7*IF(M7=0,1,L7/M7)</f>
        <v>3228.92143102031</v>
      </c>
      <c r="D8" s="18" t="n">
        <f aca="false">D7*(1+MAX(($Q$2-30)*0.0001+0.0001+$R$2,0))+K7*IF(L7=0,1,M7/L7)</f>
        <v>65.8963557351084</v>
      </c>
      <c r="E8" s="19" t="n">
        <f aca="false">C8/B8</f>
        <v>0.0323217733440945</v>
      </c>
      <c r="F8" s="19" t="n">
        <f aca="false">D8/B8</f>
        <v>0.000659628027430499</v>
      </c>
      <c r="G8" s="2" t="n">
        <v>0.01</v>
      </c>
      <c r="H8" s="8" t="n">
        <f aca="false">MIN((D8/B8)/(0.01+(J8*0.001))+I8,1)</f>
        <v>0.46596280274305</v>
      </c>
      <c r="I8" s="12" t="n">
        <v>0.4</v>
      </c>
      <c r="J8" s="18" t="n">
        <v>0</v>
      </c>
      <c r="K8" s="6" t="n">
        <f aca="false">B8/500/4*(0.3-IF($N$2="Yes",0.1,0)+VLOOKUP(G8,$V$3:$W$11,2,TRUE()))*H8*12</f>
        <v>83.7888155105946</v>
      </c>
      <c r="L8" s="8" t="n">
        <f aca="false">(VLOOKUP(G8,$T$15:$U$21,2,1)+VLOOKUP($O$2,$T$26:$U$36,2,1)-0.12)*IF(E8&gt;0.041,0,1)</f>
        <v>0.14</v>
      </c>
      <c r="M8" s="8" t="n">
        <f aca="false">VLOOKUP(G8,$X$15:$Y$22,2,1)+VLOOKUP($P$2,$X$26:$Y$37,2,1)*IF(F8&gt;0.04,0,1)</f>
        <v>0.02</v>
      </c>
      <c r="V8" s="21" t="n">
        <v>0.51</v>
      </c>
      <c r="W8" s="14" t="n">
        <f aca="false">SUM(X3:X8)</f>
        <v>0.117</v>
      </c>
      <c r="X8" s="8" t="n">
        <v>0.021</v>
      </c>
    </row>
    <row r="9" customFormat="false" ht="15" hidden="false" customHeight="false" outlineLevel="0" collapsed="false">
      <c r="A9" s="5" t="n">
        <v>1837</v>
      </c>
      <c r="B9" s="6" t="n">
        <f aca="false">B8*(1+MAX(($Q$2-30)*0.0001+0.0001+$R$2,0))-K8</f>
        <v>99875.4166861033</v>
      </c>
      <c r="C9" s="6" t="n">
        <f aca="false">C8*(1+MAX(($Q$2-30)*0.0001+0.0001+$R$2,0))+K8*IF(M8=0,1,L8/M8)</f>
        <v>3817.38049245309</v>
      </c>
      <c r="D9" s="18" t="n">
        <f aca="false">D8*(1+MAX(($Q$2-30)*0.0001+0.0001+$R$2,0))+K8*IF(L8=0,1,M8/L8)</f>
        <v>77.9057243357773</v>
      </c>
      <c r="E9" s="19" t="n">
        <f aca="false">C9/B9</f>
        <v>0.0382214224392241</v>
      </c>
      <c r="F9" s="19" t="n">
        <f aca="false">D9/B9</f>
        <v>0.00078002902937192</v>
      </c>
      <c r="G9" s="2" t="n">
        <v>0.01</v>
      </c>
      <c r="H9" s="8" t="n">
        <f aca="false">MIN((D9/B9)/(0.01+(J9*0.001))+I9,1)</f>
        <v>0.478002902937192</v>
      </c>
      <c r="I9" s="12" t="n">
        <v>0.4</v>
      </c>
      <c r="J9" s="18" t="n">
        <v>0</v>
      </c>
      <c r="K9" s="6" t="n">
        <f aca="false">B9/500/4*(0.3-IF($N$2="Yes",0.1,0)+VLOOKUP(G9,$V$3:$W$11,2,TRUE()))*H9*12</f>
        <v>85.9333303944343</v>
      </c>
      <c r="L9" s="8" t="n">
        <f aca="false">(VLOOKUP(G9,$T$15:$U$21,2,1)+VLOOKUP($O$2,$T$26:$U$36,2,1)-0.12)*IF(E9&gt;0.041,0,1)</f>
        <v>0.14</v>
      </c>
      <c r="M9" s="8" t="n">
        <f aca="false">VLOOKUP(G9,$X$15:$Y$22,2,1)+VLOOKUP($P$2,$X$26:$Y$37,2,1)*IF(F9&gt;0.04,0,1)</f>
        <v>0.02</v>
      </c>
      <c r="V9" s="21" t="n">
        <v>0.62</v>
      </c>
      <c r="W9" s="14" t="n">
        <f aca="false">SUM(X3:X9)</f>
        <v>0.139</v>
      </c>
      <c r="X9" s="8" t="n">
        <v>0.022</v>
      </c>
    </row>
    <row r="10" customFormat="false" ht="15" hidden="false" customHeight="false" outlineLevel="0" collapsed="false">
      <c r="A10" s="5" t="n">
        <v>1838</v>
      </c>
      <c r="B10" s="6" t="n">
        <f aca="false">B9*(1+MAX(($Q$2-30)*0.0001+0.0001+$R$2,0))-K9</f>
        <v>99849.4086057205</v>
      </c>
      <c r="C10" s="6" t="n">
        <f aca="false">C9*(1+MAX(($Q$2-30)*0.0001+0.0001+$R$2,0))+K9*IF(M9=0,1,L9/M9)</f>
        <v>4421.2042335096</v>
      </c>
      <c r="D10" s="18" t="n">
        <f aca="false">D9*(1+MAX(($Q$2-30)*0.0001+0.0001+$R$2,0))+K9*IF(L9=0,1,M9/L9)</f>
        <v>90.2286578267265</v>
      </c>
      <c r="E10" s="19" t="n">
        <f aca="false">C10/B10</f>
        <v>0.0442787222803471</v>
      </c>
      <c r="F10" s="19" t="n">
        <f aca="false">D10/B10</f>
        <v>0.000903647393476471</v>
      </c>
      <c r="G10" s="2" t="n">
        <v>0.01</v>
      </c>
      <c r="H10" s="8" t="n">
        <f aca="false">MIN((D10/B10)/(0.01+(J10*0.001))+I10,1)</f>
        <v>0.490364739347647</v>
      </c>
      <c r="I10" s="12" t="n">
        <v>0.4</v>
      </c>
      <c r="J10" s="18" t="n">
        <v>0</v>
      </c>
      <c r="K10" s="6" t="n">
        <f aca="false">B10/500/4*(0.3-IF($N$2="Yes",0.1,0)+VLOOKUP(G10,$V$3:$W$11,2,TRUE()))*H10*12</f>
        <v>88.1327326049295</v>
      </c>
      <c r="L10" s="8" t="n">
        <f aca="false">(VLOOKUP(G10,$T$15:$U$21,2,1)+VLOOKUP($O$2,$T$26:$U$36,2,1)-0.12)*IF(E10&gt;0.041,0,1)</f>
        <v>0</v>
      </c>
      <c r="M10" s="8" t="n">
        <f aca="false">VLOOKUP(G10,$X$15:$Y$22,2,1)+VLOOKUP($P$2,$X$26:$Y$37,2,1)*IF(F10&gt;0.04,0,1)</f>
        <v>0.02</v>
      </c>
      <c r="V10" s="21" t="n">
        <v>0.75</v>
      </c>
      <c r="W10" s="14" t="n">
        <f aca="false">SUM(X3:X10)</f>
        <v>0.162</v>
      </c>
      <c r="X10" s="8" t="n">
        <v>0.023</v>
      </c>
    </row>
    <row r="11" customFormat="false" ht="15" hidden="false" customHeight="false" outlineLevel="0" collapsed="false">
      <c r="A11" s="5" t="n">
        <v>1839</v>
      </c>
      <c r="B11" s="6" t="n">
        <f aca="false">B10*(1+MAX(($Q$2-30)*0.0001+0.0001+$R$2,0))-K10</f>
        <v>99821.185518279</v>
      </c>
      <c r="C11" s="6" t="n">
        <f aca="false">C10*(1+MAX(($Q$2-30)*0.0001+0.0001+$R$2,0))+K10*IF(M10=0,1,L10/M10)</f>
        <v>4423.8569560497</v>
      </c>
      <c r="D11" s="18" t="n">
        <f aca="false">D10*(1+MAX(($Q$2-30)*0.0001+0.0001+$R$2,0))+K10*IF(L10=0,1,M10/L10)</f>
        <v>178.415527626352</v>
      </c>
      <c r="E11" s="19" t="n">
        <f aca="false">C11/B11</f>
        <v>0.0443178162339057</v>
      </c>
      <c r="F11" s="19" t="n">
        <f aca="false">D11/B11</f>
        <v>0.00178735131926159</v>
      </c>
      <c r="G11" s="2" t="n">
        <v>0.01</v>
      </c>
      <c r="H11" s="8" t="n">
        <f aca="false">MIN((D11/B11)/(0.01+(J11*0.001))+I11,1)</f>
        <v>0.578735131926159</v>
      </c>
      <c r="I11" s="12" t="n">
        <v>0.4</v>
      </c>
      <c r="J11" s="18" t="n">
        <v>0</v>
      </c>
      <c r="K11" s="6" t="n">
        <f aca="false">B11/500/4*(0.3-IF($N$2="Yes",0.1,0)+VLOOKUP(G11,$V$3:$W$11,2,TRUE()))*H11*12</f>
        <v>103.986048545904</v>
      </c>
      <c r="L11" s="8" t="n">
        <f aca="false">(VLOOKUP(G11,$T$15:$U$21,2,1)+VLOOKUP($O$2,$T$26:$U$36,2,1)-0.12)*IF(E11&gt;0.041,0,1)</f>
        <v>0</v>
      </c>
      <c r="M11" s="8" t="n">
        <f aca="false">VLOOKUP(G11,$X$15:$Y$22,2,1)+VLOOKUP($P$2,$X$26:$Y$37,2,1)*IF(F11&gt;0.04,0,1)</f>
        <v>0.02</v>
      </c>
      <c r="V11" s="21" t="n">
        <v>0.9</v>
      </c>
      <c r="W11" s="14" t="n">
        <f aca="false">SUM(X3:X11)</f>
        <v>0.186</v>
      </c>
      <c r="X11" s="8" t="n">
        <v>0.024</v>
      </c>
    </row>
    <row r="12" customFormat="false" ht="15" hidden="false" customHeight="false" outlineLevel="0" collapsed="false">
      <c r="A12" s="5" t="n">
        <v>1840</v>
      </c>
      <c r="B12" s="6" t="n">
        <f aca="false">B11*(1+MAX(($Q$2-30)*0.0001+0.0001+$R$2,0))-K11</f>
        <v>99777.0921810441</v>
      </c>
      <c r="C12" s="6" t="n">
        <f aca="false">C11*(1+MAX(($Q$2-30)*0.0001+0.0001+$R$2,0))+K11*IF(M11=0,1,L11/M11)</f>
        <v>4426.51127022333</v>
      </c>
      <c r="D12" s="18" t="n">
        <f aca="false">D11*(1+MAX(($Q$2-30)*0.0001+0.0001+$R$2,0))+K11*IF(L11=0,1,M11/L11)</f>
        <v>282.508625488832</v>
      </c>
      <c r="E12" s="19" t="n">
        <f aca="false">C12/B12</f>
        <v>0.0443640035349145</v>
      </c>
      <c r="F12" s="19" t="n">
        <f aca="false">D12/B12</f>
        <v>0.0028313976616619</v>
      </c>
      <c r="G12" s="2" t="n">
        <v>0.01</v>
      </c>
      <c r="H12" s="8" t="n">
        <f aca="false">MIN((D12/B12)/(0.01+(J12*0.001))+I12,1)</f>
        <v>0.68313976616619</v>
      </c>
      <c r="I12" s="12" t="n">
        <v>0.4</v>
      </c>
      <c r="J12" s="18" t="n">
        <v>0</v>
      </c>
      <c r="K12" s="6" t="n">
        <f aca="false">B12/500/4*(0.3-IF($N$2="Yes",0.1,0)+VLOOKUP(G12,$V$3:$W$11,2,TRUE()))*H12*12</f>
        <v>122.691058958342</v>
      </c>
      <c r="L12" s="8" t="n">
        <f aca="false">(VLOOKUP(G12,$T$15:$U$21,2,1)+VLOOKUP($O$2,$T$26:$U$36,2,1)-0.12)*IF(E12&gt;0.041,0,1)</f>
        <v>0</v>
      </c>
      <c r="M12" s="8" t="n">
        <f aca="false">VLOOKUP(G12,$X$15:$Y$22,2,1)+VLOOKUP($P$2,$X$26:$Y$37,2,1)*IF(F12&gt;0.04,0,1)</f>
        <v>0.02</v>
      </c>
    </row>
    <row r="13" customFormat="false" ht="15" hidden="false" customHeight="false" outlineLevel="0" collapsed="false">
      <c r="A13" s="5" t="n">
        <v>1841</v>
      </c>
      <c r="B13" s="6" t="n">
        <f aca="false">B12*(1+MAX(($Q$2-30)*0.0001+0.0001+$R$2,0))-K12</f>
        <v>99714.2673773944</v>
      </c>
      <c r="C13" s="6" t="n">
        <f aca="false">C12*(1+MAX(($Q$2-30)*0.0001+0.0001+$R$2,0))+K12*IF(M12=0,1,L12/M12)</f>
        <v>4429.16717698547</v>
      </c>
      <c r="D13" s="18" t="n">
        <f aca="false">D12*(1+MAX(($Q$2-30)*0.0001+0.0001+$R$2,0))+K12*IF(L12=0,1,M12/L12)</f>
        <v>405.369189622467</v>
      </c>
      <c r="E13" s="19" t="n">
        <f aca="false">C13/B13</f>
        <v>0.0444185901724789</v>
      </c>
      <c r="F13" s="19" t="n">
        <f aca="false">D13/B13</f>
        <v>0.00406530780683814</v>
      </c>
      <c r="G13" s="2" t="n">
        <v>0.01</v>
      </c>
      <c r="H13" s="8" t="n">
        <f aca="false">MIN((D13/B13)/(0.01+(J13*0.001))+I13,1)</f>
        <v>0.806530780683814</v>
      </c>
      <c r="I13" s="12" t="n">
        <v>0.4</v>
      </c>
      <c r="J13" s="18" t="n">
        <v>0</v>
      </c>
      <c r="K13" s="6" t="n">
        <f aca="false">B13/500/4*(0.3-IF($N$2="Yes",0.1,0)+VLOOKUP(G13,$V$3:$W$11,2,TRUE()))*H13*12</f>
        <v>144.760726643768</v>
      </c>
      <c r="L13" s="8" t="n">
        <f aca="false">(VLOOKUP(G13,$T$15:$U$21,2,1)+VLOOKUP($O$2,$T$26:$U$36,2,1)-0.12)*IF(E13&gt;0.041,0,1)</f>
        <v>0</v>
      </c>
      <c r="M13" s="8" t="n">
        <f aca="false">VLOOKUP(G13,$X$15:$Y$22,2,1)+VLOOKUP($P$2,$X$26:$Y$37,2,1)*IF(F13&gt;0.04,0,1)</f>
        <v>0.02</v>
      </c>
      <c r="T13" s="17" t="s">
        <v>89</v>
      </c>
      <c r="U13" s="17"/>
      <c r="V13" s="17"/>
      <c r="X13" s="17" t="s">
        <v>90</v>
      </c>
      <c r="Y13" s="17"/>
      <c r="Z13" s="17"/>
    </row>
    <row r="14" customFormat="false" ht="15" hidden="false" customHeight="false" outlineLevel="0" collapsed="false">
      <c r="A14" s="5" t="n">
        <v>1842</v>
      </c>
      <c r="B14" s="6" t="n">
        <f aca="false">B13*(1+MAX(($Q$2-30)*0.0001+0.0001+$R$2,0))-K13</f>
        <v>99629.335211177</v>
      </c>
      <c r="C14" s="6" t="n">
        <f aca="false">C13*(1+MAX(($Q$2-30)*0.0001+0.0001+$R$2,0))+K13*IF(M13=0,1,L13/M13)</f>
        <v>4431.82467729166</v>
      </c>
      <c r="D14" s="18" t="n">
        <f aca="false">D13*(1+MAX(($Q$2-30)*0.0001+0.0001+$R$2,0))+K13*IF(L13=0,1,M13/L13)</f>
        <v>550.373137780008</v>
      </c>
      <c r="E14" s="19" t="n">
        <f aca="false">C14/B14</f>
        <v>0.0444831300730637</v>
      </c>
      <c r="F14" s="19" t="n">
        <f aca="false">D14/B14</f>
        <v>0.00552420767049607</v>
      </c>
      <c r="G14" s="2" t="n">
        <v>0.01</v>
      </c>
      <c r="H14" s="8" t="n">
        <f aca="false">MIN((D14/B14)/(0.01+(J14*0.001))+I14,1)</f>
        <v>0.952420767049607</v>
      </c>
      <c r="I14" s="12" t="n">
        <v>0.4</v>
      </c>
      <c r="J14" s="18" t="n">
        <v>0</v>
      </c>
      <c r="K14" s="6" t="n">
        <f aca="false">B14/500/4*(0.3-IF($N$2="Yes",0.1,0)+VLOOKUP(G14,$V$3:$W$11,2,TRUE()))*H14*12</f>
        <v>170.800286152449</v>
      </c>
      <c r="L14" s="8" t="n">
        <f aca="false">(VLOOKUP(G14,$T$15:$U$21,2,1)+VLOOKUP($O$2,$T$26:$U$36,2,1)-0.12)*IF(E14&gt;0.041,0,1)</f>
        <v>0</v>
      </c>
      <c r="M14" s="8" t="n">
        <f aca="false">VLOOKUP(G14,$X$15:$Y$22,2,1)+VLOOKUP($P$2,$X$26:$Y$37,2,1)*IF(F14&gt;0.04,0,1)</f>
        <v>0.02</v>
      </c>
      <c r="T14" s="5" t="s">
        <v>3</v>
      </c>
      <c r="U14" s="5" t="s">
        <v>87</v>
      </c>
      <c r="V14" s="5" t="s">
        <v>88</v>
      </c>
      <c r="X14" s="5" t="s">
        <v>3</v>
      </c>
      <c r="Y14" s="5" t="s">
        <v>87</v>
      </c>
      <c r="Z14" s="5" t="s">
        <v>88</v>
      </c>
    </row>
    <row r="15" customFormat="false" ht="15" hidden="false" customHeight="false" outlineLevel="0" collapsed="false">
      <c r="A15" s="5" t="n">
        <v>1843</v>
      </c>
      <c r="B15" s="6" t="n">
        <f aca="false">B14*(1+MAX(($Q$2-30)*0.0001+0.0001+$R$2,0))-K14</f>
        <v>99518.3125261513</v>
      </c>
      <c r="C15" s="6" t="n">
        <f aca="false">C14*(1+MAX(($Q$2-30)*0.0001+0.0001+$R$2,0))+K14*IF(M14=0,1,L14/M14)</f>
        <v>4434.48377209803</v>
      </c>
      <c r="D15" s="18" t="n">
        <f aca="false">D14*(1+MAX(($Q$2-30)*0.0001+0.0001+$R$2,0))+K14*IF(L14=0,1,M14/L14)</f>
        <v>721.503647815125</v>
      </c>
      <c r="E15" s="19" t="n">
        <f aca="false">C15/B15</f>
        <v>0.0445594751310996</v>
      </c>
      <c r="F15" s="19" t="n">
        <f aca="false">D15/B15</f>
        <v>0.00724995862068632</v>
      </c>
      <c r="G15" s="2" t="n">
        <v>0.01</v>
      </c>
      <c r="H15" s="8" t="n">
        <f aca="false">MIN((D15/B15)/(0.01+(J15*0.001))+I15,1)</f>
        <v>1</v>
      </c>
      <c r="I15" s="12" t="n">
        <v>0.4</v>
      </c>
      <c r="J15" s="18" t="n">
        <v>0</v>
      </c>
      <c r="K15" s="6" t="n">
        <f aca="false">B15/500/4*(0.3-IF($N$2="Yes",0.1,0)+VLOOKUP(G15,$V$3:$W$11,2,TRUE()))*H15*12</f>
        <v>179.132962547072</v>
      </c>
      <c r="L15" s="8" t="n">
        <f aca="false">(VLOOKUP(G15,$T$15:$U$21,2,1)+VLOOKUP($O$2,$T$26:$U$36,2,1)-0.12)*IF(E15&gt;0.041,0,1)</f>
        <v>0</v>
      </c>
      <c r="M15" s="8" t="n">
        <f aca="false">VLOOKUP(G15,$X$15:$Y$22,2,1)+VLOOKUP($P$2,$X$26:$Y$37,2,1)*IF(F15&gt;0.04,0,1)</f>
        <v>0.02</v>
      </c>
      <c r="T15" s="20" t="n">
        <v>0</v>
      </c>
      <c r="U15" s="19" t="n">
        <f aca="false">SUM(V15)</f>
        <v>0</v>
      </c>
      <c r="V15" s="19" t="n">
        <v>0</v>
      </c>
      <c r="X15" s="20" t="n">
        <v>0</v>
      </c>
      <c r="Y15" s="19" t="n">
        <f aca="false">SUM(Z15)</f>
        <v>0</v>
      </c>
      <c r="Z15" s="19" t="n">
        <v>0</v>
      </c>
    </row>
    <row r="16" customFormat="false" ht="15" hidden="false" customHeight="false" outlineLevel="0" collapsed="false">
      <c r="A16" s="5" t="n">
        <v>1844</v>
      </c>
      <c r="B16" s="6" t="n">
        <f aca="false">B15*(1+MAX(($Q$2-30)*0.0001+0.0001+$R$2,0))-K15</f>
        <v>99398.8905511199</v>
      </c>
      <c r="C16" s="6" t="n">
        <f aca="false">C15*(1+MAX(($Q$2-30)*0.0001+0.0001+$R$2,0))+K15*IF(M15=0,1,L15/M15)</f>
        <v>4437.14446236129</v>
      </c>
      <c r="D16" s="18" t="n">
        <f aca="false">D15*(1+MAX(($Q$2-30)*0.0001+0.0001+$R$2,0))+K15*IF(L15=0,1,M15/L15)</f>
        <v>901.069512550886</v>
      </c>
      <c r="E16" s="19" t="n">
        <f aca="false">C16/B16</f>
        <v>0.0446397785504387</v>
      </c>
      <c r="F16" s="19" t="n">
        <f aca="false">D16/B16</f>
        <v>0.00906518682004278</v>
      </c>
      <c r="G16" s="2" t="n">
        <v>0.01</v>
      </c>
      <c r="H16" s="8" t="n">
        <f aca="false">MIN((D16/B16)/(0.01+(J16*0.001))+I16,1)</f>
        <v>1</v>
      </c>
      <c r="I16" s="12" t="n">
        <v>0.4</v>
      </c>
      <c r="J16" s="18" t="n">
        <v>0</v>
      </c>
      <c r="K16" s="6" t="n">
        <f aca="false">B16/500/4*(0.3-IF($N$2="Yes",0.1,0)+VLOOKUP(G16,$V$3:$W$11,2,TRUE()))*H16*12</f>
        <v>178.918002992016</v>
      </c>
      <c r="L16" s="8" t="n">
        <f aca="false">(VLOOKUP(G16,$T$15:$U$21,2,1)+VLOOKUP($O$2,$T$26:$U$36,2,1)-0.12)*IF(E16&gt;0.041,0,1)</f>
        <v>0</v>
      </c>
      <c r="M16" s="8" t="n">
        <f aca="false">VLOOKUP(G16,$X$15:$Y$22,2,1)+VLOOKUP($P$2,$X$26:$Y$37,2,1)*IF(F16&gt;0.04,0,1)</f>
        <v>0.02</v>
      </c>
      <c r="T16" s="21" t="n">
        <v>0.3</v>
      </c>
      <c r="U16" s="13" t="n">
        <f aca="false">SUM(V15:V16)</f>
        <v>0.005</v>
      </c>
      <c r="V16" s="8" t="n">
        <v>0.005</v>
      </c>
      <c r="X16" s="21" t="n">
        <v>0.4</v>
      </c>
      <c r="Y16" s="13" t="n">
        <f aca="false">SUM(Z15:Z16)</f>
        <v>0.0025</v>
      </c>
      <c r="Z16" s="8" t="n">
        <v>0.0025</v>
      </c>
    </row>
    <row r="17" customFormat="false" ht="15" hidden="false" customHeight="false" outlineLevel="0" collapsed="false">
      <c r="A17" s="5" t="n">
        <v>1845</v>
      </c>
      <c r="B17" s="6" t="n">
        <f aca="false">B16*(1+MAX(($Q$2-30)*0.0001+0.0001+$R$2,0))-K16</f>
        <v>99279.6118824585</v>
      </c>
      <c r="C17" s="6" t="n">
        <f aca="false">C16*(1+MAX(($Q$2-30)*0.0001+0.0001+$R$2,0))+K16*IF(M16=0,1,L16/M16)</f>
        <v>4439.80674903871</v>
      </c>
      <c r="D17" s="18" t="n">
        <f aca="false">D16*(1+MAX(($Q$2-30)*0.0001+0.0001+$R$2,0))+K16*IF(L16=0,1,M16/L16)</f>
        <v>1080.52815725043</v>
      </c>
      <c r="E17" s="19" t="n">
        <f aca="false">C17/B17</f>
        <v>0.0447202266895965</v>
      </c>
      <c r="F17" s="19" t="n">
        <f aca="false">D17/B17</f>
        <v>0.0108836863557617</v>
      </c>
      <c r="G17" s="2" t="n">
        <v>0.01</v>
      </c>
      <c r="H17" s="8" t="n">
        <f aca="false">MIN((D17/B17)/(0.01+(J17*0.001))+I17,1)</f>
        <v>1</v>
      </c>
      <c r="I17" s="12" t="n">
        <v>0.4</v>
      </c>
      <c r="J17" s="18" t="n">
        <v>0</v>
      </c>
      <c r="K17" s="6" t="n">
        <f aca="false">B17/500/4*(0.3-IF($N$2="Yes",0.1,0)+VLOOKUP(G17,$V$3:$W$11,2,TRUE()))*H17*12</f>
        <v>178.703301388425</v>
      </c>
      <c r="L17" s="8" t="n">
        <f aca="false">(VLOOKUP(G17,$T$15:$U$21,2,1)+VLOOKUP($O$2,$T$26:$U$36,2,1)-0.12)*IF(E17&gt;0.041,0,1)</f>
        <v>0</v>
      </c>
      <c r="M17" s="8" t="n">
        <f aca="false">VLOOKUP(G17,$X$15:$Y$22,2,1)+VLOOKUP($P$2,$X$26:$Y$37,2,1)*IF(F17&gt;0.04,0,1)</f>
        <v>0.02</v>
      </c>
      <c r="T17" s="21" t="n">
        <v>0.4</v>
      </c>
      <c r="U17" s="13" t="n">
        <f aca="false">SUM(V15:V17)</f>
        <v>0.0075</v>
      </c>
      <c r="V17" s="8" t="n">
        <v>0.0025</v>
      </c>
      <c r="X17" s="21" t="n">
        <v>0.5</v>
      </c>
      <c r="Y17" s="13" t="n">
        <f aca="false">SUM(Z15:Z17)</f>
        <v>0.005</v>
      </c>
      <c r="Z17" s="8" t="n">
        <v>0.0025</v>
      </c>
    </row>
    <row r="18" customFormat="false" ht="15" hidden="false" customHeight="false" outlineLevel="0" collapsed="false">
      <c r="A18" s="5" t="n">
        <v>1846</v>
      </c>
      <c r="B18" s="6" t="n">
        <f aca="false">B17*(1+MAX(($Q$2-30)*0.0001+0.0001+$R$2,0))-K17</f>
        <v>99160.4763481996</v>
      </c>
      <c r="C18" s="6" t="n">
        <f aca="false">C17*(1+MAX(($Q$2-30)*0.0001+0.0001+$R$2,0))+K17*IF(M17=0,1,L17/M17)</f>
        <v>4442.47063308813</v>
      </c>
      <c r="D18" s="18" t="n">
        <f aca="false">D17*(1+MAX(($Q$2-30)*0.0001+0.0001+$R$2,0))+K17*IF(L17=0,1,M17/L17)</f>
        <v>1259.87977553321</v>
      </c>
      <c r="E18" s="19" t="n">
        <f aca="false">C18/B18</f>
        <v>0.0448008198093815</v>
      </c>
      <c r="F18" s="19" t="n">
        <f aca="false">D18/B18</f>
        <v>0.0127054631233232</v>
      </c>
      <c r="G18" s="2" t="n">
        <v>0.01</v>
      </c>
      <c r="H18" s="8" t="n">
        <f aca="false">MIN((D18/B18)/(0.01+(J18*0.001))+I18,1)</f>
        <v>1</v>
      </c>
      <c r="I18" s="12" t="n">
        <v>0.4</v>
      </c>
      <c r="J18" s="18" t="n">
        <v>0</v>
      </c>
      <c r="K18" s="6" t="n">
        <f aca="false">B18/500/4*(0.3-IF($N$2="Yes",0.1,0)+VLOOKUP(G18,$V$3:$W$11,2,TRUE()))*H18*12</f>
        <v>178.488857426759</v>
      </c>
      <c r="L18" s="8" t="n">
        <f aca="false">(VLOOKUP(G18,$T$15:$U$21,2,1)+VLOOKUP($O$2,$T$26:$U$36,2,1)-0.12)*IF(E18&gt;0.041,0,1)</f>
        <v>0</v>
      </c>
      <c r="M18" s="8" t="n">
        <f aca="false">VLOOKUP(G18,$X$15:$Y$22,2,1)+VLOOKUP($P$2,$X$26:$Y$37,2,1)*IF(F18&gt;0.04,0,1)</f>
        <v>0.02</v>
      </c>
      <c r="T18" s="21" t="n">
        <v>0.5</v>
      </c>
      <c r="U18" s="13" t="n">
        <f aca="false">SUM(V15:V18)</f>
        <v>0.01</v>
      </c>
      <c r="V18" s="8" t="n">
        <v>0.0025</v>
      </c>
      <c r="X18" s="21" t="n">
        <v>0.6</v>
      </c>
      <c r="Y18" s="13" t="n">
        <f aca="false">SUM(Z15:Z18)</f>
        <v>0.01</v>
      </c>
      <c r="Z18" s="8" t="n">
        <v>0.005</v>
      </c>
    </row>
    <row r="19" customFormat="false" ht="15" hidden="false" customHeight="false" outlineLevel="0" collapsed="false">
      <c r="A19" s="5" t="n">
        <v>1847</v>
      </c>
      <c r="B19" s="6" t="n">
        <f aca="false">B18*(1+MAX(($Q$2-30)*0.0001+0.0001+$R$2,0))-K18</f>
        <v>99041.4837765818</v>
      </c>
      <c r="C19" s="6" t="n">
        <f aca="false">C18*(1+MAX(($Q$2-30)*0.0001+0.0001+$R$2,0))+K18*IF(M18=0,1,L18/M18)</f>
        <v>4445.13611546798</v>
      </c>
      <c r="D19" s="18" t="n">
        <f aca="false">D18*(1+MAX(($Q$2-30)*0.0001+0.0001+$R$2,0))+K18*IF(L18=0,1,M18/L18)</f>
        <v>1439.12456082529</v>
      </c>
      <c r="E19" s="19" t="n">
        <f aca="false">C19/B19</f>
        <v>0.0448815581710725</v>
      </c>
      <c r="F19" s="19" t="n">
        <f aca="false">D19/B19</f>
        <v>0.0145305230288318</v>
      </c>
      <c r="G19" s="2" t="n">
        <v>0.01</v>
      </c>
      <c r="H19" s="8" t="n">
        <f aca="false">MIN((D19/B19)/(0.01+(J19*0.001))+I19,1)</f>
        <v>1</v>
      </c>
      <c r="I19" s="12" t="n">
        <v>0.4</v>
      </c>
      <c r="J19" s="18" t="n">
        <v>0</v>
      </c>
      <c r="K19" s="6" t="n">
        <f aca="false">B19/500/4*(0.3-IF($N$2="Yes",0.1,0)+VLOOKUP(G19,$V$3:$W$11,2,TRUE()))*H19*12</f>
        <v>178.274670797847</v>
      </c>
      <c r="L19" s="8" t="n">
        <f aca="false">(VLOOKUP(G19,$T$15:$U$21,2,1)+VLOOKUP($O$2,$T$26:$U$36,2,1)-0.12)*IF(E19&gt;0.041,0,1)</f>
        <v>0</v>
      </c>
      <c r="M19" s="8" t="n">
        <f aca="false">VLOOKUP(G19,$X$15:$Y$22,2,1)+VLOOKUP($P$2,$X$26:$Y$37,2,1)*IF(F19&gt;0.04,0,1)</f>
        <v>0.02</v>
      </c>
      <c r="T19" s="21" t="n">
        <v>0.6</v>
      </c>
      <c r="U19" s="13" t="n">
        <f aca="false">SUM(V15:V19)</f>
        <v>0.0125</v>
      </c>
      <c r="V19" s="8" t="n">
        <v>0.0025</v>
      </c>
      <c r="X19" s="21" t="n">
        <v>0.7</v>
      </c>
      <c r="Y19" s="13" t="n">
        <f aca="false">SUM(Z15:Z19)</f>
        <v>0.015</v>
      </c>
      <c r="Z19" s="8" t="n">
        <v>0.005</v>
      </c>
    </row>
    <row r="20" customFormat="false" ht="15" hidden="false" customHeight="false" outlineLevel="0" collapsed="false">
      <c r="A20" s="5" t="n">
        <v>1848</v>
      </c>
      <c r="B20" s="6" t="n">
        <f aca="false">B19*(1+MAX(($Q$2-30)*0.0001+0.0001+$R$2,0))-K19</f>
        <v>98922.6339960498</v>
      </c>
      <c r="C20" s="6" t="n">
        <f aca="false">C19*(1+MAX(($Q$2-30)*0.0001+0.0001+$R$2,0))+K19*IF(M19=0,1,L19/M19)</f>
        <v>4447.80319713726</v>
      </c>
      <c r="D20" s="18" t="n">
        <f aca="false">D19*(1+MAX(($Q$2-30)*0.0001+0.0001+$R$2,0))+K19*IF(L19=0,1,M19/L19)</f>
        <v>1618.26270635963</v>
      </c>
      <c r="E20" s="19" t="n">
        <f aca="false">C20/B20</f>
        <v>0.0449624420364188</v>
      </c>
      <c r="F20" s="19" t="n">
        <f aca="false">D20/B20</f>
        <v>0.0163588719890359</v>
      </c>
      <c r="G20" s="2" t="n">
        <v>0.01</v>
      </c>
      <c r="H20" s="8" t="n">
        <f aca="false">MIN((D20/B20)/(0.01+(J20*0.001))+I20,1)</f>
        <v>1</v>
      </c>
      <c r="I20" s="12" t="n">
        <v>0.4</v>
      </c>
      <c r="J20" s="18" t="n">
        <v>0</v>
      </c>
      <c r="K20" s="6" t="n">
        <f aca="false">B20/500/4*(0.3-IF($N$2="Yes",0.1,0)+VLOOKUP(G20,$V$3:$W$11,2,TRUE()))*H20*12</f>
        <v>178.06074119289</v>
      </c>
      <c r="L20" s="8" t="n">
        <f aca="false">(VLOOKUP(G20,$T$15:$U$21,2,1)+VLOOKUP($O$2,$T$26:$U$36,2,1)-0.12)*IF(E20&gt;0.041,0,1)</f>
        <v>0</v>
      </c>
      <c r="M20" s="8" t="n">
        <f aca="false">VLOOKUP(G20,$X$15:$Y$22,2,1)+VLOOKUP($P$2,$X$26:$Y$37,2,1)*IF(F20&gt;0.04,0,1)</f>
        <v>0.02</v>
      </c>
      <c r="T20" s="21" t="n">
        <v>0.7</v>
      </c>
      <c r="U20" s="13" t="n">
        <f aca="false">SUM(V15:V20)</f>
        <v>0.015</v>
      </c>
      <c r="V20" s="8" t="n">
        <v>0.0025</v>
      </c>
      <c r="X20" s="21" t="n">
        <v>0.8</v>
      </c>
      <c r="Y20" s="13" t="n">
        <f aca="false">SUM(Z15:Z20)</f>
        <v>0.025</v>
      </c>
      <c r="Z20" s="8" t="n">
        <v>0.01</v>
      </c>
    </row>
    <row r="21" customFormat="false" ht="15" hidden="false" customHeight="false" outlineLevel="0" collapsed="false">
      <c r="A21" s="5" t="n">
        <v>1849</v>
      </c>
      <c r="B21" s="6" t="n">
        <f aca="false">B20*(1+MAX(($Q$2-30)*0.0001+0.0001+$R$2,0))-K20</f>
        <v>98803.9268352546</v>
      </c>
      <c r="C21" s="6" t="n">
        <f aca="false">C20*(1+MAX(($Q$2-30)*0.0001+0.0001+$R$2,0))+K20*IF(M20=0,1,L20/M20)</f>
        <v>4450.47187905555</v>
      </c>
      <c r="D21" s="18" t="n">
        <f aca="false">D20*(1+MAX(($Q$2-30)*0.0001+0.0001+$R$2,0))+K20*IF(L20=0,1,M20/L20)</f>
        <v>1797.29440517634</v>
      </c>
      <c r="E21" s="19" t="n">
        <f aca="false">C21/B21</f>
        <v>0.0450434716676418</v>
      </c>
      <c r="F21" s="19" t="n">
        <f aca="false">D21/B21</f>
        <v>0.0181905159313469</v>
      </c>
      <c r="G21" s="2" t="n">
        <v>0.01</v>
      </c>
      <c r="H21" s="8" t="n">
        <f aca="false">MIN((D21/B21)/(0.01+(J21*0.001))+I21,1)</f>
        <v>1</v>
      </c>
      <c r="I21" s="12" t="n">
        <v>0.4</v>
      </c>
      <c r="J21" s="18" t="n">
        <v>0</v>
      </c>
      <c r="K21" s="6" t="n">
        <f aca="false">B21/500/4*(0.3-IF($N$2="Yes",0.1,0)+VLOOKUP(G21,$V$3:$W$11,2,TRUE()))*H21*12</f>
        <v>177.847068303458</v>
      </c>
      <c r="L21" s="8" t="n">
        <f aca="false">(VLOOKUP(G21,$T$15:$U$21,2,1)+VLOOKUP($O$2,$T$26:$U$36,2,1)-0.12)*IF(E21&gt;0.041,0,1)</f>
        <v>0</v>
      </c>
      <c r="M21" s="8" t="n">
        <f aca="false">VLOOKUP(G21,$X$15:$Y$22,2,1)+VLOOKUP($P$2,$X$26:$Y$37,2,1)*IF(F21&gt;0.04,0,1)</f>
        <v>0.02</v>
      </c>
      <c r="T21" s="21" t="n">
        <v>0.8</v>
      </c>
      <c r="U21" s="13" t="n">
        <f aca="false">SUM(V15:V21)</f>
        <v>0.0175</v>
      </c>
      <c r="V21" s="8" t="n">
        <v>0.0025</v>
      </c>
      <c r="X21" s="21" t="n">
        <v>0.9</v>
      </c>
      <c r="Y21" s="13" t="n">
        <f aca="false">SUM(Z15:Z21)</f>
        <v>0.035</v>
      </c>
      <c r="Z21" s="8" t="n">
        <v>0.01</v>
      </c>
    </row>
    <row r="22" customFormat="false" ht="15" hidden="false" customHeight="false" outlineLevel="0" collapsed="false">
      <c r="A22" s="5" t="n">
        <v>1850</v>
      </c>
      <c r="B22" s="6" t="n">
        <f aca="false">B21*(1+MAX(($Q$2-30)*0.0001+0.0001+$R$2,0))-K21</f>
        <v>98685.3621230523</v>
      </c>
      <c r="C22" s="6" t="n">
        <f aca="false">C21*(1+MAX(($Q$2-30)*0.0001+0.0001+$R$2,0))+K21*IF(M21=0,1,L21/M21)</f>
        <v>4453.14216218298</v>
      </c>
      <c r="D22" s="18" t="n">
        <f aca="false">D21*(1+MAX(($Q$2-30)*0.0001+0.0001+$R$2,0))+K21*IF(L21=0,1,M21/L21)</f>
        <v>1976.2198501229</v>
      </c>
      <c r="E22" s="19" t="n">
        <f aca="false">C22/B22</f>
        <v>0.0451246473274353</v>
      </c>
      <c r="F22" s="19" t="n">
        <f aca="false">D22/B22</f>
        <v>0.0200254607938584</v>
      </c>
      <c r="G22" s="2" t="n">
        <v>0.01</v>
      </c>
      <c r="H22" s="8" t="n">
        <f aca="false">MIN((D22/B22)/(0.01+(J22*0.001))+I22,1)</f>
        <v>1</v>
      </c>
      <c r="I22" s="12" t="n">
        <v>0.4</v>
      </c>
      <c r="J22" s="18" t="n">
        <v>0</v>
      </c>
      <c r="K22" s="6" t="n">
        <f aca="false">B22/500/4*(0.3-IF($N$2="Yes",0.1,0)+VLOOKUP(G22,$V$3:$W$11,2,TRUE()))*H22*12</f>
        <v>177.633651821494</v>
      </c>
      <c r="L22" s="8" t="n">
        <f aca="false">(VLOOKUP(G22,$T$15:$U$21,2,1)+VLOOKUP($O$2,$T$26:$U$36,2,1)-0.12)*IF(E22&gt;0.041,0,1)</f>
        <v>0</v>
      </c>
      <c r="M22" s="8" t="n">
        <f aca="false">VLOOKUP(G22,$X$15:$Y$22,2,1)+VLOOKUP($P$2,$X$26:$Y$37,2,1)*IF(F22&gt;0.04,0,1)</f>
        <v>0.02</v>
      </c>
      <c r="T22" s="21"/>
      <c r="U22" s="14"/>
      <c r="V22" s="21"/>
      <c r="X22" s="21" t="n">
        <v>1</v>
      </c>
      <c r="Y22" s="13" t="n">
        <f aca="false">SUM(Z15:Z22)</f>
        <v>0.055</v>
      </c>
      <c r="Z22" s="8" t="n">
        <v>0.02</v>
      </c>
    </row>
    <row r="24" customFormat="false" ht="15" hidden="false" customHeight="false" outlineLevel="0" collapsed="false">
      <c r="T24" s="17" t="s">
        <v>91</v>
      </c>
      <c r="U24" s="17"/>
      <c r="V24" s="17"/>
      <c r="X24" s="17" t="s">
        <v>92</v>
      </c>
      <c r="Y24" s="17"/>
      <c r="Z24" s="17"/>
    </row>
    <row r="25" customFormat="false" ht="15" hidden="false" customHeight="false" outlineLevel="0" collapsed="false">
      <c r="T25" s="5" t="s">
        <v>93</v>
      </c>
      <c r="U25" s="5" t="s">
        <v>87</v>
      </c>
      <c r="V25" s="5" t="s">
        <v>88</v>
      </c>
      <c r="X25" s="5" t="s">
        <v>93</v>
      </c>
      <c r="Y25" s="5" t="s">
        <v>87</v>
      </c>
      <c r="Z25" s="5" t="s">
        <v>88</v>
      </c>
    </row>
    <row r="26" customFormat="false" ht="15" hidden="false" customHeight="false" outlineLevel="0" collapsed="false">
      <c r="T26" s="20" t="n">
        <v>0</v>
      </c>
      <c r="U26" s="19" t="n">
        <f aca="false">SUM(V26)</f>
        <v>0</v>
      </c>
      <c r="V26" s="19" t="n">
        <v>0</v>
      </c>
      <c r="X26" s="20" t="n">
        <v>0</v>
      </c>
      <c r="Y26" s="19" t="n">
        <f aca="false">SUM(Z26)</f>
        <v>0</v>
      </c>
      <c r="Z26" s="19" t="n">
        <v>0</v>
      </c>
    </row>
    <row r="27" customFormat="false" ht="15" hidden="false" customHeight="false" outlineLevel="0" collapsed="false">
      <c r="T27" s="21" t="n">
        <v>0.1</v>
      </c>
      <c r="U27" s="13" t="n">
        <f aca="false">SUM(V26:V27)</f>
        <v>0.02</v>
      </c>
      <c r="V27" s="8" t="n">
        <v>0.02</v>
      </c>
      <c r="X27" s="21" t="n">
        <v>0.1</v>
      </c>
      <c r="Y27" s="13" t="n">
        <f aca="false">SUM(Z26:Z27)</f>
        <v>0.02</v>
      </c>
      <c r="Z27" s="8" t="n">
        <v>0.02</v>
      </c>
    </row>
    <row r="28" customFormat="false" ht="15" hidden="false" customHeight="false" outlineLevel="0" collapsed="false">
      <c r="T28" s="21" t="n">
        <v>0.2</v>
      </c>
      <c r="U28" s="13" t="n">
        <f aca="false">SUM(V26:V28)</f>
        <v>0.04</v>
      </c>
      <c r="V28" s="8" t="n">
        <v>0.02</v>
      </c>
      <c r="X28" s="21" t="n">
        <v>0.2</v>
      </c>
      <c r="Y28" s="13" t="n">
        <f aca="false">SUM(Z26:Z28)</f>
        <v>0.04</v>
      </c>
      <c r="Z28" s="8" t="n">
        <v>0.02</v>
      </c>
    </row>
    <row r="29" customFormat="false" ht="15" hidden="false" customHeight="false" outlineLevel="0" collapsed="false">
      <c r="T29" s="21" t="n">
        <v>0.3</v>
      </c>
      <c r="U29" s="13" t="n">
        <f aca="false">SUM(V26:V29)</f>
        <v>0.06</v>
      </c>
      <c r="V29" s="8" t="n">
        <v>0.02</v>
      </c>
      <c r="X29" s="21" t="n">
        <v>0.3</v>
      </c>
      <c r="Y29" s="13" t="n">
        <f aca="false">SUM(Z26:Z29)</f>
        <v>0.06</v>
      </c>
      <c r="Z29" s="8" t="n">
        <v>0.02</v>
      </c>
    </row>
    <row r="30" customFormat="false" ht="15" hidden="false" customHeight="false" outlineLevel="0" collapsed="false">
      <c r="T30" s="21" t="n">
        <v>0.4</v>
      </c>
      <c r="U30" s="13" t="n">
        <f aca="false">SUM(V26:V30)</f>
        <v>0.082</v>
      </c>
      <c r="V30" s="8" t="n">
        <v>0.022</v>
      </c>
      <c r="X30" s="21" t="n">
        <v>0.4</v>
      </c>
      <c r="Y30" s="13" t="n">
        <f aca="false">SUM(Z26:Z30)</f>
        <v>0.08</v>
      </c>
      <c r="Z30" s="8" t="n">
        <v>0.02</v>
      </c>
    </row>
    <row r="31" customFormat="false" ht="15" hidden="false" customHeight="false" outlineLevel="0" collapsed="false">
      <c r="T31" s="21" t="n">
        <v>0.5</v>
      </c>
      <c r="U31" s="13" t="n">
        <f aca="false">SUM(V26:V31)</f>
        <v>0.105</v>
      </c>
      <c r="V31" s="8" t="n">
        <v>0.023</v>
      </c>
      <c r="X31" s="21" t="n">
        <v>0.5</v>
      </c>
      <c r="Y31" s="13" t="n">
        <f aca="false">SUM(Z26:Z31)</f>
        <v>0.1</v>
      </c>
      <c r="Z31" s="8" t="n">
        <v>0.02</v>
      </c>
    </row>
    <row r="32" customFormat="false" ht="15" hidden="false" customHeight="false" outlineLevel="0" collapsed="false">
      <c r="T32" s="21" t="n">
        <v>0.6</v>
      </c>
      <c r="U32" s="13" t="n">
        <f aca="false">SUM(V26:V32)</f>
        <v>0.13</v>
      </c>
      <c r="V32" s="8" t="n">
        <v>0.025</v>
      </c>
      <c r="X32" s="21" t="n">
        <v>0.6</v>
      </c>
      <c r="Y32" s="13" t="n">
        <f aca="false">SUM(Z26:Z32)</f>
        <v>0.12</v>
      </c>
      <c r="Z32" s="8" t="n">
        <v>0.02</v>
      </c>
    </row>
    <row r="33" customFormat="false" ht="15" hidden="false" customHeight="false" outlineLevel="0" collapsed="false">
      <c r="T33" s="21" t="n">
        <v>0.75</v>
      </c>
      <c r="U33" s="13" t="n">
        <f aca="false">SUM(V26:V33)</f>
        <v>0.2</v>
      </c>
      <c r="V33" s="8" t="n">
        <v>0.07</v>
      </c>
      <c r="X33" s="21" t="n">
        <v>0.7</v>
      </c>
      <c r="Y33" s="13" t="n">
        <f aca="false">SUM(Z26:Z33)</f>
        <v>0.14</v>
      </c>
      <c r="Z33" s="8" t="n">
        <v>0.02</v>
      </c>
    </row>
    <row r="34" customFormat="false" ht="15" hidden="false" customHeight="false" outlineLevel="0" collapsed="false">
      <c r="T34" s="21" t="n">
        <v>0.8</v>
      </c>
      <c r="U34" s="13" t="n">
        <f aca="false">SUM(V26:V34)</f>
        <v>0.22</v>
      </c>
      <c r="V34" s="8" t="n">
        <v>0.02</v>
      </c>
      <c r="X34" s="21" t="n">
        <v>0.75</v>
      </c>
      <c r="Y34" s="13" t="n">
        <f aca="false">SUM(Z26:Z34)</f>
        <v>0.2</v>
      </c>
      <c r="Z34" s="8" t="n">
        <v>0.06</v>
      </c>
    </row>
    <row r="35" customFormat="false" ht="15" hidden="false" customHeight="false" outlineLevel="0" collapsed="false">
      <c r="T35" s="21" t="n">
        <v>0.9</v>
      </c>
      <c r="U35" s="13" t="n">
        <f aca="false">SUM(V26:V35)</f>
        <v>0.24</v>
      </c>
      <c r="V35" s="8" t="n">
        <v>0.02</v>
      </c>
      <c r="X35" s="21" t="n">
        <v>0.8</v>
      </c>
      <c r="Y35" s="13" t="n">
        <f aca="false">SUM(Z26:Z35)</f>
        <v>0.22</v>
      </c>
      <c r="Z35" s="8" t="n">
        <v>0.02</v>
      </c>
    </row>
    <row r="36" customFormat="false" ht="15" hidden="false" customHeight="false" outlineLevel="0" collapsed="false">
      <c r="T36" s="21" t="n">
        <v>1</v>
      </c>
      <c r="U36" s="13" t="n">
        <f aca="false">SUM(V26:V36)</f>
        <v>0.26</v>
      </c>
      <c r="V36" s="8" t="n">
        <v>0.02</v>
      </c>
      <c r="X36" s="21" t="n">
        <v>0.9</v>
      </c>
      <c r="Y36" s="13" t="n">
        <f aca="false">SUM(Z26:Z36)</f>
        <v>0.24</v>
      </c>
      <c r="Z36" s="8" t="n">
        <v>0.02</v>
      </c>
    </row>
    <row r="37" customFormat="false" ht="15" hidden="false" customHeight="false" outlineLevel="0" collapsed="false">
      <c r="X37" s="21" t="n">
        <v>1</v>
      </c>
      <c r="Y37" s="13" t="n">
        <f aca="false">SUM(Z27:Z37)</f>
        <v>0.26</v>
      </c>
      <c r="Z37" s="8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J14" activeCellId="0" sqref="J14"/>
    </sheetView>
  </sheetViews>
  <sheetFormatPr defaultColWidth="13.42578125" defaultRowHeight="15" zeroHeight="false" outlineLevelRow="0" outlineLevelCol="0"/>
  <cols>
    <col collapsed="false" customWidth="true" hidden="false" outlineLevel="0" max="1" min="1" style="1" width="17.72"/>
    <col collapsed="false" customWidth="true" hidden="false" outlineLevel="0" max="2" min="2" style="1" width="7.85"/>
    <col collapsed="false" customWidth="true" hidden="false" outlineLevel="0" max="3" min="3" style="1" width="6.85"/>
    <col collapsed="false" customWidth="true" hidden="false" outlineLevel="0" max="4" min="4" style="1" width="14.57"/>
    <col collapsed="false" customWidth="false" hidden="false" outlineLevel="0" max="5" min="5" style="1" width="13.42"/>
    <col collapsed="false" customWidth="true" hidden="false" outlineLevel="0" max="6" min="6" style="5" width="7"/>
    <col collapsed="false" customWidth="true" hidden="false" outlineLevel="0" max="7" min="7" style="22" width="7.85"/>
    <col collapsed="false" customWidth="false" hidden="false" outlineLevel="0" max="8" min="8" style="23" width="13.42"/>
    <col collapsed="false" customWidth="true" hidden="false" outlineLevel="0" max="9" min="9" style="23" width="12.42"/>
    <col collapsed="false" customWidth="true" hidden="false" outlineLevel="0" max="10" min="10" style="23" width="12.14"/>
    <col collapsed="false" customWidth="true" hidden="false" outlineLevel="0" max="11" min="11" style="23" width="15.85"/>
    <col collapsed="false" customWidth="true" hidden="false" outlineLevel="0" max="12" min="12" style="24" width="10.28"/>
    <col collapsed="false" customWidth="true" hidden="false" outlineLevel="0" max="13" min="13" style="23" width="14.29"/>
    <col collapsed="false" customWidth="false" hidden="false" outlineLevel="0" max="14" min="14" style="1" width="13.42"/>
    <col collapsed="false" customWidth="true" hidden="false" outlineLevel="0" max="15" min="15" style="5" width="17.14"/>
    <col collapsed="false" customWidth="true" hidden="false" outlineLevel="0" max="16" min="16" style="25" width="13.57"/>
    <col collapsed="false" customWidth="true" hidden="false" outlineLevel="0" max="17" min="17" style="5" width="15.42"/>
    <col collapsed="false" customWidth="true" hidden="false" outlineLevel="0" max="18" min="18" style="5" width="9.14"/>
    <col collapsed="false" customWidth="true" hidden="false" outlineLevel="0" max="19" min="19" style="5" width="15.42"/>
    <col collapsed="false" customWidth="true" hidden="false" outlineLevel="0" max="20" min="20" style="26" width="17.72"/>
    <col collapsed="false" customWidth="false" hidden="false" outlineLevel="0" max="16384" min="21" style="1" width="13.42"/>
  </cols>
  <sheetData>
    <row r="1" s="1" customFormat="true" ht="15" hidden="false" customHeight="false" outlineLevel="0" collapsed="false">
      <c r="A1" s="27" t="s">
        <v>94</v>
      </c>
      <c r="B1" s="27" t="s">
        <v>95</v>
      </c>
      <c r="C1" s="27" t="s">
        <v>96</v>
      </c>
      <c r="D1" s="27" t="s">
        <v>97</v>
      </c>
      <c r="F1" s="5" t="s">
        <v>0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2" t="s">
        <v>103</v>
      </c>
      <c r="M1" s="5" t="s">
        <v>104</v>
      </c>
    </row>
    <row r="2" s="1" customFormat="true" ht="15" hidden="false" customHeight="false" outlineLevel="0" collapsed="false">
      <c r="A2" s="27" t="s">
        <v>105</v>
      </c>
      <c r="B2" s="28" t="n">
        <v>3</v>
      </c>
      <c r="C2" s="1" t="n">
        <v>20</v>
      </c>
      <c r="D2" s="1" t="n">
        <f aca="false">B2*C2*3</f>
        <v>180</v>
      </c>
      <c r="F2" s="5" t="s">
        <v>106</v>
      </c>
      <c r="G2" s="22" t="n">
        <f aca="false">$D$3*(1+I2+J2+(L2*0.16)+$M$2)*(1+K2)</f>
        <v>162</v>
      </c>
      <c r="H2" s="23"/>
      <c r="I2" s="23" t="n">
        <v>0</v>
      </c>
      <c r="J2" s="23" t="n">
        <v>0</v>
      </c>
      <c r="K2" s="23" t="n">
        <v>0</v>
      </c>
      <c r="L2" s="24" t="n">
        <v>0</v>
      </c>
      <c r="M2" s="2" t="n">
        <v>0</v>
      </c>
    </row>
    <row r="3" s="1" customFormat="true" ht="15" hidden="false" customHeight="false" outlineLevel="0" collapsed="false">
      <c r="A3" s="27" t="s">
        <v>107</v>
      </c>
      <c r="B3" s="28" t="n">
        <v>3</v>
      </c>
      <c r="C3" s="1" t="n">
        <v>18</v>
      </c>
      <c r="D3" s="1" t="n">
        <f aca="false">B3*C3*3</f>
        <v>162</v>
      </c>
      <c r="F3" s="5" t="s">
        <v>108</v>
      </c>
      <c r="G3" s="22" t="n">
        <f aca="false">$D$3*(1+I3+J3+(L3*0.16)+$M$2)*(1+K3)</f>
        <v>309.42</v>
      </c>
      <c r="H3" s="23"/>
      <c r="I3" s="23" t="n">
        <v>0.65</v>
      </c>
      <c r="J3" s="23" t="n">
        <v>0.1</v>
      </c>
      <c r="K3" s="23" t="n">
        <v>0</v>
      </c>
      <c r="L3" s="24" t="n">
        <v>1</v>
      </c>
      <c r="M3" s="23"/>
    </row>
    <row r="4" s="1" customFormat="true" ht="15" hidden="false" customHeight="false" outlineLevel="0" collapsed="false">
      <c r="A4" s="27" t="s">
        <v>109</v>
      </c>
      <c r="B4" s="28" t="n">
        <v>3</v>
      </c>
      <c r="C4" s="1" t="n">
        <v>18</v>
      </c>
      <c r="D4" s="1" t="n">
        <f aca="false">B4*C4*3</f>
        <v>162</v>
      </c>
      <c r="F4" s="5" t="n">
        <v>1830</v>
      </c>
      <c r="G4" s="22" t="n">
        <f aca="false">$D$3*(1+I4+J4+(L4*0.16)+$M$2)*(1+K4)</f>
        <v>447.12</v>
      </c>
      <c r="H4" s="23"/>
      <c r="I4" s="23" t="n">
        <v>1.05</v>
      </c>
      <c r="J4" s="23" t="n">
        <v>0.55</v>
      </c>
      <c r="K4" s="23" t="n">
        <v>0</v>
      </c>
      <c r="L4" s="24" t="n">
        <v>1</v>
      </c>
      <c r="M4" s="23"/>
    </row>
    <row r="5" s="1" customFormat="true" ht="15" hidden="false" customHeight="false" outlineLevel="0" collapsed="false">
      <c r="A5" s="27" t="s">
        <v>110</v>
      </c>
      <c r="B5" s="28" t="n">
        <v>3</v>
      </c>
      <c r="C5" s="1" t="n">
        <v>18</v>
      </c>
      <c r="D5" s="1" t="n">
        <f aca="false">B5*C5*3</f>
        <v>162</v>
      </c>
      <c r="F5" s="5" t="n">
        <v>1840</v>
      </c>
      <c r="G5" s="22" t="n">
        <f aca="false">$D$3*(1+I5+J5+(L5*0.16)+$M$2)*(1+K5)</f>
        <v>473.04</v>
      </c>
      <c r="H5" s="23"/>
      <c r="I5" s="23" t="n">
        <v>1.05</v>
      </c>
      <c r="J5" s="23" t="n">
        <v>0.55</v>
      </c>
      <c r="K5" s="23" t="n">
        <v>0</v>
      </c>
      <c r="L5" s="24" t="n">
        <v>2</v>
      </c>
      <c r="M5" s="23"/>
    </row>
    <row r="6" s="1" customFormat="true" ht="15" hidden="false" customHeight="false" outlineLevel="0" collapsed="false">
      <c r="A6" s="27" t="s">
        <v>111</v>
      </c>
      <c r="B6" s="28" t="n">
        <v>3</v>
      </c>
      <c r="C6" s="1" t="n">
        <v>18</v>
      </c>
      <c r="D6" s="1" t="n">
        <f aca="false">B6*C6*3</f>
        <v>162</v>
      </c>
      <c r="F6" s="5" t="n">
        <v>1850</v>
      </c>
      <c r="G6" s="22" t="n">
        <f aca="false">$D$3*(1+I6+J6+(L6*0.16)+$M$2)*(1+K6)</f>
        <v>563.76</v>
      </c>
      <c r="H6" s="23"/>
      <c r="I6" s="23" t="n">
        <v>1.2</v>
      </c>
      <c r="J6" s="23" t="n">
        <v>0.8</v>
      </c>
      <c r="K6" s="23" t="n">
        <v>0</v>
      </c>
      <c r="L6" s="24" t="n">
        <v>3</v>
      </c>
      <c r="M6" s="23"/>
    </row>
    <row r="7" s="1" customFormat="true" ht="15" hidden="false" customHeight="false" outlineLevel="0" collapsed="false">
      <c r="A7" s="27" t="s">
        <v>112</v>
      </c>
      <c r="B7" s="28" t="n">
        <v>2.25</v>
      </c>
      <c r="C7" s="1" t="n">
        <v>20</v>
      </c>
      <c r="D7" s="1" t="n">
        <f aca="false">B7*C7*3</f>
        <v>135</v>
      </c>
      <c r="F7" s="5" t="n">
        <v>1870</v>
      </c>
      <c r="G7" s="22" t="n">
        <f aca="false">$D$3*(1+I7+J7+(L7*0.16)+$M$2)*(1+K7)</f>
        <v>654.48</v>
      </c>
      <c r="H7" s="23"/>
      <c r="I7" s="23" t="n">
        <v>1.2</v>
      </c>
      <c r="J7" s="23" t="n">
        <v>1.2</v>
      </c>
      <c r="K7" s="23" t="n">
        <v>0</v>
      </c>
      <c r="L7" s="24" t="n">
        <v>4</v>
      </c>
      <c r="M7" s="23"/>
    </row>
    <row r="8" s="1" customFormat="true" ht="15" hidden="false" customHeight="false" outlineLevel="0" collapsed="false">
      <c r="A8" s="27" t="s">
        <v>113</v>
      </c>
      <c r="B8" s="28" t="n">
        <v>3</v>
      </c>
      <c r="C8" s="1" t="n">
        <v>13</v>
      </c>
      <c r="D8" s="1" t="n">
        <f aca="false">B8*C8*3</f>
        <v>117</v>
      </c>
      <c r="F8" s="5" t="n">
        <v>1880</v>
      </c>
      <c r="G8" s="22" t="n">
        <f aca="false">$D$3*(1+I8+J8+(L8*0.16)+$M$2)*(1+K8)</f>
        <v>678.78</v>
      </c>
      <c r="H8" s="23"/>
      <c r="I8" s="23" t="n">
        <v>1.35</v>
      </c>
      <c r="J8" s="23" t="n">
        <v>1.2</v>
      </c>
      <c r="K8" s="23" t="n">
        <v>0</v>
      </c>
      <c r="L8" s="24" t="n">
        <v>4</v>
      </c>
      <c r="M8" s="23"/>
    </row>
    <row r="9" s="1" customFormat="true" ht="15" hidden="false" customHeight="false" outlineLevel="0" collapsed="false">
      <c r="A9" s="27" t="s">
        <v>114</v>
      </c>
      <c r="B9" s="28" t="n">
        <v>3</v>
      </c>
      <c r="C9" s="1" t="n">
        <v>10</v>
      </c>
      <c r="D9" s="1" t="n">
        <f aca="false">B9*C9*3</f>
        <v>90</v>
      </c>
      <c r="F9" s="5" t="n">
        <v>1898</v>
      </c>
      <c r="G9" s="22" t="n">
        <f aca="false">$D$3*(1+I9+J9+(L9*0.16)+$M$2)*(1+K9)</f>
        <v>704.7</v>
      </c>
      <c r="H9" s="23"/>
      <c r="I9" s="23" t="n">
        <v>1.35</v>
      </c>
      <c r="J9" s="23" t="n">
        <v>1.2</v>
      </c>
      <c r="K9" s="23" t="n">
        <v>0</v>
      </c>
      <c r="L9" s="24" t="n">
        <v>5</v>
      </c>
      <c r="M9" s="23"/>
    </row>
    <row r="10" s="1" customFormat="true" ht="15" hidden="false" customHeight="false" outlineLevel="0" collapsed="false">
      <c r="A10" s="27" t="s">
        <v>115</v>
      </c>
      <c r="B10" s="28" t="n">
        <v>4</v>
      </c>
      <c r="C10" s="1" t="n">
        <v>5.4</v>
      </c>
      <c r="D10" s="1" t="n">
        <f aca="false">B10*C10</f>
        <v>21.6</v>
      </c>
      <c r="F10" s="5" t="n">
        <v>1900</v>
      </c>
      <c r="G10" s="22" t="n">
        <f aca="false">$D$3*(1+I10+J10+(L10*0.16)+$M$2)*(1+K10)</f>
        <v>907.2</v>
      </c>
      <c r="H10" s="23"/>
      <c r="I10" s="23" t="n">
        <v>2.2</v>
      </c>
      <c r="J10" s="23" t="n">
        <v>1.6</v>
      </c>
      <c r="K10" s="23" t="n">
        <v>0</v>
      </c>
      <c r="L10" s="24" t="n">
        <v>5</v>
      </c>
      <c r="M10" s="23"/>
    </row>
    <row r="11" s="1" customFormat="true" ht="15" hidden="false" customHeight="false" outlineLevel="0" collapsed="false">
      <c r="A11" s="27" t="s">
        <v>116</v>
      </c>
      <c r="B11" s="28" t="n">
        <v>3</v>
      </c>
      <c r="C11" s="1" t="n">
        <v>6</v>
      </c>
      <c r="D11" s="1" t="n">
        <f aca="false">B11*C11</f>
        <v>18</v>
      </c>
      <c r="F11" s="5" t="n">
        <v>1915</v>
      </c>
      <c r="G11" s="22" t="n">
        <f aca="false">$D$3*(1+I11+J11+(L11*0.16)+$M$2)*(1+K11)</f>
        <v>933.12</v>
      </c>
      <c r="H11" s="23"/>
      <c r="I11" s="23" t="n">
        <v>2.2</v>
      </c>
      <c r="J11" s="23" t="n">
        <v>1.6</v>
      </c>
      <c r="K11" s="23" t="n">
        <v>0</v>
      </c>
      <c r="L11" s="24" t="n">
        <v>6</v>
      </c>
      <c r="M11" s="23"/>
    </row>
    <row r="12" customFormat="false" ht="15" hidden="false" customHeight="false" outlineLevel="0" collapsed="false">
      <c r="A12" s="27" t="s">
        <v>117</v>
      </c>
      <c r="B12" s="28" t="n">
        <v>1</v>
      </c>
      <c r="C12" s="1" t="n">
        <v>12</v>
      </c>
      <c r="D12" s="1" t="n">
        <f aca="false">B12*C12</f>
        <v>12</v>
      </c>
      <c r="O12" s="1"/>
      <c r="P12" s="1"/>
      <c r="Q12" s="1"/>
      <c r="R12" s="1"/>
      <c r="S12" s="1"/>
      <c r="T12" s="1"/>
    </row>
    <row r="13" customFormat="false" ht="15" hidden="false" customHeight="false" outlineLevel="0" collapsed="false">
      <c r="A13" s="27" t="s">
        <v>118</v>
      </c>
      <c r="B13" s="28" t="n">
        <v>8</v>
      </c>
      <c r="C13" s="1" t="n">
        <v>0.9</v>
      </c>
      <c r="D13" s="1" t="n">
        <f aca="false">B13*C13</f>
        <v>7.2</v>
      </c>
      <c r="O13" s="1"/>
      <c r="P13" s="1"/>
      <c r="Q13" s="1"/>
      <c r="R13" s="1"/>
      <c r="S13" s="1"/>
      <c r="T13" s="1"/>
    </row>
    <row r="14" customFormat="false" ht="15" hidden="false" customHeight="false" outlineLevel="0" collapsed="false">
      <c r="A14" s="27" t="s">
        <v>119</v>
      </c>
      <c r="B14" s="28" t="n">
        <v>2</v>
      </c>
      <c r="C14" s="1" t="n">
        <v>3.5</v>
      </c>
      <c r="D14" s="1" t="n">
        <f aca="false">B14*C14</f>
        <v>7</v>
      </c>
      <c r="O14" s="1"/>
      <c r="P14" s="1"/>
      <c r="Q14" s="1"/>
      <c r="R14" s="1"/>
      <c r="S14" s="1"/>
      <c r="T14" s="1"/>
    </row>
    <row r="15" customFormat="false" ht="15" hidden="false" customHeight="false" outlineLevel="0" collapsed="false">
      <c r="A15" s="27" t="s">
        <v>120</v>
      </c>
      <c r="B15" s="28" t="n">
        <v>2.4</v>
      </c>
      <c r="C15" s="1" t="n">
        <v>2.3</v>
      </c>
      <c r="D15" s="1" t="n">
        <f aca="false">B15*C15</f>
        <v>5.52</v>
      </c>
      <c r="O15" s="1"/>
      <c r="P15" s="1"/>
      <c r="Q15" s="1"/>
      <c r="R15" s="1"/>
      <c r="S15" s="1"/>
      <c r="T15" s="1"/>
    </row>
    <row r="16" customFormat="false" ht="15" hidden="false" customHeight="false" outlineLevel="0" collapsed="false">
      <c r="A16" s="27" t="s">
        <v>121</v>
      </c>
      <c r="B16" s="28" t="n">
        <v>0.75</v>
      </c>
      <c r="C16" s="1" t="n">
        <v>7</v>
      </c>
      <c r="D16" s="1" t="n">
        <f aca="false">B16*C16</f>
        <v>5.25</v>
      </c>
      <c r="O16" s="1"/>
      <c r="P16" s="1"/>
      <c r="Q16" s="1"/>
      <c r="R16" s="1"/>
      <c r="S16" s="1"/>
      <c r="T16" s="1"/>
    </row>
    <row r="17" customFormat="false" ht="15" hidden="false" customHeight="false" outlineLevel="0" collapsed="false">
      <c r="A17" s="27" t="s">
        <v>122</v>
      </c>
      <c r="B17" s="28" t="n">
        <v>2.7</v>
      </c>
      <c r="C17" s="1" t="n">
        <v>1.8</v>
      </c>
      <c r="D17" s="1" t="n">
        <f aca="false">B17*C17</f>
        <v>4.86</v>
      </c>
      <c r="O17" s="1"/>
      <c r="P17" s="1"/>
      <c r="Q17" s="1"/>
      <c r="R17" s="1"/>
      <c r="S17" s="1"/>
      <c r="T17" s="1"/>
    </row>
    <row r="18" customFormat="false" ht="15" hidden="false" customHeight="false" outlineLevel="0" collapsed="false">
      <c r="A18" s="27" t="s">
        <v>123</v>
      </c>
      <c r="B18" s="28" t="n">
        <v>1.75</v>
      </c>
      <c r="C18" s="1" t="n">
        <v>2.6</v>
      </c>
      <c r="D18" s="1" t="n">
        <f aca="false">B18*C18</f>
        <v>4.55</v>
      </c>
      <c r="O18" s="1"/>
      <c r="P18" s="1"/>
      <c r="Q18" s="1"/>
      <c r="R18" s="1"/>
      <c r="S18" s="1"/>
      <c r="T18" s="1"/>
    </row>
    <row r="19" customFormat="false" ht="15" hidden="false" customHeight="false" outlineLevel="0" collapsed="false">
      <c r="A19" s="27" t="s">
        <v>124</v>
      </c>
      <c r="B19" s="28" t="n">
        <v>1.7</v>
      </c>
      <c r="C19" s="1" t="n">
        <v>2.2</v>
      </c>
      <c r="D19" s="1" t="n">
        <f aca="false">B19*C19</f>
        <v>3.74</v>
      </c>
      <c r="O19" s="1"/>
      <c r="P19" s="1"/>
      <c r="Q19" s="1"/>
      <c r="R19" s="1"/>
      <c r="S19" s="1"/>
      <c r="T19" s="1"/>
    </row>
    <row r="20" customFormat="false" ht="15" hidden="false" customHeight="false" outlineLevel="0" collapsed="false">
      <c r="A20" s="27" t="s">
        <v>125</v>
      </c>
      <c r="B20" s="28" t="n">
        <v>1.8</v>
      </c>
      <c r="C20" s="1" t="n">
        <v>2</v>
      </c>
      <c r="D20" s="1" t="n">
        <f aca="false">B20*C20</f>
        <v>3.6</v>
      </c>
      <c r="O20" s="1"/>
      <c r="P20" s="1"/>
      <c r="Q20" s="1"/>
      <c r="R20" s="1"/>
      <c r="S20" s="1"/>
      <c r="T20" s="1"/>
    </row>
    <row r="21" customFormat="false" ht="15" hidden="false" customHeight="false" outlineLevel="0" collapsed="false">
      <c r="A21" s="27" t="s">
        <v>126</v>
      </c>
      <c r="B21" s="28" t="n">
        <v>1.7</v>
      </c>
      <c r="C21" s="1" t="n">
        <v>2</v>
      </c>
      <c r="D21" s="1" t="n">
        <f aca="false">B21*C21</f>
        <v>3.4</v>
      </c>
      <c r="O21" s="1"/>
      <c r="P21" s="1"/>
      <c r="Q21" s="1"/>
      <c r="R21" s="1"/>
      <c r="S21" s="1"/>
      <c r="T21" s="1"/>
    </row>
    <row r="22" customFormat="false" ht="15" hidden="false" customHeight="false" outlineLevel="0" collapsed="false">
      <c r="A22" s="27" t="s">
        <v>127</v>
      </c>
      <c r="B22" s="28" t="n">
        <v>4.8</v>
      </c>
      <c r="C22" s="1" t="n">
        <v>0.7</v>
      </c>
      <c r="D22" s="1" t="n">
        <f aca="false">B22*C22</f>
        <v>3.36</v>
      </c>
    </row>
    <row r="23" customFormat="false" ht="15" hidden="false" customHeight="false" outlineLevel="0" collapsed="false">
      <c r="A23" s="27" t="s">
        <v>128</v>
      </c>
      <c r="B23" s="28" t="n">
        <v>1</v>
      </c>
      <c r="C23" s="1" t="n">
        <v>3.2</v>
      </c>
      <c r="D23" s="1" t="n">
        <f aca="false">B23*C23</f>
        <v>3.2</v>
      </c>
    </row>
    <row r="24" customFormat="false" ht="15" hidden="false" customHeight="false" outlineLevel="0" collapsed="false">
      <c r="A24" s="27" t="s">
        <v>129</v>
      </c>
      <c r="B24" s="28" t="n">
        <v>2.1</v>
      </c>
      <c r="C24" s="1" t="n">
        <v>1.5</v>
      </c>
      <c r="D24" s="1" t="n">
        <f aca="false">B24*C24</f>
        <v>3.15</v>
      </c>
    </row>
    <row r="25" customFormat="false" ht="15" hidden="false" customHeight="false" outlineLevel="0" collapsed="false">
      <c r="A25" s="27" t="s">
        <v>130</v>
      </c>
      <c r="B25" s="28" t="n">
        <v>1.5</v>
      </c>
      <c r="C25" s="1" t="n">
        <v>2.1</v>
      </c>
      <c r="D25" s="1" t="n">
        <f aca="false">B25*C25</f>
        <v>3.15</v>
      </c>
    </row>
    <row r="26" customFormat="false" ht="15" hidden="false" customHeight="false" outlineLevel="0" collapsed="false">
      <c r="A26" s="27" t="s">
        <v>131</v>
      </c>
      <c r="B26" s="28" t="n">
        <v>2.5</v>
      </c>
      <c r="C26" s="1" t="n">
        <v>1.1</v>
      </c>
      <c r="D26" s="1" t="n">
        <f aca="false">B26*C26</f>
        <v>2.75</v>
      </c>
    </row>
    <row r="27" customFormat="false" ht="15" hidden="false" customHeight="false" outlineLevel="0" collapsed="false">
      <c r="A27" s="27" t="s">
        <v>132</v>
      </c>
      <c r="B27" s="28" t="n">
        <v>0.22</v>
      </c>
      <c r="C27" s="1" t="n">
        <v>12</v>
      </c>
      <c r="D27" s="1" t="n">
        <f aca="false">B27*C27</f>
        <v>2.64</v>
      </c>
    </row>
    <row r="28" customFormat="false" ht="15" hidden="false" customHeight="false" outlineLevel="0" collapsed="false">
      <c r="A28" s="27" t="s">
        <v>133</v>
      </c>
      <c r="B28" s="28" t="n">
        <v>0.25</v>
      </c>
      <c r="C28" s="1" t="n">
        <v>10</v>
      </c>
      <c r="D28" s="1" t="n">
        <f aca="false">B28*C28</f>
        <v>2.5</v>
      </c>
    </row>
    <row r="29" customFormat="false" ht="15" hidden="false" customHeight="false" outlineLevel="0" collapsed="false">
      <c r="A29" s="27" t="s">
        <v>134</v>
      </c>
      <c r="B29" s="28" t="n">
        <v>0.7</v>
      </c>
      <c r="C29" s="1" t="n">
        <v>3.2</v>
      </c>
      <c r="D29" s="1" t="n">
        <f aca="false">B29*C29</f>
        <v>2.24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3.42578125" defaultRowHeight="15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10.42"/>
    <col collapsed="false" customWidth="true" hidden="false" outlineLevel="0" max="3" min="3" style="0" width="22.28"/>
    <col collapsed="false" customWidth="true" hidden="false" outlineLevel="0" max="4" min="4" style="0" width="12.14"/>
    <col collapsed="false" customWidth="true" hidden="false" outlineLevel="0" max="5" min="5" style="0" width="18.28"/>
    <col collapsed="false" customWidth="true" hidden="false" outlineLevel="0" max="7" min="6" style="0" width="16.29"/>
    <col collapsed="false" customWidth="true" hidden="false" outlineLevel="0" max="8" min="8" style="0" width="11.71"/>
    <col collapsed="false" customWidth="true" hidden="false" outlineLevel="0" max="9" min="9" style="0" width="14.42"/>
    <col collapsed="false" customWidth="true" hidden="false" outlineLevel="0" max="11" min="11" style="0" width="20.13"/>
    <col collapsed="false" customWidth="true" hidden="false" outlineLevel="0" max="12" min="12" style="0" width="14.57"/>
    <col collapsed="false" customWidth="true" hidden="false" outlineLevel="0" max="13" min="13" style="0" width="19.28"/>
    <col collapsed="false" customWidth="true" hidden="false" outlineLevel="0" max="14" min="14" style="0" width="16.42"/>
  </cols>
  <sheetData>
    <row r="1" customFormat="false" ht="15" hidden="false" customHeight="false" outlineLevel="0" collapsed="false">
      <c r="A1" s="5" t="s">
        <v>135</v>
      </c>
      <c r="B1" s="25" t="s">
        <v>70</v>
      </c>
      <c r="C1" s="5" t="s">
        <v>136</v>
      </c>
      <c r="D1" s="5" t="s">
        <v>137</v>
      </c>
      <c r="E1" s="5" t="s">
        <v>138</v>
      </c>
      <c r="F1" s="5" t="s">
        <v>139</v>
      </c>
      <c r="G1" s="5" t="s">
        <v>84</v>
      </c>
      <c r="H1" s="5" t="s">
        <v>140</v>
      </c>
      <c r="I1" s="5" t="s">
        <v>141</v>
      </c>
      <c r="K1" s="5" t="s">
        <v>142</v>
      </c>
      <c r="L1" s="5" t="s">
        <v>143</v>
      </c>
      <c r="M1" s="5" t="s">
        <v>144</v>
      </c>
      <c r="N1" s="5" t="s">
        <v>145</v>
      </c>
      <c r="O1" s="5" t="s">
        <v>0</v>
      </c>
    </row>
    <row r="2" customFormat="false" ht="15" hidden="false" customHeight="false" outlineLevel="0" collapsed="false">
      <c r="A2" s="29" t="s">
        <v>146</v>
      </c>
      <c r="B2" s="25" t="n">
        <f aca="false">249000</f>
        <v>249000</v>
      </c>
      <c r="C2" s="5" t="n">
        <v>1</v>
      </c>
      <c r="D2" s="12" t="n">
        <v>0</v>
      </c>
      <c r="E2" s="5" t="n">
        <v>-1</v>
      </c>
      <c r="F2" s="5" t="n">
        <v>2</v>
      </c>
      <c r="G2" s="5" t="n">
        <v>32</v>
      </c>
      <c r="H2" s="30" t="n">
        <f aca="false">B2/40000*'Goods values'!$B$3*(1+D2+$L$2+MAX(($K$2+E2)*0.16,0))</f>
        <v>43.326</v>
      </c>
      <c r="I2" s="31" t="n">
        <f aca="false">H2*'Goods values'!$C$3*3*MAX($M$2-(C2*0.075),0)*$N$2+H2</f>
        <v>133.400754</v>
      </c>
      <c r="K2" s="5" t="n">
        <v>3</v>
      </c>
      <c r="L2" s="12" t="n">
        <v>1</v>
      </c>
      <c r="M2" s="12" t="n">
        <v>0.35</v>
      </c>
      <c r="N2" s="12" t="n">
        <v>0.14</v>
      </c>
      <c r="O2" s="5" t="n">
        <v>1830</v>
      </c>
    </row>
    <row r="3" customFormat="false" ht="15" hidden="false" customHeight="false" outlineLevel="0" collapsed="false">
      <c r="A3" s="29" t="s">
        <v>147</v>
      </c>
      <c r="B3" s="25" t="n">
        <v>188250</v>
      </c>
      <c r="C3" s="5" t="n">
        <v>1</v>
      </c>
      <c r="D3" s="12" t="n">
        <v>0</v>
      </c>
      <c r="E3" s="5" t="n">
        <v>-1</v>
      </c>
      <c r="F3" s="5" t="n">
        <v>6</v>
      </c>
      <c r="G3" s="5" t="n">
        <v>32</v>
      </c>
      <c r="H3" s="30" t="n">
        <f aca="false">B3/40000*'Goods values'!$B$3*(1+D3+$L$2+MAX(($K$2+E3)*0.16,0))</f>
        <v>32.7555</v>
      </c>
      <c r="I3" s="31" t="n">
        <f aca="false">H3*'Goods values'!$C$3*3*MAX($M$2-(C3*0.075),0)*$N$2+H3</f>
        <v>100.8541845</v>
      </c>
      <c r="J3" s="12"/>
      <c r="K3" s="12"/>
      <c r="L3" s="9"/>
    </row>
    <row r="4" customFormat="false" ht="15" hidden="false" customHeight="false" outlineLevel="0" collapsed="false">
      <c r="A4" s="29" t="s">
        <v>148</v>
      </c>
      <c r="B4" s="25" t="n">
        <v>78300</v>
      </c>
      <c r="C4" s="5" t="n">
        <v>1</v>
      </c>
      <c r="D4" s="12" t="n">
        <v>0</v>
      </c>
      <c r="E4" s="5" t="n">
        <v>-1</v>
      </c>
      <c r="F4" s="5" t="n">
        <v>2</v>
      </c>
      <c r="G4" s="5" t="n">
        <v>32</v>
      </c>
      <c r="H4" s="30" t="n">
        <f aca="false">B4/40000*'Goods values'!$B$3*(1+D4+$L$2+MAX(($K$2+E4)*0.16,0))</f>
        <v>13.6242</v>
      </c>
      <c r="I4" s="31" t="n">
        <f aca="false">H4*'Goods values'!$C$3*3*MAX($M$2-(C4*0.075),0)*$N$2+H4</f>
        <v>41.9489118</v>
      </c>
      <c r="J4" s="12"/>
      <c r="K4" s="12"/>
      <c r="L4" s="9"/>
    </row>
    <row r="5" customFormat="false" ht="15" hidden="false" customHeight="false" outlineLevel="0" collapsed="false">
      <c r="A5" s="29" t="s">
        <v>149</v>
      </c>
      <c r="B5" s="25" t="n">
        <v>83125</v>
      </c>
      <c r="C5" s="5" t="n">
        <v>1</v>
      </c>
      <c r="D5" s="12" t="n">
        <v>0</v>
      </c>
      <c r="E5" s="5" t="n">
        <v>-2</v>
      </c>
      <c r="F5" s="5" t="n">
        <v>6</v>
      </c>
      <c r="G5" s="5" t="n">
        <v>32</v>
      </c>
      <c r="H5" s="30" t="n">
        <f aca="false">B5/40000*'Goods values'!$B$3*(1+D5+$L$2+MAX(($K$2+E5)*0.16,0))</f>
        <v>13.46625</v>
      </c>
      <c r="I5" s="31" t="n">
        <f aca="false">H5*'Goods values'!$C$3*3*MAX($M$2-(C5*0.075),0)*$N$2+H5</f>
        <v>41.46258375</v>
      </c>
      <c r="J5" s="12"/>
      <c r="K5" s="12"/>
    </row>
    <row r="6" customFormat="false" ht="15" hidden="false" customHeight="false" outlineLevel="0" collapsed="false">
      <c r="A6" s="29" t="s">
        <v>150</v>
      </c>
      <c r="B6" s="25" t="n">
        <f aca="false">53731+10486</f>
        <v>64217</v>
      </c>
      <c r="C6" s="5" t="n">
        <v>1</v>
      </c>
      <c r="D6" s="12" t="n">
        <v>0</v>
      </c>
      <c r="E6" s="5" t="n">
        <v>-2</v>
      </c>
      <c r="F6" s="5" t="n">
        <v>6</v>
      </c>
      <c r="G6" s="5" t="n">
        <v>30</v>
      </c>
      <c r="H6" s="30" t="n">
        <f aca="false">B6/40000*'Goods values'!$B$3*(1+D6+$L$2+MAX(($K$2+E6)*0.16,0))</f>
        <v>10.403154</v>
      </c>
      <c r="I6" s="31" t="n">
        <f aca="false">H6*'Goods values'!$C$3*3*MAX($M$2-(C6*0.075),0)*$N$2+H6</f>
        <v>32.031311166</v>
      </c>
      <c r="J6" s="12"/>
      <c r="K6" s="12"/>
    </row>
    <row r="7" customFormat="false" ht="15" hidden="false" customHeight="false" outlineLevel="0" collapsed="false">
      <c r="A7" s="29" t="s">
        <v>151</v>
      </c>
      <c r="B7" s="25" t="n">
        <f aca="false">23725+19000</f>
        <v>42725</v>
      </c>
      <c r="C7" s="5" t="n">
        <v>1</v>
      </c>
      <c r="D7" s="12" t="n">
        <v>0</v>
      </c>
      <c r="E7" s="5" t="n">
        <v>-2</v>
      </c>
      <c r="F7" s="5" t="n">
        <v>6</v>
      </c>
      <c r="G7" s="5" t="n">
        <v>40</v>
      </c>
      <c r="H7" s="30" t="n">
        <f aca="false">B7/40000*'Goods values'!$B$3*(1+D7+$L$2+MAX(($K$2+E7)*0.16,0))</f>
        <v>6.92145</v>
      </c>
      <c r="I7" s="31" t="n">
        <f aca="false">H7*'Goods values'!$C$3*3*MAX($M$2-(C7*0.075),0)*$N$2+H7</f>
        <v>21.31114455</v>
      </c>
      <c r="J7" s="12"/>
      <c r="K7" s="12"/>
      <c r="L7" s="9"/>
    </row>
    <row r="8" customFormat="false" ht="15" hidden="false" customHeight="false" outlineLevel="0" collapsed="false">
      <c r="A8" s="29" t="s">
        <v>152</v>
      </c>
      <c r="B8" s="25" t="n">
        <v>34540</v>
      </c>
      <c r="C8" s="5" t="n">
        <v>1</v>
      </c>
      <c r="D8" s="12" t="n">
        <v>0</v>
      </c>
      <c r="E8" s="5" t="n">
        <v>0</v>
      </c>
      <c r="F8" s="5" t="n">
        <v>6</v>
      </c>
      <c r="G8" s="5" t="n">
        <v>32</v>
      </c>
      <c r="H8" s="30" t="n">
        <f aca="false">B8/40000*'Goods values'!$B$3*(1+D8+$L$2+MAX(($K$2+E8)*0.16,0))</f>
        <v>6.42444</v>
      </c>
      <c r="I8" s="31" t="n">
        <f aca="false">H8*'Goods values'!$C$3*3*MAX($M$2-(C8*0.075),0)*$N$2+H8</f>
        <v>19.78085076</v>
      </c>
      <c r="J8" s="12"/>
      <c r="K8" s="12"/>
      <c r="L8" s="9"/>
    </row>
    <row r="9" customFormat="false" ht="15" hidden="false" customHeight="false" outlineLevel="0" collapsed="false">
      <c r="A9" s="29" t="s">
        <v>153</v>
      </c>
      <c r="B9" s="25" t="n">
        <v>25000</v>
      </c>
      <c r="C9" s="5" t="n">
        <v>1</v>
      </c>
      <c r="D9" s="12" t="n">
        <v>0</v>
      </c>
      <c r="E9" s="5" t="n">
        <v>-1</v>
      </c>
      <c r="F9" s="5" t="n">
        <v>3</v>
      </c>
      <c r="G9" s="5" t="n">
        <v>32</v>
      </c>
      <c r="H9" s="30" t="n">
        <f aca="false">B9/40000*'Goods values'!$B$3*(1+D9+$L$2+MAX(($K$2+E9)*0.16,0))</f>
        <v>4.35</v>
      </c>
      <c r="I9" s="31" t="n">
        <f aca="false">H9*'Goods values'!$C$3*3*MAX($M$2-(C9*0.075),0)*$N$2+H9</f>
        <v>13.39365</v>
      </c>
      <c r="J9" s="12"/>
      <c r="K9" s="12"/>
      <c r="L9" s="9"/>
    </row>
    <row r="10" customFormat="false" ht="15" hidden="false" customHeight="false" outlineLevel="0" collapsed="false">
      <c r="A10" s="29" t="s">
        <v>154</v>
      </c>
      <c r="B10" s="25" t="n">
        <v>22231</v>
      </c>
      <c r="C10" s="5" t="n">
        <v>1</v>
      </c>
      <c r="D10" s="12" t="n">
        <v>0</v>
      </c>
      <c r="E10" s="5" t="n">
        <v>0</v>
      </c>
      <c r="F10" s="5" t="n">
        <v>6</v>
      </c>
      <c r="G10" s="5" t="n">
        <v>32</v>
      </c>
      <c r="H10" s="30" t="n">
        <f aca="false">B10/40000*'Goods values'!$B$3*(1+D10+$L$2+MAX(($K$2+E10)*0.16,0))</f>
        <v>4.134966</v>
      </c>
      <c r="I10" s="31" t="n">
        <f aca="false">H10*'Goods values'!$C$3*3*MAX($M$2-(C10*0.075),0)*$N$2+H10</f>
        <v>12.731560314</v>
      </c>
      <c r="J10" s="12"/>
      <c r="K10" s="12"/>
      <c r="L10" s="9"/>
    </row>
    <row r="11" customFormat="false" ht="15" hidden="false" customHeight="false" outlineLevel="0" collapsed="false">
      <c r="A11" s="29" t="s">
        <v>155</v>
      </c>
      <c r="B11" s="25" t="n">
        <f aca="false">14800+5500</f>
        <v>20300</v>
      </c>
      <c r="C11" s="5" t="n">
        <v>1</v>
      </c>
      <c r="D11" s="12" t="n">
        <v>0</v>
      </c>
      <c r="E11" s="5" t="n">
        <v>-1</v>
      </c>
      <c r="F11" s="5" t="n">
        <v>6</v>
      </c>
      <c r="G11" s="5" t="n">
        <v>35</v>
      </c>
      <c r="H11" s="30" t="n">
        <f aca="false">B11/40000*'Goods values'!$B$3*(1+D11+$L$2+MAX(($K$2+E11)*0.16,0))</f>
        <v>3.5322</v>
      </c>
      <c r="I11" s="31" t="n">
        <f aca="false">H11*'Goods values'!$C$3*3*MAX($M$2-(C11*0.075),0)*$N$2+H11</f>
        <v>10.8756438</v>
      </c>
      <c r="J11" s="12"/>
      <c r="K11" s="12"/>
      <c r="L11" s="9"/>
    </row>
    <row r="12" customFormat="false" ht="15" hidden="false" customHeight="false" outlineLevel="0" collapsed="false">
      <c r="A12" s="29" t="s">
        <v>156</v>
      </c>
      <c r="B12" s="25" t="n">
        <f aca="false">18400+1750</f>
        <v>20150</v>
      </c>
      <c r="C12" s="5" t="n">
        <v>1</v>
      </c>
      <c r="D12" s="12" t="n">
        <v>0</v>
      </c>
      <c r="E12" s="5" t="n">
        <v>-2</v>
      </c>
      <c r="F12" s="5" t="n">
        <v>6</v>
      </c>
      <c r="G12" s="5" t="n">
        <v>30</v>
      </c>
      <c r="H12" s="30" t="n">
        <f aca="false">B12/40000*'Goods values'!$B$3*(1+D12+$L$2+MAX(($K$2+E12)*0.16,0))</f>
        <v>3.2643</v>
      </c>
      <c r="I12" s="31" t="n">
        <f aca="false">H12*'Goods values'!$C$3*3*MAX($M$2-(C12*0.075),0)*$N$2+H12</f>
        <v>10.0507797</v>
      </c>
      <c r="J12" s="12"/>
      <c r="K12" s="12"/>
      <c r="L12" s="9"/>
    </row>
    <row r="13" customFormat="false" ht="15" hidden="false" customHeight="false" outlineLevel="0" collapsed="false">
      <c r="A13" s="29" t="s">
        <v>157</v>
      </c>
      <c r="B13" s="25" t="n">
        <v>12150</v>
      </c>
      <c r="C13" s="5" t="n">
        <v>1</v>
      </c>
      <c r="D13" s="12" t="n">
        <v>0</v>
      </c>
      <c r="E13" s="5" t="n">
        <v>-2</v>
      </c>
      <c r="F13" s="5" t="n">
        <v>2</v>
      </c>
      <c r="G13" s="5" t="n">
        <v>32</v>
      </c>
      <c r="H13" s="30" t="n">
        <f aca="false">B13/40000*'Goods values'!$B$3*(1+D13+$L$2+MAX(($K$2+E13)*0.16,0))</f>
        <v>1.9683</v>
      </c>
      <c r="I13" s="31" t="n">
        <f aca="false">H13*'Goods values'!$C$3*3*MAX($M$2-(C13*0.075),0)*$N$2+H13</f>
        <v>6.0603957</v>
      </c>
      <c r="J13" s="12"/>
      <c r="K13" s="12"/>
      <c r="L13" s="9"/>
    </row>
    <row r="14" customFormat="false" ht="15" hidden="false" customHeight="false" outlineLevel="0" collapsed="false">
      <c r="A14" s="29" t="s">
        <v>158</v>
      </c>
      <c r="B14" s="25" t="n">
        <f aca="false">6580+450</f>
        <v>7030</v>
      </c>
      <c r="C14" s="5" t="n">
        <v>1</v>
      </c>
      <c r="D14" s="12" t="n">
        <v>0.25</v>
      </c>
      <c r="E14" s="5" t="n">
        <v>0</v>
      </c>
      <c r="F14" s="5" t="n">
        <v>3</v>
      </c>
      <c r="G14" s="5" t="n">
        <v>35</v>
      </c>
      <c r="H14" s="30" t="n">
        <f aca="false">B14/40000*'Goods values'!$B$3*(1+D14+$L$2+MAX(($K$2+E14)*0.16,0))</f>
        <v>1.4393925</v>
      </c>
      <c r="I14" s="31" t="n">
        <f aca="false">H14*'Goods values'!$C$3*3*MAX($M$2-(C14*0.075),0)*$N$2+H14</f>
        <v>4.4318895075</v>
      </c>
      <c r="J14" s="12"/>
      <c r="K14" s="12"/>
      <c r="L14" s="9"/>
    </row>
    <row r="15" customFormat="false" ht="15" hidden="false" customHeight="false" outlineLevel="0" collapsed="false">
      <c r="A15" s="29" t="s">
        <v>159</v>
      </c>
      <c r="B15" s="25" t="n">
        <v>7562</v>
      </c>
      <c r="C15" s="5" t="n">
        <v>1</v>
      </c>
      <c r="D15" s="12" t="n">
        <v>0</v>
      </c>
      <c r="E15" s="5" t="n">
        <v>-2</v>
      </c>
      <c r="F15" s="5" t="n">
        <v>6</v>
      </c>
      <c r="G15" s="5" t="n">
        <v>20</v>
      </c>
      <c r="H15" s="30" t="n">
        <f aca="false">B15/40000*'Goods values'!$B$3*(1+D15+$L$2+MAX(($K$2+E15)*0.16,0))</f>
        <v>1.225044</v>
      </c>
      <c r="I15" s="31" t="n">
        <f aca="false">H15*'Goods values'!$C$3*3*MAX($M$2-(C15*0.075),0)*$N$2+H15</f>
        <v>3.771910476</v>
      </c>
      <c r="J15" s="12"/>
      <c r="K15" s="12"/>
      <c r="L15" s="9"/>
    </row>
    <row r="16" customFormat="false" ht="15" hidden="false" customHeight="false" outlineLevel="0" collapsed="false">
      <c r="A16" s="29" t="s">
        <v>160</v>
      </c>
      <c r="B16" s="25" t="n">
        <v>6375</v>
      </c>
      <c r="C16" s="5" t="n">
        <v>1</v>
      </c>
      <c r="D16" s="12" t="n">
        <v>0</v>
      </c>
      <c r="E16" s="5" t="n">
        <v>0</v>
      </c>
      <c r="F16" s="5" t="n">
        <v>6</v>
      </c>
      <c r="G16" s="5" t="n">
        <v>32</v>
      </c>
      <c r="H16" s="30" t="n">
        <f aca="false">B16/40000*'Goods values'!$B$3*(1+D16+$L$2+MAX(($K$2+E16)*0.16,0))</f>
        <v>1.18575</v>
      </c>
      <c r="I16" s="31" t="n">
        <f aca="false">H16*'Goods values'!$C$3*3*MAX($M$2-(C16*0.075),0)*$N$2+H16</f>
        <v>3.65092425</v>
      </c>
      <c r="J16" s="12"/>
      <c r="K16" s="12"/>
      <c r="L16" s="9"/>
    </row>
    <row r="17" customFormat="false" ht="15" hidden="false" customHeight="false" outlineLevel="0" collapsed="false">
      <c r="A17" s="29" t="s">
        <v>161</v>
      </c>
      <c r="B17" s="25" t="n">
        <v>5475</v>
      </c>
      <c r="C17" s="5" t="n">
        <v>1</v>
      </c>
      <c r="D17" s="12" t="n">
        <v>0</v>
      </c>
      <c r="E17" s="5" t="n">
        <v>0</v>
      </c>
      <c r="F17" s="5" t="n">
        <v>6</v>
      </c>
      <c r="G17" s="5" t="n">
        <v>32</v>
      </c>
      <c r="H17" s="30" t="n">
        <f aca="false">B17/40000*'Goods values'!$B$3*(1+D17+$L$2+MAX(($K$2+E17)*0.16,0))</f>
        <v>1.01835</v>
      </c>
      <c r="I17" s="31" t="n">
        <f aca="false">H17*'Goods values'!$C$3*3*MAX($M$2-(C17*0.075),0)*$N$2+H17</f>
        <v>3.13549965</v>
      </c>
      <c r="J17" s="12"/>
      <c r="K17" s="12"/>
      <c r="L17" s="9"/>
    </row>
    <row r="18" customFormat="false" ht="15" hidden="false" customHeight="false" outlineLevel="0" collapsed="false">
      <c r="A18" s="29" t="s">
        <v>162</v>
      </c>
      <c r="B18" s="25" t="n">
        <f aca="false">5375+500</f>
        <v>5875</v>
      </c>
      <c r="C18" s="5" t="n">
        <v>1</v>
      </c>
      <c r="D18" s="12" t="n">
        <v>0</v>
      </c>
      <c r="E18" s="5" t="n">
        <v>-3</v>
      </c>
      <c r="F18" s="5" t="n">
        <v>6</v>
      </c>
      <c r="G18" s="5" t="n">
        <v>31</v>
      </c>
      <c r="H18" s="30" t="n">
        <f aca="false">B18/40000*'Goods values'!$B$3*(1+D18+$L$2+MAX(($K$2+E18)*0.16,0))</f>
        <v>0.88125</v>
      </c>
      <c r="I18" s="31" t="n">
        <f aca="false">H18*'Goods values'!$C$3*3*MAX($M$2-(C18*0.075),0)*$N$2+H18</f>
        <v>2.71336875</v>
      </c>
      <c r="J18" s="12"/>
      <c r="K18" s="12"/>
      <c r="L18" s="9"/>
    </row>
    <row r="19" customFormat="false" ht="15" hidden="false" customHeight="false" outlineLevel="0" collapsed="false">
      <c r="A19" s="29" t="s">
        <v>163</v>
      </c>
      <c r="B19" s="25" t="n">
        <v>5000</v>
      </c>
      <c r="C19" s="5" t="n">
        <v>1</v>
      </c>
      <c r="D19" s="12" t="n">
        <v>0</v>
      </c>
      <c r="E19" s="5" t="n">
        <v>-2</v>
      </c>
      <c r="F19" s="5" t="n">
        <v>6</v>
      </c>
      <c r="G19" s="5" t="n">
        <v>31</v>
      </c>
      <c r="H19" s="30" t="n">
        <f aca="false">B19/40000*'Goods values'!$B$3*(1+D19+$L$2+MAX(($K$2+E19)*0.16,0))</f>
        <v>0.81</v>
      </c>
      <c r="I19" s="31" t="n">
        <f aca="false">H19*'Goods values'!$C$3*3*MAX($M$2-(C19*0.075),0)*$N$2+H19</f>
        <v>2.49399</v>
      </c>
      <c r="J19" s="12"/>
      <c r="K19" s="12"/>
      <c r="L19" s="9"/>
    </row>
    <row r="20" customFormat="false" ht="15" hidden="false" customHeight="false" outlineLevel="0" collapsed="false">
      <c r="A20" s="29" t="s">
        <v>164</v>
      </c>
      <c r="B20" s="25" t="n">
        <v>4325</v>
      </c>
      <c r="C20" s="5" t="n">
        <v>1</v>
      </c>
      <c r="D20" s="12" t="n">
        <v>0</v>
      </c>
      <c r="E20" s="5" t="n">
        <v>-3</v>
      </c>
      <c r="F20" s="5" t="n">
        <v>6</v>
      </c>
      <c r="G20" s="5" t="n">
        <v>30</v>
      </c>
      <c r="H20" s="30" t="n">
        <f aca="false">B20/40000*'Goods values'!$B$3*(1+D20+$L$2+MAX(($K$2+E20)*0.16,0))</f>
        <v>0.64875</v>
      </c>
      <c r="I20" s="31" t="n">
        <f aca="false">H20*'Goods values'!$C$3*3*MAX($M$2-(C20*0.075),0)*$N$2+H20</f>
        <v>1.99750125</v>
      </c>
      <c r="J20" s="12"/>
      <c r="K20" s="12"/>
      <c r="L20" s="9"/>
    </row>
    <row r="21" customFormat="false" ht="15" hidden="false" customHeight="false" outlineLevel="0" collapsed="false">
      <c r="A21" s="29" t="s">
        <v>165</v>
      </c>
      <c r="B21" s="25" t="n">
        <v>2750</v>
      </c>
      <c r="C21" s="5" t="n">
        <v>1</v>
      </c>
      <c r="D21" s="12" t="n">
        <v>0.25</v>
      </c>
      <c r="E21" s="5" t="n">
        <v>0</v>
      </c>
      <c r="F21" s="5" t="n">
        <v>3</v>
      </c>
      <c r="G21" s="5" t="n">
        <v>32</v>
      </c>
      <c r="H21" s="30" t="n">
        <f aca="false">B21/40000*'Goods values'!$B$3*(1+D21+$L$2+MAX(($K$2+E21)*0.16,0))</f>
        <v>0.5630625</v>
      </c>
      <c r="I21" s="31" t="n">
        <f aca="false">H21*'Goods values'!$C$3*3*MAX($M$2-(C21*0.075),0)*$N$2+H21</f>
        <v>1.7336694375</v>
      </c>
      <c r="J21" s="12"/>
      <c r="K21" s="12"/>
      <c r="L21" s="9"/>
    </row>
    <row r="22" customFormat="false" ht="15" hidden="false" customHeight="false" outlineLevel="0" collapsed="false">
      <c r="A22" s="29" t="s">
        <v>166</v>
      </c>
      <c r="B22" s="25" t="n">
        <v>3263</v>
      </c>
      <c r="C22" s="5" t="n">
        <v>1</v>
      </c>
      <c r="D22" s="12" t="n">
        <v>0</v>
      </c>
      <c r="E22" s="5" t="n">
        <v>-2</v>
      </c>
      <c r="F22" s="5" t="n">
        <v>6</v>
      </c>
      <c r="G22" s="5" t="n">
        <v>31</v>
      </c>
      <c r="H22" s="30" t="n">
        <f aca="false">B22/40000*'Goods values'!$B$3*(1+D22+$L$2+MAX(($K$2+E22)*0.16,0))</f>
        <v>0.528606</v>
      </c>
      <c r="I22" s="31" t="n">
        <f aca="false">H22*'Goods values'!$C$3*3*MAX($M$2-(C22*0.075),0)*$N$2+H22</f>
        <v>1.627577874</v>
      </c>
      <c r="J22" s="12"/>
      <c r="K22" s="12"/>
      <c r="L22" s="9"/>
    </row>
    <row r="23" customFormat="false" ht="15" hidden="false" customHeight="false" outlineLevel="0" collapsed="false">
      <c r="A23" s="29" t="s">
        <v>167</v>
      </c>
      <c r="B23" s="25" t="n">
        <v>1950</v>
      </c>
      <c r="C23" s="5" t="n">
        <v>1</v>
      </c>
      <c r="D23" s="12" t="n">
        <v>0</v>
      </c>
      <c r="E23" s="5" t="n">
        <v>-2</v>
      </c>
      <c r="F23" s="5" t="n">
        <v>6</v>
      </c>
      <c r="G23" s="5" t="n">
        <v>35</v>
      </c>
      <c r="H23" s="30" t="n">
        <f aca="false">B23/40000*'Goods values'!$B$3*(1+D23+$L$2+MAX(($K$2+E23)*0.16,0))</f>
        <v>0.3159</v>
      </c>
      <c r="I23" s="31" t="n">
        <f aca="false">H23*'Goods values'!$C$3*3*MAX($M$2-(C23*0.075),0)*$N$2+H23</f>
        <v>0.9726561</v>
      </c>
      <c r="J23" s="12"/>
      <c r="K23" s="12"/>
      <c r="L23" s="9"/>
    </row>
    <row r="24" customFormat="false" ht="15" hidden="false" customHeight="false" outlineLevel="0" collapsed="false">
      <c r="A24" s="29" t="s">
        <v>168</v>
      </c>
      <c r="B24" s="25" t="n">
        <f aca="false">1250+200</f>
        <v>1450</v>
      </c>
      <c r="C24" s="5" t="n">
        <v>1</v>
      </c>
      <c r="D24" s="12" t="n">
        <v>0</v>
      </c>
      <c r="E24" s="5" t="n">
        <v>-2</v>
      </c>
      <c r="F24" s="5" t="n">
        <v>6</v>
      </c>
      <c r="G24" s="5" t="n">
        <v>35</v>
      </c>
      <c r="H24" s="30" t="n">
        <f aca="false">B24/40000*'Goods values'!$B$3*(1+D24+$L$2+MAX(($K$2+E24)*0.16,0))</f>
        <v>0.2349</v>
      </c>
      <c r="I24" s="31" t="n">
        <f aca="false">H24*'Goods values'!$C$3*3*MAX($M$2-(C24*0.075),0)*$N$2+H24</f>
        <v>0.7232571</v>
      </c>
      <c r="J24" s="12"/>
      <c r="K24" s="12"/>
      <c r="L24" s="9"/>
    </row>
    <row r="25" customFormat="false" ht="15" hidden="false" customHeight="false" outlineLevel="0" collapsed="false">
      <c r="A25" s="29" t="s">
        <v>169</v>
      </c>
      <c r="B25" s="25" t="n">
        <v>1250</v>
      </c>
      <c r="C25" s="5" t="n">
        <v>1</v>
      </c>
      <c r="D25" s="12" t="n">
        <v>0</v>
      </c>
      <c r="E25" s="5" t="n">
        <v>-2</v>
      </c>
      <c r="F25" s="5" t="n">
        <v>6</v>
      </c>
      <c r="G25" s="5" t="n">
        <v>35</v>
      </c>
      <c r="H25" s="30" t="n">
        <f aca="false">B25/40000*'Goods values'!$B$3*(1+D25+$L$2+MAX(($K$2+E25)*0.16,0))</f>
        <v>0.2025</v>
      </c>
      <c r="I25" s="31" t="n">
        <f aca="false">H25*'Goods values'!$C$3*3*MAX($M$2-(C25*0.075),0)*$N$2+H25</f>
        <v>0.6234975</v>
      </c>
      <c r="J25" s="12"/>
      <c r="K25" s="12"/>
      <c r="L25" s="9"/>
    </row>
    <row r="26" customFormat="false" ht="15" hidden="false" customHeight="false" outlineLevel="0" collapsed="false">
      <c r="A26" s="29" t="s">
        <v>170</v>
      </c>
      <c r="B26" s="25" t="n">
        <v>555</v>
      </c>
      <c r="C26" s="5" t="n">
        <v>1</v>
      </c>
      <c r="D26" s="12" t="n">
        <v>0.25</v>
      </c>
      <c r="E26" s="5" t="n">
        <v>0</v>
      </c>
      <c r="F26" s="5" t="n">
        <v>6</v>
      </c>
      <c r="G26" s="5" t="n">
        <v>15</v>
      </c>
      <c r="H26" s="30" t="n">
        <f aca="false">B26/40000*'Goods values'!$B$3*(1+D26+$L$2+MAX(($K$2+E26)*0.16,0))</f>
        <v>0.11363625</v>
      </c>
      <c r="I26" s="31" t="n">
        <f aca="false">H26*'Goods values'!$C$3*3*MAX($M$2-(C26*0.075),0)*$N$2+H26</f>
        <v>0.34988601375</v>
      </c>
      <c r="J26" s="12"/>
      <c r="K26" s="12"/>
      <c r="L26" s="9"/>
    </row>
    <row r="27" customFormat="false" ht="15" hidden="false" customHeight="false" outlineLevel="0" collapsed="false">
      <c r="A27" s="29" t="s">
        <v>171</v>
      </c>
      <c r="B27" s="25" t="n">
        <v>35</v>
      </c>
      <c r="C27" s="5" t="n">
        <v>1</v>
      </c>
      <c r="D27" s="12" t="n">
        <v>0</v>
      </c>
      <c r="E27" s="5" t="n">
        <v>-2</v>
      </c>
      <c r="F27" s="5" t="n">
        <v>6</v>
      </c>
      <c r="G27" s="5" t="n">
        <v>10</v>
      </c>
      <c r="H27" s="30" t="n">
        <f aca="false">B27/40000*'Goods values'!$B$3*(1+D27+$L$2+MAX(($K$2+E27)*0.16,0))</f>
        <v>0.00567</v>
      </c>
      <c r="I27" s="31" t="n">
        <f aca="false">H27*'Goods values'!$C$3*3*MAX($M$2-(C27*0.075),0)*$N$2+H27</f>
        <v>0.01745793</v>
      </c>
      <c r="J27" s="12"/>
      <c r="K27" s="12"/>
      <c r="L27" s="9"/>
    </row>
    <row r="29" customFormat="false" ht="15" hidden="false" customHeight="false" outlineLevel="0" collapsed="false">
      <c r="A29" s="32" t="s">
        <v>172</v>
      </c>
      <c r="B29" s="25" t="n">
        <f aca="false">632620+146420</f>
        <v>779040</v>
      </c>
      <c r="C29" s="5" t="n">
        <v>1</v>
      </c>
      <c r="D29" s="12" t="n">
        <v>0</v>
      </c>
      <c r="E29" s="5" t="n">
        <v>-3</v>
      </c>
      <c r="F29" s="5" t="n">
        <v>3</v>
      </c>
      <c r="H29" s="30" t="n">
        <f aca="false">B29/40000*'Goods values'!$B$3*(1+D29+MAX(($K$2+E29)*0.16,0))</f>
        <v>58.428</v>
      </c>
      <c r="I29" s="31" t="n">
        <f aca="false">H29*'Goods values'!$C$24*MAX($M$2-(C29*0.075),0)*$N$2</f>
        <v>3.374217</v>
      </c>
    </row>
    <row r="30" customFormat="false" ht="15" hidden="false" customHeight="false" outlineLevel="0" collapsed="false">
      <c r="A30" s="32" t="s">
        <v>173</v>
      </c>
      <c r="B30" s="25" t="n">
        <v>48171</v>
      </c>
      <c r="C30" s="5" t="n">
        <v>1</v>
      </c>
      <c r="D30" s="12" t="n">
        <v>0</v>
      </c>
      <c r="E30" s="5" t="n">
        <v>0</v>
      </c>
      <c r="F30" s="5" t="n">
        <v>6</v>
      </c>
      <c r="H30" s="30" t="n">
        <f aca="false">B30/40000*'Goods values'!$B$3*(1+D30+MAX(($K$2+E30)*0.16,0))</f>
        <v>5.346981</v>
      </c>
      <c r="I30" s="31" t="n">
        <f aca="false">H30*'Goods values'!$C$24*MAX($M$2-(C30*0.075),0)*$N$2</f>
        <v>0.30878815275</v>
      </c>
    </row>
    <row r="31" customFormat="false" ht="15" hidden="false" customHeight="false" outlineLevel="0" collapsed="false">
      <c r="A31" s="32" t="s">
        <v>174</v>
      </c>
      <c r="B31" s="25" t="n">
        <v>42720</v>
      </c>
      <c r="C31" s="5" t="n">
        <v>1</v>
      </c>
      <c r="D31" s="12" t="n">
        <v>0</v>
      </c>
      <c r="E31" s="5" t="n">
        <v>-2</v>
      </c>
      <c r="F31" s="5" t="n">
        <v>6</v>
      </c>
      <c r="H31" s="30" t="n">
        <f aca="false">B31/40000*'Goods values'!$B$3*(1+D31+MAX(($K$2+E31)*0.16,0))</f>
        <v>3.71664</v>
      </c>
      <c r="I31" s="31" t="n">
        <f aca="false">H31*'Goods values'!$C$24*MAX($M$2-(C31*0.075),0)*$N$2</f>
        <v>0.21463596</v>
      </c>
    </row>
    <row r="32" customFormat="false" ht="15" hidden="false" customHeight="false" outlineLevel="0" collapsed="false">
      <c r="A32" s="32" t="s">
        <v>175</v>
      </c>
      <c r="B32" s="25" t="n">
        <v>21165</v>
      </c>
      <c r="C32" s="5" t="n">
        <v>1</v>
      </c>
      <c r="D32" s="12" t="n">
        <v>0</v>
      </c>
      <c r="E32" s="5" t="n">
        <v>-2</v>
      </c>
      <c r="F32" s="5" t="n">
        <v>3</v>
      </c>
      <c r="H32" s="30" t="n">
        <f aca="false">B32/40000*'Goods values'!$B$3*(1+D32+MAX(($K$2+E32)*0.16,0))</f>
        <v>1.841355</v>
      </c>
      <c r="I32" s="31" t="n">
        <f aca="false">H32*'Goods values'!$C$24*MAX($M$2-(C32*0.075),0)*$N$2</f>
        <v>0.10633825125</v>
      </c>
    </row>
    <row r="33" customFormat="false" ht="15" hidden="false" customHeight="false" outlineLevel="0" collapsed="false">
      <c r="A33" s="32" t="s">
        <v>176</v>
      </c>
      <c r="B33" s="25" t="n">
        <v>20505</v>
      </c>
      <c r="C33" s="5" t="n">
        <v>1</v>
      </c>
      <c r="D33" s="12" t="n">
        <v>0</v>
      </c>
      <c r="E33" s="5" t="n">
        <v>-2</v>
      </c>
      <c r="F33" s="5" t="n">
        <v>3</v>
      </c>
      <c r="H33" s="30" t="n">
        <f aca="false">B33/40000*'Goods values'!$B$3*(1+D33+MAX(($K$2+E33)*0.16,0))</f>
        <v>1.783935</v>
      </c>
      <c r="I33" s="31" t="n">
        <f aca="false">H33*'Goods values'!$C$24*MAX($M$2-(C33*0.075),0)*$N$2</f>
        <v>0.10302224625</v>
      </c>
    </row>
    <row r="34" customFormat="false" ht="15" hidden="false" customHeight="false" outlineLevel="0" collapsed="false">
      <c r="A34" s="32" t="s">
        <v>177</v>
      </c>
      <c r="B34" s="25" t="n">
        <f aca="false">243850+397100+16000+41000</f>
        <v>697950</v>
      </c>
      <c r="C34" s="5" t="n">
        <v>5</v>
      </c>
      <c r="D34" s="12" t="n">
        <v>0.01</v>
      </c>
      <c r="E34" s="5" t="n">
        <f aca="false">-11/5</f>
        <v>-2.2</v>
      </c>
      <c r="F34" s="5" t="n">
        <v>6</v>
      </c>
      <c r="H34" s="30" t="n">
        <f aca="false">B34/40000*'Goods values'!$B$3*(1+D34+MAX(($K$2+E34)*0.16,0))</f>
        <v>59.5700325</v>
      </c>
      <c r="I34" s="31" t="n">
        <f aca="false">H34*'Goods values'!$C$24*MAX($M$2-(C34*0.075),0)*$N$2</f>
        <v>0</v>
      </c>
    </row>
  </sheetData>
  <autoFilter ref="A1:H27"/>
  <dataValidations count="1">
    <dataValidation allowBlank="true" errorStyle="stop" operator="equal" showDropDown="false" showErrorMessage="true" showInputMessage="false" sqref="K2" type="list">
      <formula1>"0,1,2,3,4,5,6"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3" activeCellId="0" sqref="E3"/>
    </sheetView>
  </sheetViews>
  <sheetFormatPr defaultColWidth="13.42578125" defaultRowHeight="15" zeroHeight="false" outlineLevelRow="0" outlineLevelCol="0"/>
  <cols>
    <col collapsed="false" customWidth="true" hidden="false" outlineLevel="0" max="1" min="1" style="5" width="6.57"/>
    <col collapsed="false" customWidth="true" hidden="false" outlineLevel="0" max="2" min="2" style="33" width="9.72"/>
    <col collapsed="false" customWidth="true" hidden="false" outlineLevel="0" max="3" min="3" style="5" width="14.29"/>
    <col collapsed="false" customWidth="false" hidden="false" outlineLevel="0" max="4" min="4" style="1" width="13.42"/>
    <col collapsed="false" customWidth="true" hidden="false" outlineLevel="0" max="5" min="5" style="1" width="13"/>
    <col collapsed="false" customWidth="true" hidden="false" outlineLevel="0" max="6" min="6" style="25" width="14.57"/>
    <col collapsed="false" customWidth="false" hidden="false" outlineLevel="0" max="16384" min="7" style="1" width="13.42"/>
  </cols>
  <sheetData>
    <row r="1" customFormat="false" ht="15" hidden="false" customHeight="false" outlineLevel="0" collapsed="false">
      <c r="A1" s="5" t="s">
        <v>0</v>
      </c>
      <c r="B1" s="34" t="s">
        <v>178</v>
      </c>
      <c r="C1" s="5" t="s">
        <v>85</v>
      </c>
      <c r="E1" s="5" t="s">
        <v>84</v>
      </c>
      <c r="F1" s="5" t="s">
        <v>179</v>
      </c>
    </row>
    <row r="2" customFormat="false" ht="15" hidden="false" customHeight="false" outlineLevel="0" collapsed="false">
      <c r="A2" s="5" t="n">
        <v>1830</v>
      </c>
      <c r="B2" s="25" t="n">
        <f aca="false">F2</f>
        <v>452530</v>
      </c>
      <c r="C2" s="13" t="n">
        <v>0</v>
      </c>
      <c r="E2" s="5" t="n">
        <v>30</v>
      </c>
      <c r="F2" s="25" t="n">
        <v>452530</v>
      </c>
    </row>
    <row r="3" customFormat="false" ht="15" hidden="false" customHeight="false" outlineLevel="0" collapsed="false">
      <c r="A3" s="5" t="n">
        <v>1831</v>
      </c>
      <c r="B3" s="25" t="n">
        <f aca="false">B2*(1+0.0001+MAX(($E$2-36),0)*0.0001+C2)</f>
        <v>452575.253</v>
      </c>
      <c r="C3" s="13" t="n">
        <v>0</v>
      </c>
      <c r="G3" s="10"/>
    </row>
    <row r="4" customFormat="false" ht="15" hidden="false" customHeight="false" outlineLevel="0" collapsed="false">
      <c r="A4" s="5" t="n">
        <v>1832</v>
      </c>
      <c r="B4" s="25" t="n">
        <f aca="false">B3*(1+0.0001+MAX(($E$2-36),0)*0.0001+C3)</f>
        <v>452620.5105253</v>
      </c>
      <c r="C4" s="13" t="n">
        <v>0</v>
      </c>
    </row>
    <row r="5" customFormat="false" ht="15" hidden="false" customHeight="false" outlineLevel="0" collapsed="false">
      <c r="A5" s="5" t="n">
        <v>1833</v>
      </c>
      <c r="B5" s="25" t="n">
        <f aca="false">B4*(1+0.0001+MAX(($E$2-36),0)*0.0001+C4)</f>
        <v>452665.772576352</v>
      </c>
      <c r="C5" s="13" t="n">
        <v>0</v>
      </c>
    </row>
    <row r="6" customFormat="false" ht="15" hidden="false" customHeight="false" outlineLevel="0" collapsed="false">
      <c r="A6" s="5" t="n">
        <v>1834</v>
      </c>
      <c r="B6" s="25" t="n">
        <f aca="false">B5*(1+0.0001+MAX(($E$2-36),0)*0.0001+C5)</f>
        <v>452711.03915361</v>
      </c>
      <c r="C6" s="35" t="n">
        <v>0.0001</v>
      </c>
    </row>
    <row r="7" customFormat="false" ht="15" hidden="false" customHeight="false" outlineLevel="0" collapsed="false">
      <c r="A7" s="5" t="n">
        <v>1835</v>
      </c>
      <c r="B7" s="25" t="n">
        <f aca="false">B6*(1+0.0001+MAX(($E$2-36),0)*0.0001+C6)</f>
        <v>452801.581361441</v>
      </c>
      <c r="C7" s="35" t="n">
        <v>0.0001</v>
      </c>
    </row>
    <row r="8" customFormat="false" ht="15" hidden="false" customHeight="false" outlineLevel="0" collapsed="false">
      <c r="A8" s="5" t="n">
        <v>1836</v>
      </c>
      <c r="B8" s="25" t="n">
        <f aca="false">B7*(1+0.0001+MAX(($E$2-36),0)*0.0001+C7)</f>
        <v>452892.141677713</v>
      </c>
      <c r="C8" s="35" t="n">
        <v>0.0002</v>
      </c>
    </row>
    <row r="9" customFormat="false" ht="15" hidden="false" customHeight="false" outlineLevel="0" collapsed="false">
      <c r="A9" s="5" t="n">
        <v>1837</v>
      </c>
      <c r="B9" s="25" t="n">
        <f aca="false">B8*(1+0.0001+MAX(($E$2-36),0)*0.0001+C8)</f>
        <v>453028.009320216</v>
      </c>
      <c r="C9" s="35" t="n">
        <v>0.0003</v>
      </c>
    </row>
    <row r="10" customFormat="false" ht="15" hidden="false" customHeight="false" outlineLevel="0" collapsed="false">
      <c r="A10" s="5" t="n">
        <v>1838</v>
      </c>
      <c r="B10" s="25" t="n">
        <f aca="false">B9*(1+0.0001+MAX(($E$2-36),0)*0.0001+C9)</f>
        <v>453209.220523944</v>
      </c>
      <c r="C10" s="35" t="n">
        <v>0.0004</v>
      </c>
    </row>
    <row r="11" customFormat="false" ht="15" hidden="false" customHeight="false" outlineLevel="0" collapsed="false">
      <c r="A11" s="5" t="n">
        <v>1839</v>
      </c>
      <c r="B11" s="25" t="n">
        <f aca="false">B10*(1+0.0001+MAX(($E$2-36),0)*0.0001+C10)</f>
        <v>453435.825134206</v>
      </c>
      <c r="C11" s="35" t="n">
        <v>0.0004</v>
      </c>
    </row>
    <row r="12" customFormat="false" ht="15" hidden="false" customHeight="false" outlineLevel="0" collapsed="false">
      <c r="A12" s="5" t="n">
        <v>1840</v>
      </c>
      <c r="B12" s="25" t="n">
        <f aca="false">B11*(1+0.0001+MAX(($E$2-36),0)*0.0001+C11)</f>
        <v>453662.543046773</v>
      </c>
      <c r="C12" s="35" t="n">
        <v>0.0005</v>
      </c>
    </row>
    <row r="13" customFormat="false" ht="15" hidden="false" customHeight="false" outlineLevel="0" collapsed="false">
      <c r="A13" s="5" t="n">
        <v>1841</v>
      </c>
      <c r="B13" s="25" t="n">
        <f aca="false">B12*(1+0.0001+MAX(($E$2-36),0)*0.0001+C12)</f>
        <v>453934.740572602</v>
      </c>
      <c r="C13" s="35" t="n">
        <v>0.0005</v>
      </c>
    </row>
    <row r="14" customFormat="false" ht="15" hidden="false" customHeight="false" outlineLevel="0" collapsed="false">
      <c r="A14" s="5" t="n">
        <v>1842</v>
      </c>
      <c r="B14" s="25" t="n">
        <f aca="false">B13*(1+0.0001+MAX(($E$2-36),0)*0.0001+C13)</f>
        <v>454207.101416945</v>
      </c>
      <c r="C14" s="35" t="n">
        <v>0.0005</v>
      </c>
    </row>
    <row r="15" customFormat="false" ht="15" hidden="false" customHeight="false" outlineLevel="0" collapsed="false">
      <c r="A15" s="5" t="n">
        <v>1843</v>
      </c>
      <c r="B15" s="25" t="n">
        <f aca="false">B14*(1+0.0001+MAX(($E$2-36),0)*0.0001+C14)</f>
        <v>454479.625677795</v>
      </c>
      <c r="C15" s="35" t="n">
        <v>0.0005</v>
      </c>
    </row>
    <row r="16" customFormat="false" ht="15" hidden="false" customHeight="false" outlineLevel="0" collapsed="false">
      <c r="A16" s="5" t="n">
        <v>1844</v>
      </c>
      <c r="B16" s="25" t="n">
        <f aca="false">B15*(1+0.0001+MAX(($E$2-36),0)*0.0001+C15)</f>
        <v>454752.313453202</v>
      </c>
      <c r="C16" s="35" t="n">
        <v>0.0005</v>
      </c>
    </row>
    <row r="17" customFormat="false" ht="15" hidden="false" customHeight="false" outlineLevel="0" collapsed="false">
      <c r="A17" s="5" t="n">
        <v>1845</v>
      </c>
      <c r="B17" s="25" t="n">
        <f aca="false">B16*(1+0.0001+MAX(($E$2-36),0)*0.0001+C16)</f>
        <v>455025.164841274</v>
      </c>
      <c r="C17" s="35" t="n">
        <v>0.0005</v>
      </c>
    </row>
    <row r="18" customFormat="false" ht="15" hidden="false" customHeight="false" outlineLevel="0" collapsed="false">
      <c r="A18" s="5" t="n">
        <v>1846</v>
      </c>
      <c r="B18" s="25" t="n">
        <f aca="false">B17*(1+0.0001+MAX(($E$2-36),0)*0.0001+C17)</f>
        <v>455298.179940178</v>
      </c>
      <c r="C18" s="35" t="n">
        <v>0.0005</v>
      </c>
    </row>
    <row r="19" customFormat="false" ht="15" hidden="false" customHeight="false" outlineLevel="0" collapsed="false">
      <c r="A19" s="5" t="n">
        <v>1847</v>
      </c>
      <c r="B19" s="25" t="n">
        <f aca="false">B18*(1+0.0001+MAX(($E$2-36),0)*0.0001+C18)</f>
        <v>455571.358848143</v>
      </c>
      <c r="C19" s="35" t="n">
        <v>0.0005</v>
      </c>
    </row>
    <row r="20" customFormat="false" ht="15" hidden="false" customHeight="false" outlineLevel="0" collapsed="false">
      <c r="A20" s="5" t="n">
        <v>1848</v>
      </c>
      <c r="B20" s="25" t="n">
        <f aca="false">B19*(1+0.0001+MAX(($E$2-36),0)*0.0001+C19)</f>
        <v>455844.701663451</v>
      </c>
      <c r="C20" s="35" t="n">
        <v>0.0005</v>
      </c>
    </row>
    <row r="21" customFormat="false" ht="15" hidden="false" customHeight="false" outlineLevel="0" collapsed="false">
      <c r="A21" s="5" t="n">
        <v>1849</v>
      </c>
      <c r="B21" s="25" t="n">
        <f aca="false">B20*(1+0.0001+MAX(($E$2-36),0)*0.0001+C20)</f>
        <v>456118.208484449</v>
      </c>
      <c r="C21" s="35" t="n">
        <v>0.0005</v>
      </c>
    </row>
    <row r="22" customFormat="false" ht="15" hidden="false" customHeight="false" outlineLevel="0" collapsed="false">
      <c r="A22" s="5" t="n">
        <v>1850</v>
      </c>
      <c r="B22" s="25" t="n">
        <f aca="false">B21*(1+0.0001+MAX(($E$2-36),0)*0.0001+C21)</f>
        <v>456391.87940954</v>
      </c>
      <c r="C22" s="35" t="n">
        <v>0.0005</v>
      </c>
    </row>
    <row r="23" customFormat="false" ht="15" hidden="false" customHeight="false" outlineLevel="0" collapsed="false">
      <c r="A23" s="5" t="n">
        <v>1851</v>
      </c>
      <c r="B23" s="25" t="n">
        <f aca="false">B22*(1+0.0001+MAX(($E$2-36),0)*0.0001+C22)</f>
        <v>456665.714537186</v>
      </c>
      <c r="C23" s="35" t="n">
        <v>0.0005</v>
      </c>
    </row>
    <row r="24" customFormat="false" ht="15" hidden="false" customHeight="false" outlineLevel="0" collapsed="false">
      <c r="A24" s="5" t="n">
        <v>1852</v>
      </c>
      <c r="B24" s="25" t="n">
        <f aca="false">B23*(1+0.0001+MAX(($E$2-36),0)*0.0001+C23)</f>
        <v>456939.713965908</v>
      </c>
      <c r="C24" s="35" t="n">
        <v>0.0005</v>
      </c>
    </row>
    <row r="25" customFormat="false" ht="15" hidden="false" customHeight="false" outlineLevel="0" collapsed="false">
      <c r="A25" s="5" t="n">
        <v>1853</v>
      </c>
      <c r="B25" s="25" t="n">
        <f aca="false">B24*(1+0.0001+MAX(($E$2-36),0)*0.0001+C24)</f>
        <v>457213.877794288</v>
      </c>
      <c r="C25" s="35" t="n">
        <v>0.0005</v>
      </c>
    </row>
    <row r="26" customFormat="false" ht="15" hidden="false" customHeight="false" outlineLevel="0" collapsed="false">
      <c r="A26" s="5" t="n">
        <v>1854</v>
      </c>
      <c r="B26" s="25" t="n">
        <f aca="false">B25*(1+0.0001+MAX(($E$2-36),0)*0.0001+C25)</f>
        <v>457488.206120964</v>
      </c>
      <c r="C26" s="35" t="n">
        <v>0.0005</v>
      </c>
    </row>
    <row r="27" customFormat="false" ht="15" hidden="false" customHeight="false" outlineLevel="0" collapsed="false">
      <c r="A27" s="5" t="n">
        <v>1855</v>
      </c>
      <c r="B27" s="25" t="n">
        <f aca="false">B26*(1+0.0001+MAX(($E$2-36),0)*0.0001+C26)</f>
        <v>457762.699044637</v>
      </c>
      <c r="C27" s="35" t="n">
        <v>0.0005</v>
      </c>
    </row>
    <row r="28" customFormat="false" ht="15" hidden="false" customHeight="false" outlineLevel="0" collapsed="false">
      <c r="A28" s="5" t="n">
        <v>1856</v>
      </c>
      <c r="B28" s="25" t="n">
        <f aca="false">B27*(1+0.0001+MAX(($E$2-36),0)*0.0001+C27)</f>
        <v>458037.356664063</v>
      </c>
      <c r="C28" s="35" t="n">
        <v>0.0005</v>
      </c>
    </row>
    <row r="29" customFormat="false" ht="15" hidden="false" customHeight="false" outlineLevel="0" collapsed="false">
      <c r="A29" s="5" t="n">
        <v>1857</v>
      </c>
      <c r="B29" s="25" t="n">
        <f aca="false">B28*(1+0.0001+MAX(($E$2-36),0)*0.0001+C28)</f>
        <v>458312.179078062</v>
      </c>
      <c r="C29" s="35" t="n">
        <v>0.0005</v>
      </c>
    </row>
    <row r="30" customFormat="false" ht="15" hidden="false" customHeight="false" outlineLevel="0" collapsed="false">
      <c r="A30" s="5" t="n">
        <v>1858</v>
      </c>
      <c r="B30" s="25" t="n">
        <f aca="false">B29*(1+0.0001+MAX(($E$2-36),0)*0.0001+C29)</f>
        <v>458587.166385509</v>
      </c>
      <c r="C30" s="35" t="n">
        <v>0.0005</v>
      </c>
    </row>
    <row r="31" customFormat="false" ht="15" hidden="false" customHeight="false" outlineLevel="0" collapsed="false">
      <c r="A31" s="5" t="n">
        <v>1859</v>
      </c>
      <c r="B31" s="25" t="n">
        <f aca="false">B30*(1+0.0001+MAX(($E$2-36),0)*0.0001+C30)</f>
        <v>458862.31868534</v>
      </c>
      <c r="C31" s="35" t="n">
        <v>0.0005</v>
      </c>
    </row>
    <row r="32" customFormat="false" ht="15" hidden="false" customHeight="false" outlineLevel="0" collapsed="false">
      <c r="A32" s="5" t="n">
        <v>1860</v>
      </c>
      <c r="B32" s="25" t="n">
        <f aca="false">B31*(1+0.0001+MAX(($E$2-36),0)*0.0001+C31)</f>
        <v>459137.636076551</v>
      </c>
      <c r="C32" s="35" t="n">
        <v>0.0005</v>
      </c>
    </row>
    <row r="33" customFormat="false" ht="15" hidden="false" customHeight="false" outlineLevel="0" collapsed="false">
      <c r="A33" s="5" t="n">
        <v>1861</v>
      </c>
      <c r="B33" s="25" t="n">
        <f aca="false">B32*(1+0.0001+MAX(($E$2-36),0)*0.0001+C32)</f>
        <v>459413.118658197</v>
      </c>
      <c r="C33" s="35" t="n">
        <v>0.0005</v>
      </c>
    </row>
    <row r="34" customFormat="false" ht="15" hidden="false" customHeight="false" outlineLevel="0" collapsed="false">
      <c r="A34" s="5" t="n">
        <v>1862</v>
      </c>
      <c r="B34" s="25" t="n">
        <f aca="false">B33*(1+0.0001+MAX(($E$2-36),0)*0.0001+C33)</f>
        <v>459688.766529392</v>
      </c>
      <c r="C34" s="35" t="n">
        <v>0.0005</v>
      </c>
    </row>
    <row r="35" customFormat="false" ht="15" hidden="false" customHeight="false" outlineLevel="0" collapsed="false">
      <c r="A35" s="5" t="n">
        <v>1863</v>
      </c>
      <c r="B35" s="25" t="n">
        <f aca="false">B34*(1+0.0001+MAX(($E$2-36),0)*0.0001+C34)</f>
        <v>459964.57978931</v>
      </c>
      <c r="C35" s="35" t="n">
        <v>0.0005</v>
      </c>
    </row>
    <row r="36" customFormat="false" ht="15" hidden="false" customHeight="false" outlineLevel="0" collapsed="false">
      <c r="A36" s="5" t="n">
        <v>1864</v>
      </c>
      <c r="B36" s="25" t="n">
        <f aca="false">B35*(1+0.0001+MAX(($E$2-36),0)*0.0001+C35)</f>
        <v>460240.558537183</v>
      </c>
      <c r="C36" s="35" t="n">
        <v>0.0005</v>
      </c>
    </row>
    <row r="37" customFormat="false" ht="15" hidden="false" customHeight="false" outlineLevel="0" collapsed="false">
      <c r="A37" s="5" t="n">
        <v>1865</v>
      </c>
      <c r="B37" s="25" t="n">
        <f aca="false">B36*(1+0.0001+MAX(($E$2-36),0)*0.0001+C36)</f>
        <v>460516.702872305</v>
      </c>
      <c r="C37" s="35" t="n">
        <v>0.0005</v>
      </c>
    </row>
    <row r="38" customFormat="false" ht="15" hidden="false" customHeight="false" outlineLevel="0" collapsed="false">
      <c r="A38" s="5" t="n">
        <v>1866</v>
      </c>
      <c r="B38" s="25" t="n">
        <f aca="false">B37*(1+0.0001+MAX(($E$2-36),0)*0.0001+C37)</f>
        <v>460793.012894029</v>
      </c>
      <c r="C38" s="35" t="n">
        <v>0.0005</v>
      </c>
    </row>
    <row r="39" customFormat="false" ht="15" hidden="false" customHeight="false" outlineLevel="0" collapsed="false">
      <c r="A39" s="5" t="n">
        <v>1867</v>
      </c>
      <c r="B39" s="25" t="n">
        <f aca="false">B38*(1+0.0001+MAX(($E$2-36),0)*0.0001+C38)</f>
        <v>461069.488701765</v>
      </c>
      <c r="C39" s="35" t="n">
        <v>0.0005</v>
      </c>
    </row>
    <row r="40" customFormat="false" ht="15" hidden="false" customHeight="false" outlineLevel="0" collapsed="false">
      <c r="A40" s="5" t="n">
        <v>1868</v>
      </c>
      <c r="B40" s="25" t="n">
        <f aca="false">B39*(1+0.0001+MAX(($E$2-36),0)*0.0001+C39)</f>
        <v>461346.130394986</v>
      </c>
      <c r="C40" s="35" t="n">
        <v>0.0005</v>
      </c>
    </row>
    <row r="41" customFormat="false" ht="15" hidden="false" customHeight="false" outlineLevel="0" collapsed="false">
      <c r="A41" s="5" t="n">
        <v>1869</v>
      </c>
      <c r="B41" s="25" t="n">
        <f aca="false">B40*(1+0.0001+MAX(($E$2-36),0)*0.0001+C40)</f>
        <v>461622.938073223</v>
      </c>
      <c r="C41" s="35" t="n">
        <v>0.0005</v>
      </c>
    </row>
    <row r="42" customFormat="false" ht="15" hidden="false" customHeight="false" outlineLevel="0" collapsed="false">
      <c r="A42" s="5" t="n">
        <v>1870</v>
      </c>
      <c r="B42" s="25" t="n">
        <f aca="false">B41*(1+0.0001+MAX(($E$2-36),0)*0.0001+C41)</f>
        <v>461899.911836067</v>
      </c>
      <c r="C42" s="35" t="n">
        <v>0.0005</v>
      </c>
    </row>
    <row r="43" customFormat="false" ht="15" hidden="false" customHeight="false" outlineLevel="0" collapsed="false">
      <c r="A43" s="5" t="n">
        <v>1871</v>
      </c>
      <c r="B43" s="25" t="n">
        <f aca="false">B42*(1+0.0001+MAX(($E$2-36),0)*0.0001+C42)</f>
        <v>462177.051783169</v>
      </c>
      <c r="C43" s="35" t="n">
        <v>0.0005</v>
      </c>
    </row>
    <row r="44" customFormat="false" ht="15" hidden="false" customHeight="false" outlineLevel="0" collapsed="false">
      <c r="A44" s="5" t="n">
        <v>1872</v>
      </c>
      <c r="B44" s="25" t="n">
        <f aca="false">B43*(1+0.0001+MAX(($E$2-36),0)*0.0001+C43)</f>
        <v>462454.358014238</v>
      </c>
      <c r="C44" s="35" t="n">
        <v>0.0005</v>
      </c>
    </row>
    <row r="45" customFormat="false" ht="15" hidden="false" customHeight="false" outlineLevel="0" collapsed="false">
      <c r="A45" s="5" t="n">
        <v>1873</v>
      </c>
      <c r="B45" s="25" t="n">
        <f aca="false">B44*(1+0.0001+MAX(($E$2-36),0)*0.0001+C44)</f>
        <v>462731.830629047</v>
      </c>
      <c r="C45" s="35" t="n">
        <v>0.0005</v>
      </c>
    </row>
    <row r="46" customFormat="false" ht="15" hidden="false" customHeight="false" outlineLevel="0" collapsed="false">
      <c r="A46" s="5" t="n">
        <v>1874</v>
      </c>
      <c r="B46" s="25" t="n">
        <f aca="false">B45*(1+0.0001+MAX(($E$2-36),0)*0.0001+C45)</f>
        <v>463009.469727424</v>
      </c>
      <c r="C46" s="35" t="n">
        <v>0.0006</v>
      </c>
    </row>
    <row r="47" customFormat="false" ht="15" hidden="false" customHeight="false" outlineLevel="0" collapsed="false">
      <c r="A47" s="5" t="n">
        <v>1875</v>
      </c>
      <c r="B47" s="25" t="n">
        <f aca="false">B46*(1+0.0001+MAX(($E$2-36),0)*0.0001+C46)</f>
        <v>463333.576356233</v>
      </c>
      <c r="C47" s="35" t="n">
        <v>0.0006</v>
      </c>
    </row>
    <row r="48" customFormat="false" ht="15" hidden="false" customHeight="false" outlineLevel="0" collapsed="false">
      <c r="A48" s="5" t="n">
        <v>1876</v>
      </c>
      <c r="B48" s="25" t="n">
        <f aca="false">B47*(1+0.0001+MAX(($E$2-36),0)*0.0001+C47)</f>
        <v>463657.909859683</v>
      </c>
      <c r="C48" s="35" t="n">
        <v>0.0006</v>
      </c>
    </row>
    <row r="49" customFormat="false" ht="15" hidden="false" customHeight="false" outlineLevel="0" collapsed="false">
      <c r="A49" s="5" t="n">
        <v>1877</v>
      </c>
      <c r="B49" s="25" t="n">
        <f aca="false">B48*(1+0.0001+MAX(($E$2-36),0)*0.0001+C48)</f>
        <v>463982.470396585</v>
      </c>
      <c r="C49" s="35" t="n">
        <v>0.0006</v>
      </c>
    </row>
    <row r="50" customFormat="false" ht="15" hidden="false" customHeight="false" outlineLevel="0" collapsed="false">
      <c r="A50" s="5" t="n">
        <v>1878</v>
      </c>
      <c r="B50" s="25" t="n">
        <f aca="false">B49*(1+0.0001+MAX(($E$2-36),0)*0.0001+C49)</f>
        <v>464307.258125862</v>
      </c>
      <c r="C50" s="35" t="n">
        <v>0.0006</v>
      </c>
    </row>
    <row r="51" customFormat="false" ht="15" hidden="false" customHeight="false" outlineLevel="0" collapsed="false">
      <c r="A51" s="5" t="n">
        <v>1879</v>
      </c>
      <c r="B51" s="25" t="n">
        <f aca="false">B50*(1+0.0001+MAX(($E$2-36),0)*0.0001+C50)</f>
        <v>464632.27320655</v>
      </c>
      <c r="C51" s="35" t="n">
        <v>0.0006</v>
      </c>
    </row>
    <row r="52" customFormat="false" ht="15" hidden="false" customHeight="false" outlineLevel="0" collapsed="false">
      <c r="A52" s="5" t="n">
        <v>1880</v>
      </c>
      <c r="B52" s="25" t="n">
        <f aca="false">B51*(1+0.0001+MAX(($E$2-36),0)*0.0001+C51)</f>
        <v>464957.515797795</v>
      </c>
      <c r="C52" s="35" t="n">
        <v>0.0006</v>
      </c>
    </row>
    <row r="53" customFormat="false" ht="15" hidden="false" customHeight="false" outlineLevel="0" collapsed="false">
      <c r="A53" s="5" t="n">
        <v>1881</v>
      </c>
      <c r="B53" s="25" t="n">
        <f aca="false">B52*(1+0.0001+MAX(($E$2-36),0)*0.0001+C52)</f>
        <v>465282.986058853</v>
      </c>
      <c r="C53" s="35" t="n">
        <v>0.0006</v>
      </c>
    </row>
    <row r="54" customFormat="false" ht="15" hidden="false" customHeight="false" outlineLevel="0" collapsed="false">
      <c r="A54" s="5" t="n">
        <v>1882</v>
      </c>
      <c r="B54" s="25" t="n">
        <f aca="false">B53*(1+0.0001+MAX(($E$2-36),0)*0.0001+C53)</f>
        <v>465608.684149094</v>
      </c>
      <c r="C54" s="35" t="n">
        <v>0.0006</v>
      </c>
    </row>
    <row r="55" customFormat="false" ht="15" hidden="false" customHeight="false" outlineLevel="0" collapsed="false">
      <c r="A55" s="5" t="n">
        <v>1883</v>
      </c>
      <c r="B55" s="25" t="n">
        <f aca="false">B54*(1+0.0001+MAX(($E$2-36),0)*0.0001+C54)</f>
        <v>465934.610227999</v>
      </c>
      <c r="C55" s="35" t="n">
        <v>0.0006</v>
      </c>
    </row>
    <row r="56" customFormat="false" ht="15" hidden="false" customHeight="false" outlineLevel="0" collapsed="false">
      <c r="A56" s="5" t="n">
        <v>1884</v>
      </c>
      <c r="B56" s="25" t="n">
        <f aca="false">B55*(1+0.0001+MAX(($E$2-36),0)*0.0001+C55)</f>
        <v>466260.764455158</v>
      </c>
      <c r="C56" s="35" t="n">
        <v>0.0006</v>
      </c>
    </row>
    <row r="57" customFormat="false" ht="15" hidden="false" customHeight="false" outlineLevel="0" collapsed="false">
      <c r="A57" s="5" t="n">
        <v>1885</v>
      </c>
      <c r="B57" s="25" t="n">
        <f aca="false">B56*(1+0.0001+MAX(($E$2-36),0)*0.0001+C56)</f>
        <v>466587.146990277</v>
      </c>
      <c r="C57" s="35" t="n">
        <v>0.0006</v>
      </c>
    </row>
    <row r="58" customFormat="false" ht="15" hidden="false" customHeight="false" outlineLevel="0" collapsed="false">
      <c r="A58" s="5" t="n">
        <v>1886</v>
      </c>
      <c r="B58" s="25" t="n">
        <f aca="false">B57*(1+0.0001+MAX(($E$2-36),0)*0.0001+C57)</f>
        <v>466913.75799317</v>
      </c>
      <c r="C58" s="35" t="n">
        <v>0.0006</v>
      </c>
    </row>
    <row r="59" customFormat="false" ht="15" hidden="false" customHeight="false" outlineLevel="0" collapsed="false">
      <c r="A59" s="5" t="n">
        <v>1887</v>
      </c>
      <c r="B59" s="25" t="n">
        <f aca="false">B58*(1+0.0001+MAX(($E$2-36),0)*0.0001+C58)</f>
        <v>467240.597623765</v>
      </c>
      <c r="C59" s="35" t="n">
        <v>0.0006</v>
      </c>
    </row>
    <row r="60" customFormat="false" ht="15" hidden="false" customHeight="false" outlineLevel="0" collapsed="false">
      <c r="A60" s="5" t="n">
        <v>1888</v>
      </c>
      <c r="B60" s="25" t="n">
        <f aca="false">B59*(1+0.0001+MAX(($E$2-36),0)*0.0001+C59)</f>
        <v>467567.666042102</v>
      </c>
      <c r="C60" s="35" t="n">
        <v>0.0006</v>
      </c>
    </row>
    <row r="61" customFormat="false" ht="15" hidden="false" customHeight="false" outlineLevel="0" collapsed="false">
      <c r="A61" s="5" t="n">
        <v>1889</v>
      </c>
      <c r="B61" s="25" t="n">
        <f aca="false">B60*(1+0.0001+MAX(($E$2-36),0)*0.0001+C60)</f>
        <v>467894.963408331</v>
      </c>
      <c r="C61" s="35" t="n">
        <v>0.0006</v>
      </c>
    </row>
    <row r="62" customFormat="false" ht="15" hidden="false" customHeight="false" outlineLevel="0" collapsed="false">
      <c r="A62" s="5" t="n">
        <v>1890</v>
      </c>
      <c r="B62" s="25" t="n">
        <f aca="false">B61*(1+0.0001+MAX(($E$2-36),0)*0.0001+C61)</f>
        <v>468222.489882717</v>
      </c>
      <c r="C62" s="35" t="n">
        <v>0.0006</v>
      </c>
    </row>
    <row r="63" customFormat="false" ht="15" hidden="false" customHeight="false" outlineLevel="0" collapsed="false">
      <c r="A63" s="5" t="n">
        <v>1891</v>
      </c>
      <c r="B63" s="25" t="n">
        <f aca="false">B62*(1+0.0001+MAX(($E$2-36),0)*0.0001+C62)</f>
        <v>468550.245625635</v>
      </c>
      <c r="C63" s="35" t="n">
        <v>0.0006</v>
      </c>
    </row>
    <row r="64" customFormat="false" ht="15" hidden="false" customHeight="false" outlineLevel="0" collapsed="false">
      <c r="A64" s="5" t="n">
        <v>1892</v>
      </c>
      <c r="B64" s="25" t="n">
        <f aca="false">B63*(1+0.0001+MAX(($E$2-36),0)*0.0001+C63)</f>
        <v>468878.230797573</v>
      </c>
      <c r="C64" s="35" t="n">
        <v>0.0006</v>
      </c>
    </row>
    <row r="65" customFormat="false" ht="15" hidden="false" customHeight="false" outlineLevel="0" collapsed="false">
      <c r="A65" s="5" t="n">
        <v>1893</v>
      </c>
      <c r="B65" s="25" t="n">
        <f aca="false">B64*(1+0.0001+MAX(($E$2-36),0)*0.0001+C64)</f>
        <v>469206.445559131</v>
      </c>
      <c r="C65" s="35" t="n">
        <v>0.0006</v>
      </c>
    </row>
    <row r="66" customFormat="false" ht="15" hidden="false" customHeight="false" outlineLevel="0" collapsed="false">
      <c r="A66" s="5" t="n">
        <v>1894</v>
      </c>
      <c r="B66" s="25" t="n">
        <f aca="false">B65*(1+0.0001+MAX(($E$2-36),0)*0.0001+C65)</f>
        <v>469534.890071022</v>
      </c>
      <c r="C66" s="35" t="n">
        <v>0.0006</v>
      </c>
    </row>
    <row r="67" customFormat="false" ht="15" hidden="false" customHeight="false" outlineLevel="0" collapsed="false">
      <c r="A67" s="5" t="n">
        <v>1895</v>
      </c>
      <c r="B67" s="25" t="n">
        <f aca="false">B66*(1+0.0001+MAX(($E$2-36),0)*0.0001+C66)</f>
        <v>469863.564494072</v>
      </c>
      <c r="C67" s="35" t="n">
        <v>0.0006</v>
      </c>
    </row>
    <row r="68" customFormat="false" ht="15" hidden="false" customHeight="false" outlineLevel="0" collapsed="false">
      <c r="A68" s="5" t="n">
        <v>1896</v>
      </c>
      <c r="B68" s="25" t="n">
        <f aca="false">B67*(1+0.0001+MAX(($E$2-36),0)*0.0001+C67)</f>
        <v>470192.468989218</v>
      </c>
      <c r="C68" s="35" t="n">
        <v>0.0006</v>
      </c>
    </row>
    <row r="69" customFormat="false" ht="15" hidden="false" customHeight="false" outlineLevel="0" collapsed="false">
      <c r="A69" s="5" t="n">
        <v>1897</v>
      </c>
      <c r="B69" s="25" t="n">
        <f aca="false">B68*(1+0.0001+MAX(($E$2-36),0)*0.0001+C68)</f>
        <v>470521.60371751</v>
      </c>
      <c r="C69" s="35" t="n">
        <v>0.0006</v>
      </c>
    </row>
    <row r="70" customFormat="false" ht="15" hidden="false" customHeight="false" outlineLevel="0" collapsed="false">
      <c r="A70" s="5" t="n">
        <v>1898</v>
      </c>
      <c r="B70" s="25" t="n">
        <f aca="false">B69*(1+0.0001+MAX(($E$2-36),0)*0.0001+C69)</f>
        <v>470850.968840112</v>
      </c>
      <c r="C70" s="35" t="n">
        <v>0.0006</v>
      </c>
    </row>
    <row r="71" customFormat="false" ht="15" hidden="false" customHeight="false" outlineLevel="0" collapsed="false">
      <c r="A71" s="5" t="n">
        <v>1899</v>
      </c>
      <c r="B71" s="25" t="n">
        <f aca="false">B70*(1+0.0001+MAX(($E$2-36),0)*0.0001+C70)</f>
        <v>471180.5645183</v>
      </c>
      <c r="C71" s="35" t="n">
        <v>0.0006</v>
      </c>
    </row>
    <row r="72" customFormat="false" ht="15" hidden="false" customHeight="false" outlineLevel="0" collapsed="false">
      <c r="A72" s="5" t="n">
        <v>1900</v>
      </c>
      <c r="B72" s="25" t="n">
        <f aca="false">B71*(1+0.0001+MAX(($E$2-36),0)*0.0001+C71)</f>
        <v>471510.390913463</v>
      </c>
      <c r="C72" s="35" t="n">
        <v>0.0006</v>
      </c>
    </row>
    <row r="73" customFormat="false" ht="15" hidden="false" customHeight="false" outlineLevel="0" collapsed="false">
      <c r="A73" s="5" t="n">
        <v>1901</v>
      </c>
      <c r="B73" s="25" t="n">
        <f aca="false">B72*(1+0.0001+MAX(($E$2-36),0)*0.0001+C72)</f>
        <v>471840.448187103</v>
      </c>
      <c r="C73" s="35" t="n">
        <v>0.0006</v>
      </c>
    </row>
    <row r="74" customFormat="false" ht="15" hidden="false" customHeight="false" outlineLevel="0" collapsed="false">
      <c r="A74" s="5" t="n">
        <v>1902</v>
      </c>
      <c r="B74" s="25" t="n">
        <f aca="false">B73*(1+0.0001+MAX(($E$2-36),0)*0.0001+C73)</f>
        <v>472170.736500834</v>
      </c>
      <c r="C74" s="35" t="n">
        <v>0.0006</v>
      </c>
    </row>
    <row r="75" customFormat="false" ht="15" hidden="false" customHeight="false" outlineLevel="0" collapsed="false">
      <c r="A75" s="5" t="n">
        <v>1903</v>
      </c>
      <c r="B75" s="25" t="n">
        <f aca="false">B74*(1+0.0001+MAX(($E$2-36),0)*0.0001+C74)</f>
        <v>472501.256016384</v>
      </c>
      <c r="C75" s="35" t="n">
        <v>0.0006</v>
      </c>
    </row>
    <row r="76" customFormat="false" ht="15" hidden="false" customHeight="false" outlineLevel="0" collapsed="false">
      <c r="A76" s="5" t="n">
        <v>1904</v>
      </c>
      <c r="B76" s="25" t="n">
        <f aca="false">B75*(1+0.0001+MAX(($E$2-36),0)*0.0001+C75)</f>
        <v>472832.006895595</v>
      </c>
      <c r="C76" s="35" t="n">
        <v>0.0006</v>
      </c>
    </row>
    <row r="77" customFormat="false" ht="15" hidden="false" customHeight="false" outlineLevel="0" collapsed="false">
      <c r="A77" s="5" t="n">
        <v>1905</v>
      </c>
      <c r="B77" s="25" t="n">
        <f aca="false">B76*(1+0.0001+MAX(($E$2-36),0)*0.0001+C76)</f>
        <v>473162.989300422</v>
      </c>
      <c r="C77" s="35" t="n">
        <v>0.0006</v>
      </c>
    </row>
    <row r="78" customFormat="false" ht="15" hidden="false" customHeight="false" outlineLevel="0" collapsed="false">
      <c r="A78" s="5" t="n">
        <v>1906</v>
      </c>
      <c r="B78" s="25" t="n">
        <f aca="false">B77*(1+0.0001+MAX(($E$2-36),0)*0.0001+C77)</f>
        <v>473494.203392933</v>
      </c>
      <c r="C78" s="35" t="n">
        <v>0.0006</v>
      </c>
    </row>
    <row r="79" customFormat="false" ht="15" hidden="false" customHeight="false" outlineLevel="0" collapsed="false">
      <c r="A79" s="5" t="n">
        <v>1907</v>
      </c>
      <c r="B79" s="25" t="n">
        <f aca="false">B78*(1+0.0001+MAX(($E$2-36),0)*0.0001+C78)</f>
        <v>473825.649335308</v>
      </c>
      <c r="C79" s="35" t="n">
        <v>0.0006</v>
      </c>
    </row>
    <row r="80" customFormat="false" ht="15" hidden="false" customHeight="false" outlineLevel="0" collapsed="false">
      <c r="A80" s="5" t="n">
        <v>1908</v>
      </c>
      <c r="B80" s="25" t="n">
        <f aca="false">B79*(1+0.0001+MAX(($E$2-36),0)*0.0001+C79)</f>
        <v>474157.327289842</v>
      </c>
      <c r="C80" s="35" t="n">
        <v>0.0007</v>
      </c>
    </row>
    <row r="81" customFormat="false" ht="15" hidden="false" customHeight="false" outlineLevel="0" collapsed="false">
      <c r="A81" s="5" t="n">
        <v>1909</v>
      </c>
      <c r="B81" s="25" t="n">
        <f aca="false">B80*(1+0.0001+MAX(($E$2-36),0)*0.0001+C80)</f>
        <v>474536.653151674</v>
      </c>
      <c r="C81" s="35" t="n">
        <v>0.0007</v>
      </c>
    </row>
    <row r="82" customFormat="false" ht="15" hidden="false" customHeight="false" outlineLevel="0" collapsed="false">
      <c r="A82" s="5" t="n">
        <v>1910</v>
      </c>
      <c r="B82" s="25" t="n">
        <f aca="false">B81*(1+0.0001+MAX(($E$2-36),0)*0.0001+C81)</f>
        <v>474916.282474195</v>
      </c>
      <c r="C82" s="35" t="n">
        <v>0.0007</v>
      </c>
    </row>
    <row r="83" customFormat="false" ht="15" hidden="false" customHeight="false" outlineLevel="0" collapsed="false">
      <c r="A83" s="5" t="n">
        <v>1911</v>
      </c>
      <c r="B83" s="25" t="n">
        <f aca="false">B82*(1+0.0001+MAX(($E$2-36),0)*0.0001+C82)</f>
        <v>475296.215500175</v>
      </c>
      <c r="C83" s="35" t="n">
        <v>0.0007</v>
      </c>
    </row>
    <row r="84" customFormat="false" ht="15" hidden="false" customHeight="false" outlineLevel="0" collapsed="false">
      <c r="A84" s="5" t="n">
        <v>1912</v>
      </c>
      <c r="B84" s="25" t="n">
        <f aca="false">B83*(1+0.0001+MAX(($E$2-36),0)*0.0001+C83)</f>
        <v>475676.452472575</v>
      </c>
      <c r="C84" s="35" t="n">
        <v>0.0008</v>
      </c>
    </row>
    <row r="85" customFormat="false" ht="15" hidden="false" customHeight="false" outlineLevel="0" collapsed="false">
      <c r="A85" s="5" t="n">
        <v>1913</v>
      </c>
      <c r="B85" s="25" t="n">
        <f aca="false">B84*(1+0.0001+MAX(($E$2-36),0)*0.0001+C84)</f>
        <v>476104.5612798</v>
      </c>
      <c r="C85" s="35" t="n">
        <v>0.0008</v>
      </c>
    </row>
    <row r="86" customFormat="false" ht="15" hidden="false" customHeight="false" outlineLevel="0" collapsed="false">
      <c r="A86" s="5" t="n">
        <v>1914</v>
      </c>
      <c r="B86" s="25" t="n">
        <f aca="false">B85*(1+0.0001+MAX(($E$2-36),0)*0.0001+C85)</f>
        <v>476533.055384952</v>
      </c>
      <c r="C86" s="35" t="n">
        <v>0.0008</v>
      </c>
    </row>
    <row r="87" customFormat="false" ht="15" hidden="false" customHeight="false" outlineLevel="0" collapsed="false">
      <c r="A87" s="5" t="n">
        <v>1915</v>
      </c>
      <c r="B87" s="25" t="n">
        <f aca="false">B86*(1+0.0001+MAX(($E$2-36),0)*0.0001+C86)</f>
        <v>476961.935134798</v>
      </c>
      <c r="C87" s="35" t="n">
        <v>0.0008</v>
      </c>
    </row>
    <row r="88" customFormat="false" ht="15" hidden="false" customHeight="false" outlineLevel="0" collapsed="false">
      <c r="A88" s="5" t="n">
        <v>1916</v>
      </c>
      <c r="B88" s="25" t="n">
        <f aca="false">B87*(1+0.0001+MAX(($E$2-36),0)*0.0001+C87)</f>
        <v>477391.20087642</v>
      </c>
      <c r="C88" s="35" t="n">
        <v>0.0008</v>
      </c>
    </row>
    <row r="89" customFormat="false" ht="15" hidden="false" customHeight="false" outlineLevel="0" collapsed="false">
      <c r="A89" s="5" t="n">
        <v>1917</v>
      </c>
      <c r="B89" s="25" t="n">
        <f aca="false">B88*(1+0.0001+MAX(($E$2-36),0)*0.0001+C88)</f>
        <v>477820.852957208</v>
      </c>
      <c r="C89" s="35" t="n">
        <v>0.0008</v>
      </c>
    </row>
    <row r="90" customFormat="false" ht="15" hidden="false" customHeight="false" outlineLevel="0" collapsed="false">
      <c r="A90" s="5" t="n">
        <v>1918</v>
      </c>
      <c r="B90" s="25" t="n">
        <f aca="false">B89*(1+0.0001+MAX(($E$2-36),0)*0.0001+C89)</f>
        <v>478250.89172487</v>
      </c>
      <c r="C90" s="35" t="n">
        <v>0.0008</v>
      </c>
    </row>
    <row r="91" customFormat="false" ht="15" hidden="false" customHeight="false" outlineLevel="0" collapsed="false">
      <c r="A91" s="5" t="n">
        <v>1919</v>
      </c>
      <c r="B91" s="25" t="n">
        <f aca="false">B90*(1+0.0001+MAX(($E$2-36),0)*0.0001+C90)</f>
        <v>478681.317527422</v>
      </c>
      <c r="C91" s="35" t="n">
        <v>0.0008</v>
      </c>
    </row>
    <row r="92" customFormat="false" ht="15" hidden="false" customHeight="false" outlineLevel="0" collapsed="false">
      <c r="A92" s="5" t="n">
        <v>1920</v>
      </c>
      <c r="B92" s="25" t="n">
        <f aca="false">B91*(1+0.0001+MAX(($E$2-36),0)*0.0001+C91)</f>
        <v>479112.130713197</v>
      </c>
      <c r="C92" s="35" t="n">
        <v>0.0008</v>
      </c>
    </row>
    <row r="93" customFormat="false" ht="15" hidden="false" customHeight="false" outlineLevel="0" collapsed="false">
      <c r="A93" s="5" t="n">
        <v>1921</v>
      </c>
      <c r="B93" s="25" t="n">
        <f aca="false">B92*(1+0.0001+MAX(($E$2-36),0)*0.0001+C92)</f>
        <v>479543.331630838</v>
      </c>
      <c r="C93" s="35" t="n">
        <v>0.0008</v>
      </c>
    </row>
    <row r="94" customFormat="false" ht="15" hidden="false" customHeight="false" outlineLevel="0" collapsed="false">
      <c r="A94" s="5" t="n">
        <v>1922</v>
      </c>
      <c r="B94" s="25" t="n">
        <f aca="false">B93*(1+0.0001+MAX(($E$2-36),0)*0.0001+C93)</f>
        <v>479974.920629306</v>
      </c>
      <c r="C94" s="35" t="n">
        <v>0.0008</v>
      </c>
    </row>
    <row r="95" customFormat="false" ht="15" hidden="false" customHeight="false" outlineLevel="0" collapsed="false">
      <c r="A95" s="5" t="n">
        <v>1923</v>
      </c>
      <c r="B95" s="25" t="n">
        <f aca="false">B94*(1+0.0001+MAX(($E$2-36),0)*0.0001+C94)</f>
        <v>480406.898057873</v>
      </c>
      <c r="C95" s="35" t="n">
        <v>0.0008</v>
      </c>
    </row>
    <row r="96" customFormat="false" ht="15" hidden="false" customHeight="false" outlineLevel="0" collapsed="false">
      <c r="A96" s="5" t="n">
        <v>1924</v>
      </c>
      <c r="B96" s="25" t="n">
        <f aca="false">B95*(1+0.0001+MAX(($E$2-36),0)*0.0001+C95)</f>
        <v>480839.264266125</v>
      </c>
      <c r="C96" s="35" t="n">
        <v>0.0008</v>
      </c>
    </row>
    <row r="97" customFormat="false" ht="15" hidden="false" customHeight="false" outlineLevel="0" collapsed="false">
      <c r="A97" s="5" t="n">
        <v>1925</v>
      </c>
      <c r="B97" s="25" t="n">
        <f aca="false">B96*(1+0.0001+MAX(($E$2-36),0)*0.0001+C96)</f>
        <v>481272.019603964</v>
      </c>
      <c r="C97" s="35" t="n">
        <v>0.0008</v>
      </c>
    </row>
    <row r="98" customFormat="false" ht="15" hidden="false" customHeight="false" outlineLevel="0" collapsed="false">
      <c r="A98" s="5" t="n">
        <v>1926</v>
      </c>
      <c r="B98" s="25" t="n">
        <f aca="false">B97*(1+0.0001+MAX(($E$2-36),0)*0.0001+C97)</f>
        <v>481705.164421608</v>
      </c>
      <c r="C98" s="35" t="n">
        <v>0.0008</v>
      </c>
    </row>
    <row r="99" customFormat="false" ht="15" hidden="false" customHeight="false" outlineLevel="0" collapsed="false">
      <c r="A99" s="5" t="n">
        <v>1927</v>
      </c>
      <c r="B99" s="25" t="n">
        <f aca="false">B98*(1+0.0001+MAX(($E$2-36),0)*0.0001+C98)</f>
        <v>482138.699069587</v>
      </c>
      <c r="C99" s="35" t="n">
        <v>0.0008</v>
      </c>
    </row>
    <row r="100" customFormat="false" ht="15" hidden="false" customHeight="false" outlineLevel="0" collapsed="false">
      <c r="A100" s="5" t="n">
        <v>1928</v>
      </c>
      <c r="B100" s="25" t="n">
        <f aca="false">B99*(1+0.0001+MAX(($E$2-36),0)*0.0001+C99)</f>
        <v>482572.62389875</v>
      </c>
      <c r="C100" s="35" t="n">
        <v>0.0008</v>
      </c>
    </row>
    <row r="101" customFormat="false" ht="15" hidden="false" customHeight="false" outlineLevel="0" collapsed="false">
      <c r="A101" s="5" t="n">
        <v>1929</v>
      </c>
      <c r="B101" s="25" t="n">
        <f aca="false">B100*(1+0.0001+MAX(($E$2-36),0)*0.0001+C100)</f>
        <v>483006.939260258</v>
      </c>
      <c r="C101" s="35" t="n">
        <v>0.0008</v>
      </c>
    </row>
    <row r="102" customFormat="false" ht="15" hidden="false" customHeight="false" outlineLevel="0" collapsed="false">
      <c r="A102" s="5" t="n">
        <v>1930</v>
      </c>
      <c r="B102" s="25" t="n">
        <f aca="false">B101*(1+0.0001+MAX(($E$2-36),0)*0.0001+C101)</f>
        <v>483441.645505593</v>
      </c>
      <c r="C102" s="35" t="n">
        <v>0.0008</v>
      </c>
    </row>
    <row r="103" customFormat="false" ht="15" hidden="false" customHeight="false" outlineLevel="0" collapsed="false">
      <c r="A103" s="5" t="n">
        <v>1931</v>
      </c>
      <c r="B103" s="25" t="n">
        <f aca="false">B102*(1+0.0001+MAX(($E$2-36),0)*0.0001+C102)</f>
        <v>483876.742986548</v>
      </c>
      <c r="C103" s="35" t="n">
        <v>0.0008</v>
      </c>
    </row>
    <row r="104" customFormat="false" ht="15" hidden="false" customHeight="false" outlineLevel="0" collapsed="false">
      <c r="A104" s="5" t="n">
        <v>1932</v>
      </c>
      <c r="B104" s="25" t="n">
        <f aca="false">B103*(1+0.0001+MAX(($E$2-36),0)*0.0001+C103)</f>
        <v>484312.232055235</v>
      </c>
      <c r="C104" s="35" t="n">
        <v>0.0008</v>
      </c>
    </row>
    <row r="105" customFormat="false" ht="15" hidden="false" customHeight="false" outlineLevel="0" collapsed="false">
      <c r="A105" s="5" t="n">
        <v>1933</v>
      </c>
      <c r="B105" s="25" t="n">
        <f aca="false">B104*(1+0.0001+MAX(($E$2-36),0)*0.0001+C104)</f>
        <v>484748.113064085</v>
      </c>
      <c r="C105" s="35" t="n">
        <v>0.0008</v>
      </c>
    </row>
    <row r="106" customFormat="false" ht="15" hidden="false" customHeight="false" outlineLevel="0" collapsed="false">
      <c r="A106" s="5" t="n">
        <v>1934</v>
      </c>
      <c r="B106" s="25" t="n">
        <f aca="false">B105*(1+0.0001+MAX(($E$2-36),0)*0.0001+C105)</f>
        <v>485184.386365843</v>
      </c>
      <c r="C106" s="35" t="n">
        <v>0.0008</v>
      </c>
    </row>
    <row r="107" customFormat="false" ht="15" hidden="false" customHeight="false" outlineLevel="0" collapsed="false">
      <c r="A107" s="5" t="n">
        <v>1935</v>
      </c>
      <c r="B107" s="25" t="n">
        <f aca="false">B106*(1+0.0001+MAX(($E$2-36),0)*0.0001+C106)</f>
        <v>485621.052313572</v>
      </c>
      <c r="C107" s="35" t="n">
        <v>0.0008</v>
      </c>
    </row>
    <row r="108" customFormat="false" ht="15" hidden="false" customHeight="false" outlineLevel="0" collapsed="false">
      <c r="A108" s="5" t="n">
        <v>1936</v>
      </c>
      <c r="B108" s="25" t="n">
        <f aca="false">B107*(1+0.0001+MAX(($E$2-36),0)*0.0001+C107)</f>
        <v>486058.111260654</v>
      </c>
      <c r="C108" s="35" t="n">
        <v>0.0008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3" activeCellId="0" sqref="K3"/>
    </sheetView>
  </sheetViews>
  <sheetFormatPr defaultColWidth="8.85546875" defaultRowHeight="15" zeroHeight="false" outlineLevelRow="0" outlineLevelCol="0"/>
  <cols>
    <col collapsed="false" customWidth="true" hidden="false" outlineLevel="0" max="9" min="9" style="0" width="9"/>
    <col collapsed="false" customWidth="true" hidden="false" outlineLevel="0" max="13" min="13" style="0" width="9"/>
    <col collapsed="false" customWidth="true" hidden="false" outlineLevel="0" max="14" min="14" style="0" width="16.42"/>
    <col collapsed="false" customWidth="true" hidden="false" outlineLevel="0" max="18" min="18" style="0" width="4.42"/>
    <col collapsed="false" customWidth="true" hidden="false" outlineLevel="0" max="19" min="19" style="0" width="10.28"/>
  </cols>
  <sheetData>
    <row r="1" customFormat="false" ht="15" hidden="false" customHeight="false" outlineLevel="0" collapsed="false">
      <c r="A1" s="36" t="s">
        <v>180</v>
      </c>
      <c r="B1" s="36"/>
      <c r="C1" s="36"/>
      <c r="D1" s="36" t="s">
        <v>181</v>
      </c>
      <c r="E1" s="36" t="s">
        <v>182</v>
      </c>
      <c r="F1" s="36" t="s">
        <v>183</v>
      </c>
      <c r="G1" s="36" t="s">
        <v>184</v>
      </c>
      <c r="H1" s="36" t="s">
        <v>185</v>
      </c>
      <c r="I1" s="36" t="s">
        <v>186</v>
      </c>
      <c r="K1" s="36" t="s">
        <v>187</v>
      </c>
      <c r="L1" s="36"/>
      <c r="N1" s="36" t="s">
        <v>188</v>
      </c>
      <c r="O1" s="36" t="s">
        <v>182</v>
      </c>
      <c r="P1" s="36" t="s">
        <v>185</v>
      </c>
      <c r="R1" s="36" t="s">
        <v>186</v>
      </c>
      <c r="S1" s="36" t="s">
        <v>189</v>
      </c>
    </row>
    <row r="2" customFormat="false" ht="15" hidden="false" customHeight="false" outlineLevel="0" collapsed="false">
      <c r="A2" s="36" t="s">
        <v>190</v>
      </c>
      <c r="B2" s="36"/>
      <c r="C2" s="36"/>
      <c r="D2" s="37" t="n">
        <v>1</v>
      </c>
      <c r="E2" s="38" t="n">
        <v>1.5</v>
      </c>
      <c r="F2" s="39" t="n">
        <v>0</v>
      </c>
      <c r="G2" s="39" t="n">
        <v>5</v>
      </c>
      <c r="H2" s="39" t="n">
        <v>30</v>
      </c>
      <c r="I2" s="39" t="n">
        <v>5</v>
      </c>
      <c r="K2" s="36" t="s">
        <v>191</v>
      </c>
      <c r="L2" s="36" t="s">
        <v>192</v>
      </c>
      <c r="N2" s="36" t="s">
        <v>193</v>
      </c>
      <c r="O2" s="38" t="n">
        <f aca="false">IF(E2=0,1,E2+1.5)</f>
        <v>3</v>
      </c>
      <c r="P2" s="38" t="n">
        <f aca="false">H2/100</f>
        <v>0.3</v>
      </c>
      <c r="R2" s="36" t="n">
        <v>0</v>
      </c>
      <c r="S2" s="36" t="n">
        <v>36</v>
      </c>
    </row>
    <row r="3" customFormat="false" ht="15" hidden="false" customHeight="false" outlineLevel="0" collapsed="false">
      <c r="A3" s="36" t="s">
        <v>194</v>
      </c>
      <c r="B3" s="36" t="s">
        <v>195</v>
      </c>
      <c r="C3" s="36"/>
      <c r="D3" s="37"/>
      <c r="E3" s="38"/>
      <c r="F3" s="39"/>
      <c r="G3" s="39"/>
      <c r="H3" s="39"/>
      <c r="I3" s="39"/>
      <c r="K3" s="40" t="n">
        <f aca="false">3000/3000*VLOOKUP(MAX(D2+I2,0),R2:S23,2,TRUE())*N3/10/(O10+IF(F10=0,0,(F10-G2)/10)/(1+P10))</f>
        <v>224.25</v>
      </c>
      <c r="L3" s="40" t="n">
        <f aca="false">3000/3000*VLOOKUP(MAX(D2+I2,0),R2:S23,2,TRUE())*N6/10/(O10+IF(F10=0,0,(F10-G2)/10)/(1+P10))</f>
        <v>401.45625</v>
      </c>
      <c r="N3" s="36" t="n">
        <f aca="false">A4+10</f>
        <v>46</v>
      </c>
      <c r="O3" s="41"/>
      <c r="P3" s="41"/>
      <c r="R3" s="36" t="n">
        <v>1</v>
      </c>
      <c r="S3" s="36" t="n">
        <v>48</v>
      </c>
    </row>
    <row r="4" customFormat="false" ht="15" hidden="false" customHeight="false" outlineLevel="0" collapsed="false">
      <c r="A4" s="42" t="n">
        <v>36</v>
      </c>
      <c r="B4" s="38" t="n">
        <v>1</v>
      </c>
      <c r="C4" s="38"/>
      <c r="D4" s="37"/>
      <c r="E4" s="38"/>
      <c r="F4" s="39"/>
      <c r="G4" s="39"/>
      <c r="H4" s="39"/>
      <c r="I4" s="39"/>
      <c r="K4" s="40" t="n">
        <f aca="false">K3+L3</f>
        <v>625.70625</v>
      </c>
      <c r="L4" s="40"/>
      <c r="R4" s="36" t="n">
        <v>2</v>
      </c>
      <c r="S4" s="36" t="n">
        <v>60</v>
      </c>
    </row>
    <row r="5" customFormat="false" ht="15" hidden="false" customHeight="false" outlineLevel="0" collapsed="false">
      <c r="A5" s="36" t="s">
        <v>196</v>
      </c>
      <c r="B5" s="36"/>
      <c r="C5" s="36"/>
      <c r="D5" s="37"/>
      <c r="E5" s="38"/>
      <c r="F5" s="39"/>
      <c r="G5" s="39"/>
      <c r="H5" s="39"/>
      <c r="I5" s="39"/>
      <c r="N5" s="36" t="s">
        <v>197</v>
      </c>
      <c r="R5" s="36" t="n">
        <v>3</v>
      </c>
      <c r="S5" s="36" t="n">
        <v>72</v>
      </c>
    </row>
    <row r="6" customFormat="false" ht="15" hidden="false" customHeight="false" outlineLevel="0" collapsed="false">
      <c r="A6" s="36" t="s">
        <v>194</v>
      </c>
      <c r="B6" s="36" t="s">
        <v>198</v>
      </c>
      <c r="C6" s="36" t="s">
        <v>195</v>
      </c>
      <c r="D6" s="37"/>
      <c r="E6" s="38"/>
      <c r="F6" s="39"/>
      <c r="G6" s="39"/>
      <c r="H6" s="39"/>
      <c r="I6" s="39"/>
      <c r="N6" s="36" t="n">
        <f aca="false">(A7+10)*B7</f>
        <v>82.35</v>
      </c>
      <c r="R6" s="36" t="n">
        <v>4</v>
      </c>
      <c r="S6" s="36" t="n">
        <v>96</v>
      </c>
    </row>
    <row r="7" customFormat="false" ht="15" hidden="false" customHeight="false" outlineLevel="0" collapsed="false">
      <c r="A7" s="42" t="n">
        <v>8.3</v>
      </c>
      <c r="B7" s="38" t="n">
        <v>4.5</v>
      </c>
      <c r="C7" s="38" t="n">
        <v>1</v>
      </c>
      <c r="D7" s="37"/>
      <c r="E7" s="38"/>
      <c r="F7" s="39"/>
      <c r="G7" s="39"/>
      <c r="H7" s="39"/>
      <c r="I7" s="39"/>
      <c r="K7" s="38" t="n">
        <f aca="false">K4/K12</f>
        <v>0.566762907608696</v>
      </c>
      <c r="L7" s="38"/>
      <c r="R7" s="36" t="n">
        <v>5</v>
      </c>
      <c r="S7" s="36" t="n">
        <v>120</v>
      </c>
    </row>
    <row r="8" customFormat="false" ht="15" hidden="false" customHeight="false" outlineLevel="0" collapsed="false">
      <c r="R8" s="36" t="n">
        <v>6</v>
      </c>
      <c r="S8" s="36" t="n">
        <v>150</v>
      </c>
    </row>
    <row r="9" customFormat="false" ht="15" hidden="false" customHeight="false" outlineLevel="0" collapsed="false">
      <c r="A9" s="36" t="s">
        <v>199</v>
      </c>
      <c r="B9" s="36"/>
      <c r="C9" s="36"/>
      <c r="D9" s="36" t="s">
        <v>181</v>
      </c>
      <c r="E9" s="36" t="s">
        <v>182</v>
      </c>
      <c r="F9" s="36" t="s">
        <v>183</v>
      </c>
      <c r="G9" s="36" t="s">
        <v>184</v>
      </c>
      <c r="H9" s="36" t="s">
        <v>185</v>
      </c>
      <c r="I9" s="36" t="s">
        <v>186</v>
      </c>
      <c r="K9" s="36" t="s">
        <v>200</v>
      </c>
      <c r="L9" s="36"/>
      <c r="N9" s="36" t="s">
        <v>188</v>
      </c>
      <c r="O9" s="36" t="s">
        <v>182</v>
      </c>
      <c r="P9" s="36" t="s">
        <v>185</v>
      </c>
      <c r="R9" s="36" t="n">
        <v>7</v>
      </c>
      <c r="S9" s="36" t="n">
        <v>180</v>
      </c>
    </row>
    <row r="10" customFormat="false" ht="15" hidden="false" customHeight="false" outlineLevel="0" collapsed="false">
      <c r="A10" s="36" t="s">
        <v>190</v>
      </c>
      <c r="B10" s="36"/>
      <c r="C10" s="36"/>
      <c r="D10" s="37" t="n">
        <v>2</v>
      </c>
      <c r="E10" s="38" t="n">
        <v>1.5</v>
      </c>
      <c r="F10" s="39" t="n">
        <v>6</v>
      </c>
      <c r="G10" s="39" t="n">
        <v>0</v>
      </c>
      <c r="H10" s="39" t="n">
        <v>30</v>
      </c>
      <c r="I10" s="39" t="n">
        <v>5</v>
      </c>
      <c r="K10" s="36" t="s">
        <v>191</v>
      </c>
      <c r="L10" s="36" t="s">
        <v>192</v>
      </c>
      <c r="N10" s="36" t="s">
        <v>201</v>
      </c>
      <c r="O10" s="38" t="n">
        <f aca="false">IF(E10=0,1,E10+1.5)</f>
        <v>3</v>
      </c>
      <c r="P10" s="38" t="n">
        <f aca="false">H10/100</f>
        <v>0.3</v>
      </c>
      <c r="R10" s="36" t="n">
        <v>8</v>
      </c>
      <c r="S10" s="36" t="n">
        <v>210</v>
      </c>
    </row>
    <row r="11" customFormat="false" ht="15" hidden="false" customHeight="false" outlineLevel="0" collapsed="false">
      <c r="A11" s="36" t="s">
        <v>202</v>
      </c>
      <c r="B11" s="36" t="s">
        <v>195</v>
      </c>
      <c r="C11" s="36"/>
      <c r="D11" s="37"/>
      <c r="E11" s="38"/>
      <c r="F11" s="39"/>
      <c r="G11" s="39"/>
      <c r="H11" s="39"/>
      <c r="I11" s="39"/>
      <c r="K11" s="40" t="n">
        <f aca="false">3000/3000*VLOOKUP(MAX(D10+I10,0),R2:S23,2,TRUE())*N11/10/(O2+IF(F2=0,0,(F2-G10)/10)/(1+P2))</f>
        <v>204</v>
      </c>
      <c r="L11" s="40" t="n">
        <f aca="false">3000/3000*VLOOKUP(MAX(D10+I10,0),R2:S23,2,TRUE())*N14/10/(O2+IF(F2=0,0,(F2-G10)/10)/(1+P2))</f>
        <v>900</v>
      </c>
      <c r="N11" s="36" t="n">
        <f aca="false">A12+10</f>
        <v>34</v>
      </c>
      <c r="O11" s="41"/>
      <c r="P11" s="41"/>
      <c r="R11" s="36" t="n">
        <v>9</v>
      </c>
      <c r="S11" s="36" t="n">
        <v>240</v>
      </c>
    </row>
    <row r="12" customFormat="false" ht="15" hidden="false" customHeight="false" outlineLevel="0" collapsed="false">
      <c r="A12" s="42" t="n">
        <v>24</v>
      </c>
      <c r="B12" s="38" t="n">
        <v>1</v>
      </c>
      <c r="C12" s="38"/>
      <c r="D12" s="37"/>
      <c r="E12" s="38"/>
      <c r="F12" s="39"/>
      <c r="G12" s="39"/>
      <c r="H12" s="39"/>
      <c r="I12" s="39"/>
      <c r="K12" s="40" t="n">
        <f aca="false">K11+L11</f>
        <v>1104</v>
      </c>
      <c r="L12" s="40"/>
      <c r="R12" s="36" t="n">
        <v>10</v>
      </c>
      <c r="S12" s="36" t="n">
        <v>270</v>
      </c>
    </row>
    <row r="13" customFormat="false" ht="15" hidden="false" customHeight="false" outlineLevel="0" collapsed="false">
      <c r="A13" s="36" t="s">
        <v>196</v>
      </c>
      <c r="B13" s="36"/>
      <c r="C13" s="36"/>
      <c r="D13" s="37"/>
      <c r="E13" s="38"/>
      <c r="F13" s="39"/>
      <c r="G13" s="39"/>
      <c r="H13" s="39"/>
      <c r="I13" s="39"/>
      <c r="N13" s="36" t="s">
        <v>203</v>
      </c>
      <c r="R13" s="36" t="n">
        <v>11</v>
      </c>
      <c r="S13" s="36" t="n">
        <v>300</v>
      </c>
    </row>
    <row r="14" customFormat="false" ht="15" hidden="false" customHeight="false" outlineLevel="0" collapsed="false">
      <c r="A14" s="36" t="s">
        <v>202</v>
      </c>
      <c r="B14" s="36" t="s">
        <v>198</v>
      </c>
      <c r="C14" s="36" t="s">
        <v>195</v>
      </c>
      <c r="D14" s="37"/>
      <c r="E14" s="38"/>
      <c r="F14" s="39"/>
      <c r="G14" s="39"/>
      <c r="H14" s="39"/>
      <c r="I14" s="39"/>
      <c r="N14" s="36" t="n">
        <f aca="false">(A15+10)*B15</f>
        <v>150</v>
      </c>
      <c r="R14" s="36" t="n">
        <v>12</v>
      </c>
      <c r="S14" s="36" t="n">
        <v>330</v>
      </c>
    </row>
    <row r="15" customFormat="false" ht="15" hidden="false" customHeight="false" outlineLevel="0" collapsed="false">
      <c r="A15" s="42" t="n">
        <v>15</v>
      </c>
      <c r="B15" s="38" t="n">
        <v>6</v>
      </c>
      <c r="C15" s="38" t="n">
        <v>0.1</v>
      </c>
      <c r="D15" s="37"/>
      <c r="E15" s="38"/>
      <c r="F15" s="39"/>
      <c r="G15" s="39"/>
      <c r="H15" s="39"/>
      <c r="I15" s="39"/>
      <c r="K15" s="38" t="n">
        <f aca="false">K12/K4</f>
        <v>1.7644062209703</v>
      </c>
      <c r="L15" s="38"/>
      <c r="R15" s="36" t="n">
        <v>13</v>
      </c>
      <c r="S15" s="36" t="n">
        <v>360</v>
      </c>
    </row>
    <row r="16" customFormat="false" ht="15" hidden="false" customHeight="false" outlineLevel="0" collapsed="false">
      <c r="R16" s="36" t="n">
        <v>14</v>
      </c>
      <c r="S16" s="36" t="n">
        <v>390</v>
      </c>
    </row>
    <row r="17" customFormat="false" ht="15" hidden="false" customHeight="false" outlineLevel="0" collapsed="false">
      <c r="J17" s="0" t="n">
        <v>0</v>
      </c>
      <c r="K17" s="0" t="n">
        <v>216</v>
      </c>
      <c r="L17" s="0" t="n">
        <v>216</v>
      </c>
      <c r="R17" s="36" t="n">
        <v>15</v>
      </c>
      <c r="S17" s="36" t="n">
        <v>420</v>
      </c>
    </row>
    <row r="18" customFormat="false" ht="15" hidden="false" customHeight="false" outlineLevel="0" collapsed="false">
      <c r="J18" s="0" t="n">
        <v>1</v>
      </c>
      <c r="K18" s="0" t="n">
        <v>309</v>
      </c>
      <c r="L18" s="0" t="n">
        <v>422</v>
      </c>
      <c r="R18" s="36" t="n">
        <v>16</v>
      </c>
      <c r="S18" s="36" t="n">
        <v>450</v>
      </c>
    </row>
    <row r="19" customFormat="false" ht="15" hidden="false" customHeight="false" outlineLevel="0" collapsed="false">
      <c r="J19" s="0" t="n">
        <v>2</v>
      </c>
      <c r="R19" s="36" t="n">
        <v>17</v>
      </c>
      <c r="S19" s="36" t="n">
        <v>480</v>
      </c>
    </row>
    <row r="20" customFormat="false" ht="15" hidden="false" customHeight="false" outlineLevel="0" collapsed="false">
      <c r="A20" s="43"/>
      <c r="J20" s="0" t="n">
        <v>3</v>
      </c>
      <c r="R20" s="36" t="n">
        <v>18</v>
      </c>
      <c r="S20" s="36" t="n">
        <v>510</v>
      </c>
    </row>
    <row r="21" customFormat="false" ht="15" hidden="false" customHeight="false" outlineLevel="0" collapsed="false">
      <c r="J21" s="0" t="n">
        <v>4</v>
      </c>
      <c r="K21" s="0" t="n">
        <v>399</v>
      </c>
      <c r="L21" s="0" t="n">
        <v>540</v>
      </c>
      <c r="R21" s="36" t="n">
        <v>19</v>
      </c>
      <c r="S21" s="36" t="n">
        <v>540</v>
      </c>
    </row>
    <row r="22" customFormat="false" ht="15" hidden="false" customHeight="false" outlineLevel="0" collapsed="false">
      <c r="J22" s="0" t="n">
        <v>5</v>
      </c>
      <c r="K22" s="0" t="n">
        <v>463</v>
      </c>
      <c r="L22" s="0" t="n">
        <v>753</v>
      </c>
      <c r="R22" s="36" t="n">
        <v>20</v>
      </c>
      <c r="S22" s="36" t="n">
        <v>570</v>
      </c>
    </row>
    <row r="23" customFormat="false" ht="15" hidden="false" customHeight="false" outlineLevel="0" collapsed="false">
      <c r="J23" s="0" t="n">
        <v>6</v>
      </c>
      <c r="K23" s="0" t="n">
        <v>626</v>
      </c>
      <c r="L23" s="0" t="n">
        <v>1104</v>
      </c>
      <c r="R23" s="36" t="n">
        <v>21</v>
      </c>
      <c r="S23" s="36" t="n">
        <v>600</v>
      </c>
    </row>
  </sheetData>
  <mergeCells count="28"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B14" activeCellId="0" sqref="B14"/>
    </sheetView>
  </sheetViews>
  <sheetFormatPr defaultColWidth="13.4765625" defaultRowHeight="12.8" zeroHeight="false" outlineLevelRow="0" outlineLevelCol="0"/>
  <cols>
    <col collapsed="false" customWidth="true" hidden="false" outlineLevel="0" max="7" min="7" style="0" width="4.76"/>
    <col collapsed="false" customWidth="true" hidden="false" outlineLevel="0" max="8" min="8" style="0" width="13.53"/>
    <col collapsed="false" customWidth="true" hidden="false" outlineLevel="0" max="9" min="9" style="0" width="14.95"/>
    <col collapsed="false" customWidth="true" hidden="false" outlineLevel="0" max="10" min="10" style="0" width="6.06"/>
  </cols>
  <sheetData>
    <row r="1" customFormat="false" ht="13.8" hidden="false" customHeight="false" outlineLevel="0" collapsed="false">
      <c r="A1" s="44" t="s">
        <v>204</v>
      </c>
      <c r="B1" s="44" t="s">
        <v>205</v>
      </c>
      <c r="C1" s="44" t="s">
        <v>206</v>
      </c>
      <c r="D1" s="44" t="s">
        <v>207</v>
      </c>
      <c r="E1" s="44" t="s">
        <v>208</v>
      </c>
      <c r="G1" s="45" t="s">
        <v>209</v>
      </c>
      <c r="H1" s="45" t="s">
        <v>207</v>
      </c>
      <c r="I1" s="45" t="s">
        <v>210</v>
      </c>
      <c r="J1" s="45" t="s">
        <v>95</v>
      </c>
      <c r="K1" s="45" t="s">
        <v>211</v>
      </c>
      <c r="L1" s="45" t="s">
        <v>212</v>
      </c>
      <c r="M1" s="45" t="s">
        <v>213</v>
      </c>
    </row>
    <row r="2" customFormat="false" ht="13.8" hidden="false" customHeight="false" outlineLevel="0" collapsed="false">
      <c r="A2" s="46" t="s">
        <v>214</v>
      </c>
      <c r="B2" s="47" t="n">
        <f aca="false">SUM(B3:B11)</f>
        <v>515190</v>
      </c>
      <c r="C2" s="48" t="n">
        <f aca="false">SUM(C3:C11)</f>
        <v>1</v>
      </c>
      <c r="D2" s="46"/>
      <c r="E2" s="49" t="n">
        <f aca="false">SUM(E3:E11)</f>
        <v>46.769615</v>
      </c>
      <c r="H2" s="45" t="s">
        <v>126</v>
      </c>
      <c r="I2" s="45" t="n">
        <f aca="false">J2*K2</f>
        <v>3.4</v>
      </c>
      <c r="J2" s="45" t="n">
        <v>1.7</v>
      </c>
      <c r="K2" s="45" t="n">
        <v>2</v>
      </c>
      <c r="L2" s="45" t="n">
        <f aca="false">K2*0.5</f>
        <v>1</v>
      </c>
      <c r="M2" s="45" t="n">
        <f aca="false">K2*1.5</f>
        <v>3</v>
      </c>
    </row>
    <row r="3" customFormat="false" ht="13.8" hidden="false" customHeight="false" outlineLevel="0" collapsed="false">
      <c r="A3" s="50" t="s">
        <v>215</v>
      </c>
      <c r="B3" s="51" t="n">
        <v>43950</v>
      </c>
      <c r="C3" s="52" t="n">
        <f aca="false">B3/$B$2</f>
        <v>0.0853083328480755</v>
      </c>
      <c r="D3" s="53" t="s">
        <v>128</v>
      </c>
      <c r="E3" s="54" t="n">
        <f aca="false">B3/40000*VLOOKUP(D3,$H$2:$I$29,2,0)</f>
        <v>3.516</v>
      </c>
      <c r="H3" s="0" t="s">
        <v>120</v>
      </c>
      <c r="I3" s="0" t="n">
        <f aca="false">J3*K3</f>
        <v>5.52</v>
      </c>
      <c r="J3" s="0" t="n">
        <v>2.4</v>
      </c>
      <c r="K3" s="0" t="n">
        <v>2.3</v>
      </c>
      <c r="L3" s="0" t="n">
        <f aca="false">K3*0.5</f>
        <v>1.15</v>
      </c>
      <c r="M3" s="0" t="n">
        <f aca="false">K3*1.5</f>
        <v>3.45</v>
      </c>
    </row>
    <row r="4" customFormat="false" ht="13.8" hidden="false" customHeight="false" outlineLevel="0" collapsed="false">
      <c r="A4" s="50" t="s">
        <v>216</v>
      </c>
      <c r="B4" s="51" t="n">
        <v>83630</v>
      </c>
      <c r="C4" s="52" t="n">
        <f aca="false">B4/$B$2</f>
        <v>0.162328461344358</v>
      </c>
      <c r="D4" s="53" t="s">
        <v>125</v>
      </c>
      <c r="E4" s="54" t="n">
        <f aca="false">B4/40000*VLOOKUP(D4,$H$2:$I$29,2,0)</f>
        <v>7.5267</v>
      </c>
      <c r="H4" s="0" t="s">
        <v>130</v>
      </c>
      <c r="I4" s="0" t="n">
        <f aca="false">J4*K4</f>
        <v>3.15</v>
      </c>
      <c r="J4" s="0" t="n">
        <v>1.5</v>
      </c>
      <c r="K4" s="0" t="n">
        <v>2.1</v>
      </c>
      <c r="L4" s="0" t="n">
        <f aca="false">K4*0.5</f>
        <v>1.05</v>
      </c>
      <c r="M4" s="0" t="n">
        <f aca="false">K4*1.5</f>
        <v>3.15</v>
      </c>
    </row>
    <row r="5" customFormat="false" ht="13.8" hidden="false" customHeight="false" outlineLevel="0" collapsed="false">
      <c r="A5" s="50" t="s">
        <v>217</v>
      </c>
      <c r="B5" s="51" t="n">
        <v>48300</v>
      </c>
      <c r="C5" s="52" t="n">
        <f aca="false">B5/$B$2</f>
        <v>0.0937518197169976</v>
      </c>
      <c r="D5" s="53" t="s">
        <v>125</v>
      </c>
      <c r="E5" s="54" t="n">
        <f aca="false">B5/40000*VLOOKUP(D5,$H$2:$I$29,2,0)</f>
        <v>4.347</v>
      </c>
      <c r="H5" s="0" t="s">
        <v>125</v>
      </c>
      <c r="I5" s="0" t="n">
        <f aca="false">J5*K5</f>
        <v>3.6</v>
      </c>
      <c r="J5" s="0" t="n">
        <v>1.8</v>
      </c>
      <c r="K5" s="0" t="n">
        <v>2</v>
      </c>
      <c r="L5" s="0" t="n">
        <f aca="false">K5*0.5</f>
        <v>1</v>
      </c>
      <c r="M5" s="0" t="n">
        <f aca="false">K5*1.5</f>
        <v>3</v>
      </c>
    </row>
    <row r="6" customFormat="false" ht="13.8" hidden="false" customHeight="false" outlineLevel="0" collapsed="false">
      <c r="A6" s="50" t="s">
        <v>218</v>
      </c>
      <c r="B6" s="51" t="n">
        <v>37120</v>
      </c>
      <c r="C6" s="52" t="n">
        <f aca="false">B6/$B$2</f>
        <v>0.0720510879481356</v>
      </c>
      <c r="D6" s="53" t="s">
        <v>124</v>
      </c>
      <c r="E6" s="54" t="n">
        <f aca="false">B6/40000*VLOOKUP(D6,$H$2:$I$29,2,0)</f>
        <v>3.47072</v>
      </c>
      <c r="H6" s="0" t="s">
        <v>128</v>
      </c>
      <c r="I6" s="0" t="n">
        <f aca="false">J6*K6</f>
        <v>3.2</v>
      </c>
      <c r="J6" s="0" t="n">
        <v>1</v>
      </c>
      <c r="K6" s="0" t="n">
        <v>3.2</v>
      </c>
      <c r="L6" s="0" t="n">
        <f aca="false">K6*0.5</f>
        <v>1.6</v>
      </c>
      <c r="M6" s="0" t="n">
        <f aca="false">K6*1.5</f>
        <v>4.8</v>
      </c>
    </row>
    <row r="7" customFormat="false" ht="13.8" hidden="false" customHeight="false" outlineLevel="0" collapsed="false">
      <c r="A7" s="50" t="s">
        <v>219</v>
      </c>
      <c r="B7" s="51" t="n">
        <v>73880</v>
      </c>
      <c r="C7" s="52" t="n">
        <f aca="false">B7/$B$2</f>
        <v>0.143403404569188</v>
      </c>
      <c r="D7" s="53" t="s">
        <v>125</v>
      </c>
      <c r="E7" s="54" t="n">
        <f aca="false">B7/40000*VLOOKUP(D7,$H$2:$I$29,2,0)</f>
        <v>6.6492</v>
      </c>
      <c r="H7" s="0" t="s">
        <v>132</v>
      </c>
      <c r="I7" s="0" t="n">
        <f aca="false">J7*K7</f>
        <v>2.64</v>
      </c>
      <c r="J7" s="0" t="n">
        <v>0.22</v>
      </c>
      <c r="K7" s="0" t="n">
        <v>12</v>
      </c>
      <c r="L7" s="0" t="n">
        <f aca="false">K7*0.5</f>
        <v>6</v>
      </c>
      <c r="M7" s="0" t="n">
        <f aca="false">K7*1.5</f>
        <v>18</v>
      </c>
    </row>
    <row r="8" customFormat="false" ht="13.8" hidden="false" customHeight="false" outlineLevel="0" collapsed="false">
      <c r="A8" s="50" t="s">
        <v>220</v>
      </c>
      <c r="B8" s="51" t="n">
        <v>99070</v>
      </c>
      <c r="C8" s="52" t="n">
        <f aca="false">B8/$B$2</f>
        <v>0.192297987150372</v>
      </c>
      <c r="D8" s="53" t="s">
        <v>124</v>
      </c>
      <c r="E8" s="54" t="n">
        <f aca="false">B8/40000*VLOOKUP(D8,$H$2:$I$29,2,0)</f>
        <v>9.263045</v>
      </c>
      <c r="H8" s="0" t="s">
        <v>129</v>
      </c>
      <c r="I8" s="0" t="n">
        <f aca="false">J8*K8</f>
        <v>3.15</v>
      </c>
      <c r="J8" s="0" t="n">
        <v>2.1</v>
      </c>
      <c r="K8" s="0" t="n">
        <v>1.5</v>
      </c>
      <c r="L8" s="0" t="n">
        <f aca="false">K8*0.5</f>
        <v>0.75</v>
      </c>
      <c r="M8" s="0" t="n">
        <f aca="false">K8*1.5</f>
        <v>2.25</v>
      </c>
    </row>
    <row r="9" customFormat="false" ht="13.8" hidden="false" customHeight="false" outlineLevel="0" collapsed="false">
      <c r="A9" s="50" t="s">
        <v>221</v>
      </c>
      <c r="B9" s="51" t="n">
        <v>71540</v>
      </c>
      <c r="C9" s="52" t="n">
        <f aca="false">B9/$B$2</f>
        <v>0.138861390943147</v>
      </c>
      <c r="D9" s="53" t="s">
        <v>126</v>
      </c>
      <c r="E9" s="54" t="n">
        <f aca="false">B9/40000*VLOOKUP(D9,$H$2:$I$29,2,0)</f>
        <v>6.0809</v>
      </c>
      <c r="H9" s="0" t="s">
        <v>124</v>
      </c>
      <c r="I9" s="0" t="n">
        <f aca="false">J9*K9</f>
        <v>3.74</v>
      </c>
      <c r="J9" s="0" t="n">
        <v>1.7</v>
      </c>
      <c r="K9" s="0" t="n">
        <v>2.2</v>
      </c>
      <c r="L9" s="0" t="n">
        <f aca="false">K9*0.5</f>
        <v>1.1</v>
      </c>
      <c r="M9" s="0" t="n">
        <f aca="false">K9*1.5</f>
        <v>3.3</v>
      </c>
    </row>
    <row r="10" customFormat="false" ht="13.8" hidden="false" customHeight="false" outlineLevel="0" collapsed="false">
      <c r="A10" s="50" t="s">
        <v>222</v>
      </c>
      <c r="B10" s="51" t="n">
        <v>45950</v>
      </c>
      <c r="C10" s="52" t="n">
        <f aca="false">B10/$B$2</f>
        <v>0.0891903957763155</v>
      </c>
      <c r="D10" s="53" t="s">
        <v>127</v>
      </c>
      <c r="E10" s="54" t="n">
        <f aca="false">B10/40000*VLOOKUP(D10,$H$2:$I$29,2,0)</f>
        <v>3.8598</v>
      </c>
      <c r="H10" s="0" t="s">
        <v>119</v>
      </c>
      <c r="I10" s="0" t="n">
        <f aca="false">J10*K10</f>
        <v>7</v>
      </c>
      <c r="J10" s="0" t="n">
        <v>2</v>
      </c>
      <c r="K10" s="0" t="n">
        <v>3.5</v>
      </c>
      <c r="L10" s="0" t="n">
        <f aca="false">K10*0.5</f>
        <v>1.75</v>
      </c>
      <c r="M10" s="0" t="n">
        <f aca="false">K10*1.5</f>
        <v>5.25</v>
      </c>
    </row>
    <row r="11" customFormat="false" ht="13.8" hidden="false" customHeight="false" outlineLevel="0" collapsed="false">
      <c r="A11" s="50" t="s">
        <v>223</v>
      </c>
      <c r="B11" s="51" t="n">
        <v>11750</v>
      </c>
      <c r="C11" s="52" t="n">
        <f aca="false">B11/$B$2</f>
        <v>0.0228071197034104</v>
      </c>
      <c r="D11" s="53" t="s">
        <v>119</v>
      </c>
      <c r="E11" s="54" t="n">
        <f aca="false">B11/40000*VLOOKUP(D11,$H$2:$I$29,2,0)</f>
        <v>2.05625</v>
      </c>
      <c r="H11" s="0" t="s">
        <v>117</v>
      </c>
      <c r="I11" s="0" t="n">
        <f aca="false">J11*K11</f>
        <v>12</v>
      </c>
      <c r="J11" s="0" t="n">
        <v>1</v>
      </c>
      <c r="K11" s="0" t="n">
        <v>12</v>
      </c>
      <c r="L11" s="0" t="n">
        <f aca="false">K11*0.5</f>
        <v>6</v>
      </c>
      <c r="M11" s="0" t="n">
        <f aca="false">K11*1.5</f>
        <v>18</v>
      </c>
    </row>
    <row r="12" customFormat="false" ht="13.8" hidden="false" customHeight="false" outlineLevel="0" collapsed="false">
      <c r="H12" s="0" t="s">
        <v>134</v>
      </c>
      <c r="I12" s="0" t="n">
        <f aca="false">J12*K12</f>
        <v>2.24</v>
      </c>
      <c r="J12" s="0" t="n">
        <v>0.7</v>
      </c>
      <c r="K12" s="0" t="n">
        <v>3.2</v>
      </c>
      <c r="L12" s="0" t="n">
        <f aca="false">K12*0.5</f>
        <v>1.6</v>
      </c>
      <c r="M12" s="0" t="n">
        <f aca="false">K12*1.5</f>
        <v>4.8</v>
      </c>
    </row>
    <row r="13" customFormat="false" ht="13.8" hidden="false" customHeight="false" outlineLevel="0" collapsed="false">
      <c r="A13" s="0" t="s">
        <v>224</v>
      </c>
      <c r="B13" s="0" t="n">
        <f aca="false">32200*(1-0.1+0.031)</f>
        <v>29978.2</v>
      </c>
      <c r="D13" s="0" t="s">
        <v>126</v>
      </c>
      <c r="E13" s="55" t="n">
        <f aca="false">B13/40000*VLOOKUP(D13,$H$2:$I$29,2,0)</f>
        <v>2.548147</v>
      </c>
      <c r="H13" s="0" t="s">
        <v>122</v>
      </c>
      <c r="I13" s="0" t="n">
        <f aca="false">J13*K13</f>
        <v>4.86</v>
      </c>
      <c r="J13" s="0" t="n">
        <v>2.7</v>
      </c>
      <c r="K13" s="0" t="n">
        <v>1.8</v>
      </c>
      <c r="L13" s="0" t="n">
        <f aca="false">K13*0.5</f>
        <v>0.9</v>
      </c>
      <c r="M13" s="0" t="n">
        <f aca="false">K13*1.5</f>
        <v>2.7</v>
      </c>
    </row>
    <row r="14" customFormat="false" ht="13.8" hidden="false" customHeight="false" outlineLevel="0" collapsed="false">
      <c r="H14" s="0" t="s">
        <v>225</v>
      </c>
      <c r="I14" s="0" t="n">
        <f aca="false">J14*K14</f>
        <v>45</v>
      </c>
      <c r="J14" s="0" t="n">
        <v>2.25</v>
      </c>
      <c r="K14" s="0" t="n">
        <v>20</v>
      </c>
      <c r="L14" s="0" t="n">
        <f aca="false">K14*0.5</f>
        <v>10</v>
      </c>
      <c r="M14" s="0" t="n">
        <f aca="false">K14*1.5</f>
        <v>30</v>
      </c>
    </row>
    <row r="15" customFormat="false" ht="13.8" hidden="false" customHeight="false" outlineLevel="0" collapsed="false">
      <c r="H15" s="0" t="s">
        <v>105</v>
      </c>
      <c r="I15" s="0" t="n">
        <f aca="false">J15*K15</f>
        <v>60</v>
      </c>
      <c r="J15" s="0" t="n">
        <v>3</v>
      </c>
      <c r="K15" s="0" t="n">
        <v>20</v>
      </c>
      <c r="L15" s="0" t="n">
        <f aca="false">K15*0.5</f>
        <v>10</v>
      </c>
      <c r="M15" s="0" t="n">
        <f aca="false">K15*1.5</f>
        <v>30</v>
      </c>
    </row>
    <row r="16" customFormat="false" ht="13.8" hidden="false" customHeight="false" outlineLevel="0" collapsed="false">
      <c r="H16" s="0" t="s">
        <v>107</v>
      </c>
      <c r="I16" s="0" t="n">
        <f aca="false">J16*K16</f>
        <v>54</v>
      </c>
      <c r="J16" s="0" t="n">
        <v>3</v>
      </c>
      <c r="K16" s="0" t="n">
        <v>18</v>
      </c>
      <c r="L16" s="0" t="n">
        <f aca="false">K16*0.5</f>
        <v>9</v>
      </c>
      <c r="M16" s="0" t="n">
        <f aca="false">K16*1.5</f>
        <v>27</v>
      </c>
    </row>
    <row r="17" customFormat="false" ht="13.8" hidden="false" customHeight="false" outlineLevel="0" collapsed="false">
      <c r="H17" s="0" t="s">
        <v>109</v>
      </c>
      <c r="I17" s="0" t="n">
        <f aca="false">J17*K17</f>
        <v>54</v>
      </c>
      <c r="J17" s="0" t="n">
        <v>3</v>
      </c>
      <c r="K17" s="0" t="n">
        <v>18</v>
      </c>
      <c r="L17" s="0" t="n">
        <f aca="false">K17*0.5</f>
        <v>9</v>
      </c>
      <c r="M17" s="0" t="n">
        <f aca="false">K17*1.5</f>
        <v>27</v>
      </c>
    </row>
    <row r="18" customFormat="false" ht="13.8" hidden="false" customHeight="false" outlineLevel="0" collapsed="false">
      <c r="H18" s="0" t="s">
        <v>110</v>
      </c>
      <c r="I18" s="0" t="n">
        <f aca="false">J18*K18</f>
        <v>54</v>
      </c>
      <c r="J18" s="0" t="n">
        <v>3</v>
      </c>
      <c r="K18" s="0" t="n">
        <v>18</v>
      </c>
      <c r="L18" s="0" t="n">
        <f aca="false">K18*0.5</f>
        <v>9</v>
      </c>
      <c r="M18" s="0" t="n">
        <f aca="false">K18*1.5</f>
        <v>27</v>
      </c>
    </row>
    <row r="19" customFormat="false" ht="13.8" hidden="false" customHeight="false" outlineLevel="0" collapsed="false">
      <c r="H19" s="0" t="s">
        <v>114</v>
      </c>
      <c r="I19" s="0" t="n">
        <f aca="false">J19*K19</f>
        <v>30</v>
      </c>
      <c r="J19" s="0" t="n">
        <v>3</v>
      </c>
      <c r="K19" s="0" t="n">
        <v>10</v>
      </c>
      <c r="L19" s="0" t="n">
        <f aca="false">K19*0.5</f>
        <v>5</v>
      </c>
      <c r="M19" s="0" t="n">
        <f aca="false">K19*1.5</f>
        <v>15</v>
      </c>
    </row>
    <row r="20" customFormat="false" ht="13.8" hidden="false" customHeight="false" outlineLevel="0" collapsed="false">
      <c r="H20" s="0" t="s">
        <v>113</v>
      </c>
      <c r="I20" s="0" t="n">
        <f aca="false">J20*K20</f>
        <v>39</v>
      </c>
      <c r="J20" s="0" t="n">
        <v>3</v>
      </c>
      <c r="K20" s="0" t="n">
        <v>13</v>
      </c>
      <c r="L20" s="0" t="n">
        <f aca="false">K20*0.5</f>
        <v>6.5</v>
      </c>
      <c r="M20" s="0" t="n">
        <f aca="false">K20*1.5</f>
        <v>19.5</v>
      </c>
    </row>
    <row r="21" customFormat="false" ht="13.8" hidden="false" customHeight="false" outlineLevel="0" collapsed="false">
      <c r="H21" s="0" t="s">
        <v>111</v>
      </c>
      <c r="I21" s="0" t="n">
        <f aca="false">J21*K21</f>
        <v>54</v>
      </c>
      <c r="J21" s="0" t="n">
        <v>3</v>
      </c>
      <c r="K21" s="0" t="n">
        <v>18</v>
      </c>
      <c r="L21" s="0" t="n">
        <f aca="false">K21*0.5</f>
        <v>9</v>
      </c>
      <c r="M21" s="0" t="n">
        <f aca="false">K21*1.5</f>
        <v>27</v>
      </c>
    </row>
    <row r="22" customFormat="false" ht="13.8" hidden="false" customHeight="false" outlineLevel="0" collapsed="false">
      <c r="H22" s="0" t="s">
        <v>121</v>
      </c>
      <c r="I22" s="0" t="n">
        <f aca="false">J22*K22</f>
        <v>5.25</v>
      </c>
      <c r="J22" s="0" t="n">
        <v>0.75</v>
      </c>
      <c r="K22" s="0" t="n">
        <v>7</v>
      </c>
      <c r="L22" s="0" t="n">
        <f aca="false">K22*0.5</f>
        <v>3.5</v>
      </c>
      <c r="M22" s="0" t="n">
        <f aca="false">K22*1.5</f>
        <v>10.5</v>
      </c>
    </row>
    <row r="23" customFormat="false" ht="13.8" hidden="false" customHeight="false" outlineLevel="0" collapsed="false">
      <c r="H23" s="0" t="s">
        <v>127</v>
      </c>
      <c r="I23" s="0" t="n">
        <f aca="false">J23*K23</f>
        <v>3.36</v>
      </c>
      <c r="J23" s="0" t="n">
        <v>4.8</v>
      </c>
      <c r="K23" s="0" t="n">
        <v>0.7</v>
      </c>
      <c r="L23" s="0" t="n">
        <f aca="false">K23*0.5</f>
        <v>0.35</v>
      </c>
      <c r="M23" s="0" t="n">
        <f aca="false">K23*1.5</f>
        <v>1.05</v>
      </c>
    </row>
    <row r="24" customFormat="false" ht="13.8" hidden="false" customHeight="false" outlineLevel="0" collapsed="false">
      <c r="H24" s="0" t="s">
        <v>133</v>
      </c>
      <c r="I24" s="0" t="n">
        <f aca="false">J24*K24</f>
        <v>2.5</v>
      </c>
      <c r="J24" s="0" t="n">
        <v>0.25</v>
      </c>
      <c r="K24" s="0" t="n">
        <v>10</v>
      </c>
      <c r="L24" s="0" t="n">
        <f aca="false">K24*0.5</f>
        <v>5</v>
      </c>
      <c r="M24" s="0" t="n">
        <f aca="false">K24*1.5</f>
        <v>15</v>
      </c>
    </row>
    <row r="25" customFormat="false" ht="13.8" hidden="false" customHeight="false" outlineLevel="0" collapsed="false">
      <c r="H25" s="0" t="s">
        <v>116</v>
      </c>
      <c r="I25" s="0" t="n">
        <f aca="false">J25*K25</f>
        <v>18</v>
      </c>
      <c r="J25" s="0" t="n">
        <v>3</v>
      </c>
      <c r="K25" s="0" t="n">
        <v>6</v>
      </c>
      <c r="L25" s="0" t="n">
        <f aca="false">K25*0.5</f>
        <v>3</v>
      </c>
      <c r="M25" s="0" t="n">
        <f aca="false">K25*1.5</f>
        <v>9</v>
      </c>
    </row>
    <row r="26" customFormat="false" ht="13.8" hidden="false" customHeight="false" outlineLevel="0" collapsed="false">
      <c r="H26" s="0" t="s">
        <v>123</v>
      </c>
      <c r="I26" s="0" t="n">
        <f aca="false">J26*K26</f>
        <v>4.55</v>
      </c>
      <c r="J26" s="0" t="n">
        <v>1.75</v>
      </c>
      <c r="K26" s="0" t="n">
        <v>2.6</v>
      </c>
      <c r="L26" s="0" t="n">
        <f aca="false">K26*0.5</f>
        <v>1.3</v>
      </c>
      <c r="M26" s="0" t="n">
        <f aca="false">K26*1.5</f>
        <v>3.9</v>
      </c>
    </row>
    <row r="27" customFormat="false" ht="13.8" hidden="false" customHeight="false" outlineLevel="0" collapsed="false">
      <c r="H27" s="0" t="s">
        <v>226</v>
      </c>
      <c r="I27" s="0" t="n">
        <f aca="false">J27*K27</f>
        <v>8</v>
      </c>
      <c r="J27" s="0" t="n">
        <v>8</v>
      </c>
      <c r="K27" s="0" t="n">
        <v>1</v>
      </c>
      <c r="L27" s="0" t="n">
        <f aca="false">K27*0.5</f>
        <v>0.5</v>
      </c>
      <c r="M27" s="0" t="n">
        <f aca="false">K27*1.5</f>
        <v>1.5</v>
      </c>
    </row>
    <row r="28" customFormat="false" ht="13.8" hidden="false" customHeight="false" outlineLevel="0" collapsed="false">
      <c r="H28" s="0" t="s">
        <v>131</v>
      </c>
      <c r="I28" s="0" t="n">
        <f aca="false">J28*K28</f>
        <v>2.75</v>
      </c>
      <c r="J28" s="0" t="n">
        <v>2.5</v>
      </c>
      <c r="K28" s="0" t="n">
        <v>1.1</v>
      </c>
      <c r="L28" s="0" t="n">
        <f aca="false">K28*0.5</f>
        <v>0.55</v>
      </c>
      <c r="M28" s="0" t="n">
        <f aca="false">K28*1.5</f>
        <v>1.65</v>
      </c>
    </row>
    <row r="29" customFormat="false" ht="13.8" hidden="false" customHeight="false" outlineLevel="0" collapsed="false">
      <c r="H29" s="0" t="s">
        <v>115</v>
      </c>
      <c r="I29" s="0" t="n">
        <f aca="false">J29*K29</f>
        <v>21.6</v>
      </c>
      <c r="J29" s="0" t="n">
        <v>4</v>
      </c>
      <c r="K29" s="0" t="n">
        <v>5.4</v>
      </c>
      <c r="L29" s="0" t="n">
        <f aca="false">K29*0.5</f>
        <v>2.7</v>
      </c>
      <c r="M29" s="0" t="n">
        <f aca="false">K29*1.5</f>
        <v>8.1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2026-09-20T21:03:08Z</dcterms:modified>
  <cp:revision>287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