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l009526\Downloads\"/>
    </mc:Choice>
  </mc:AlternateContent>
  <xr:revisionPtr revIDLastSave="0" documentId="13_ncr:1_{8C0249C8-CC83-47DB-8868-85BD14FCAD99}" xr6:coauthVersionLast="47" xr6:coauthVersionMax="47" xr10:uidLastSave="{00000000-0000-0000-0000-000000000000}"/>
  <bookViews>
    <workbookView xWindow="-110" yWindow="-110" windowWidth="19420" windowHeight="10300" tabRatio="500" activeTab="3" xr2:uid="{00000000-000D-0000-FFFF-FFFF00000000}"/>
  </bookViews>
  <sheets>
    <sheet name="Tech Graph" sheetId="1" r:id="rId1"/>
    <sheet name="Tech Cost" sheetId="2" r:id="rId2"/>
    <sheet name="Education Efficiency" sheetId="3" r:id="rId3"/>
    <sheet name="State Sim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" i="4" l="1"/>
  <c r="J2" i="4"/>
  <c r="W37" i="4"/>
  <c r="W22" i="4"/>
  <c r="W36" i="4"/>
  <c r="W35" i="4"/>
  <c r="W34" i="4"/>
  <c r="W33" i="4"/>
  <c r="W32" i="4"/>
  <c r="W31" i="4"/>
  <c r="W30" i="4"/>
  <c r="W29" i="4"/>
  <c r="W28" i="4"/>
  <c r="W27" i="4"/>
  <c r="W26" i="4"/>
  <c r="W21" i="4"/>
  <c r="W20" i="4"/>
  <c r="W19" i="4"/>
  <c r="W18" i="4"/>
  <c r="W17" i="4"/>
  <c r="W16" i="4"/>
  <c r="W15" i="4"/>
  <c r="S36" i="4"/>
  <c r="S35" i="4"/>
  <c r="S34" i="4"/>
  <c r="S33" i="4"/>
  <c r="S32" i="4"/>
  <c r="S31" i="4"/>
  <c r="S30" i="4"/>
  <c r="S29" i="4"/>
  <c r="S28" i="4"/>
  <c r="S27" i="4"/>
  <c r="S26" i="4"/>
  <c r="S16" i="4"/>
  <c r="S21" i="4"/>
  <c r="S20" i="4"/>
  <c r="S19" i="4"/>
  <c r="S18" i="4"/>
  <c r="S17" i="4"/>
  <c r="S15" i="4"/>
  <c r="D4" i="4"/>
  <c r="D5" i="4" s="1"/>
  <c r="D6" i="4" s="1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3" i="4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F2" i="4"/>
  <c r="I2" i="4" s="1"/>
  <c r="U11" i="4"/>
  <c r="U10" i="4"/>
  <c r="U9" i="4"/>
  <c r="U8" i="4"/>
  <c r="U7" i="4"/>
  <c r="U6" i="4"/>
  <c r="U5" i="4"/>
  <c r="U4" i="4"/>
  <c r="U3" i="4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E22" i="3" s="1"/>
  <c r="E23" i="3" s="1"/>
  <c r="E24" i="3" s="1"/>
  <c r="F18" i="3"/>
  <c r="F17" i="3"/>
  <c r="E18" i="3" s="1"/>
  <c r="F15" i="3"/>
  <c r="E15" i="3"/>
  <c r="F14" i="3"/>
  <c r="F12" i="3"/>
  <c r="F11" i="3"/>
  <c r="F10" i="3"/>
  <c r="F9" i="3"/>
  <c r="F8" i="3"/>
  <c r="F7" i="3"/>
  <c r="F6" i="3"/>
  <c r="F5" i="3"/>
  <c r="F4" i="3"/>
  <c r="F3" i="3"/>
  <c r="F2" i="3"/>
  <c r="E3" i="3" s="1"/>
  <c r="E4" i="3" s="1"/>
  <c r="E5" i="3" s="1"/>
  <c r="E6" i="3" s="1"/>
  <c r="E7" i="3" s="1"/>
  <c r="E8" i="3" s="1"/>
  <c r="E9" i="3" s="1"/>
  <c r="E10" i="3" s="1"/>
  <c r="E11" i="3" s="1"/>
  <c r="E12" i="3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B108" i="2" s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G5" i="1"/>
  <c r="G6" i="1" s="1"/>
  <c r="G7" i="1" s="1"/>
  <c r="G8" i="1" s="1"/>
  <c r="F5" i="1"/>
  <c r="I5" i="1" s="1"/>
  <c r="J5" i="1" s="1"/>
  <c r="G4" i="1"/>
  <c r="F4" i="1"/>
  <c r="G3" i="1"/>
  <c r="F3" i="1"/>
  <c r="I3" i="1" s="1"/>
  <c r="J3" i="1" s="1"/>
  <c r="F2" i="1"/>
  <c r="I2" i="1" s="1"/>
  <c r="J2" i="1" s="1"/>
  <c r="M2" i="1" s="1"/>
  <c r="F6" i="4" l="1"/>
  <c r="I6" i="4" s="1"/>
  <c r="F5" i="4"/>
  <c r="I5" i="4" s="1"/>
  <c r="F4" i="4"/>
  <c r="I4" i="4" s="1"/>
  <c r="F9" i="4"/>
  <c r="I9" i="4" s="1"/>
  <c r="F3" i="4"/>
  <c r="I3" i="4" s="1"/>
  <c r="F8" i="4"/>
  <c r="I8" i="4" s="1"/>
  <c r="F7" i="4"/>
  <c r="I7" i="4" s="1"/>
  <c r="I4" i="1"/>
  <c r="J4" i="1" s="1"/>
  <c r="M3" i="1"/>
  <c r="M4" i="1" s="1"/>
  <c r="M5" i="1" s="1"/>
  <c r="E25" i="3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G9" i="1"/>
  <c r="G10" i="1" s="1"/>
  <c r="G11" i="1" s="1"/>
  <c r="I8" i="1"/>
  <c r="J8" i="1" s="1"/>
  <c r="I6" i="1"/>
  <c r="J6" i="1" s="1"/>
  <c r="I7" i="1"/>
  <c r="J7" i="1" s="1"/>
  <c r="I10" i="1"/>
  <c r="J10" i="1" s="1"/>
  <c r="I9" i="1"/>
  <c r="J9" i="1" s="1"/>
  <c r="I21" i="2"/>
  <c r="B29" i="2"/>
  <c r="B37" i="2"/>
  <c r="B45" i="2"/>
  <c r="B53" i="2"/>
  <c r="B61" i="2"/>
  <c r="B69" i="2"/>
  <c r="B77" i="2"/>
  <c r="B85" i="2"/>
  <c r="B93" i="2"/>
  <c r="B101" i="2"/>
  <c r="B2" i="2"/>
  <c r="B6" i="2"/>
  <c r="B10" i="2"/>
  <c r="B14" i="2"/>
  <c r="B18" i="2"/>
  <c r="B22" i="2"/>
  <c r="B30" i="2"/>
  <c r="B38" i="2"/>
  <c r="B46" i="2"/>
  <c r="B54" i="2"/>
  <c r="B62" i="2"/>
  <c r="B70" i="2"/>
  <c r="B78" i="2"/>
  <c r="B86" i="2"/>
  <c r="B94" i="2"/>
  <c r="B102" i="2"/>
  <c r="B23" i="2"/>
  <c r="B31" i="2"/>
  <c r="B39" i="2"/>
  <c r="B47" i="2"/>
  <c r="B55" i="2"/>
  <c r="B63" i="2"/>
  <c r="B71" i="2"/>
  <c r="B79" i="2"/>
  <c r="B87" i="2"/>
  <c r="B95" i="2"/>
  <c r="B103" i="2"/>
  <c r="B3" i="2"/>
  <c r="B7" i="2"/>
  <c r="B11" i="2"/>
  <c r="B15" i="2"/>
  <c r="B19" i="2"/>
  <c r="B24" i="2"/>
  <c r="B32" i="2"/>
  <c r="B40" i="2"/>
  <c r="B48" i="2"/>
  <c r="B56" i="2"/>
  <c r="B64" i="2"/>
  <c r="B72" i="2"/>
  <c r="B80" i="2"/>
  <c r="B88" i="2"/>
  <c r="B96" i="2"/>
  <c r="B104" i="2"/>
  <c r="B25" i="2"/>
  <c r="B33" i="2"/>
  <c r="B41" i="2"/>
  <c r="B49" i="2"/>
  <c r="B57" i="2"/>
  <c r="B65" i="2"/>
  <c r="B73" i="2"/>
  <c r="B81" i="2"/>
  <c r="B89" i="2"/>
  <c r="B97" i="2"/>
  <c r="B105" i="2"/>
  <c r="B4" i="2"/>
  <c r="B8" i="2"/>
  <c r="B12" i="2"/>
  <c r="B16" i="2"/>
  <c r="B20" i="2"/>
  <c r="B26" i="2"/>
  <c r="B34" i="2"/>
  <c r="B42" i="2"/>
  <c r="B50" i="2"/>
  <c r="B58" i="2"/>
  <c r="B66" i="2"/>
  <c r="B74" i="2"/>
  <c r="B82" i="2"/>
  <c r="B90" i="2"/>
  <c r="B98" i="2"/>
  <c r="B106" i="2"/>
  <c r="B27" i="2"/>
  <c r="B35" i="2"/>
  <c r="B43" i="2"/>
  <c r="B51" i="2"/>
  <c r="B59" i="2"/>
  <c r="B67" i="2"/>
  <c r="B75" i="2"/>
  <c r="B83" i="2"/>
  <c r="B91" i="2"/>
  <c r="B99" i="2"/>
  <c r="B107" i="2"/>
  <c r="B5" i="2"/>
  <c r="B9" i="2"/>
  <c r="B13" i="2"/>
  <c r="B17" i="2"/>
  <c r="B21" i="2"/>
  <c r="B28" i="2"/>
  <c r="B36" i="2"/>
  <c r="B44" i="2"/>
  <c r="B52" i="2"/>
  <c r="B60" i="2"/>
  <c r="B68" i="2"/>
  <c r="B76" i="2"/>
  <c r="B84" i="2"/>
  <c r="B92" i="2"/>
  <c r="B100" i="2"/>
  <c r="F10" i="4" l="1"/>
  <c r="I10" i="4" s="1"/>
  <c r="M6" i="1"/>
  <c r="M7" i="1" s="1"/>
  <c r="M8" i="1" s="1"/>
  <c r="M9" i="1" s="1"/>
  <c r="M10" i="1" s="1"/>
  <c r="G12" i="1"/>
  <c r="I11" i="1"/>
  <c r="J11" i="1" s="1"/>
  <c r="F11" i="4" l="1"/>
  <c r="I11" i="4" s="1"/>
  <c r="M11" i="1"/>
  <c r="G13" i="1"/>
  <c r="I12" i="1"/>
  <c r="J12" i="1" s="1"/>
  <c r="F12" i="4" l="1"/>
  <c r="I12" i="4" s="1"/>
  <c r="M12" i="1"/>
  <c r="G14" i="1"/>
  <c r="I13" i="1"/>
  <c r="J13" i="1" s="1"/>
  <c r="M13" i="1" s="1"/>
  <c r="F13" i="4" l="1"/>
  <c r="I13" i="4" s="1"/>
  <c r="G15" i="1"/>
  <c r="I14" i="1"/>
  <c r="J14" i="1" s="1"/>
  <c r="M14" i="1" s="1"/>
  <c r="F14" i="4" l="1"/>
  <c r="I14" i="4" s="1"/>
  <c r="G16" i="1"/>
  <c r="I15" i="1"/>
  <c r="J15" i="1" s="1"/>
  <c r="M15" i="1" s="1"/>
  <c r="F15" i="4" l="1"/>
  <c r="I15" i="4" s="1"/>
  <c r="G17" i="1"/>
  <c r="I16" i="1"/>
  <c r="J16" i="1" s="1"/>
  <c r="M16" i="1" s="1"/>
  <c r="F16" i="4" l="1"/>
  <c r="I16" i="4" s="1"/>
  <c r="G18" i="1"/>
  <c r="I17" i="1"/>
  <c r="J17" i="1" s="1"/>
  <c r="M17" i="1" s="1"/>
  <c r="F17" i="4" l="1"/>
  <c r="I17" i="4" s="1"/>
  <c r="G19" i="1"/>
  <c r="I18" i="1"/>
  <c r="J18" i="1" s="1"/>
  <c r="M18" i="1" s="1"/>
  <c r="F18" i="4" l="1"/>
  <c r="I18" i="4" s="1"/>
  <c r="G20" i="1"/>
  <c r="I19" i="1"/>
  <c r="J19" i="1" s="1"/>
  <c r="M19" i="1" s="1"/>
  <c r="F19" i="4" l="1"/>
  <c r="I19" i="4" s="1"/>
  <c r="G21" i="1"/>
  <c r="I20" i="1"/>
  <c r="J20" i="1" s="1"/>
  <c r="M20" i="1" s="1"/>
  <c r="F20" i="4" l="1"/>
  <c r="I20" i="4" s="1"/>
  <c r="G22" i="1"/>
  <c r="I21" i="1"/>
  <c r="J21" i="1" s="1"/>
  <c r="M21" i="1" s="1"/>
  <c r="F21" i="4" l="1"/>
  <c r="I21" i="4" s="1"/>
  <c r="G23" i="1"/>
  <c r="I22" i="1"/>
  <c r="J22" i="1" s="1"/>
  <c r="M22" i="1" s="1"/>
  <c r="F22" i="4" l="1"/>
  <c r="I22" i="4" s="1"/>
  <c r="G24" i="1"/>
  <c r="I23" i="1"/>
  <c r="J23" i="1" s="1"/>
  <c r="M23" i="1" s="1"/>
  <c r="G25" i="1" l="1"/>
  <c r="I24" i="1"/>
  <c r="J24" i="1" s="1"/>
  <c r="M24" i="1" s="1"/>
  <c r="G26" i="1" l="1"/>
  <c r="I25" i="1"/>
  <c r="J25" i="1" s="1"/>
  <c r="M25" i="1" s="1"/>
  <c r="G27" i="1" l="1"/>
  <c r="I26" i="1"/>
  <c r="J26" i="1" s="1"/>
  <c r="M26" i="1" s="1"/>
  <c r="G28" i="1" l="1"/>
  <c r="I27" i="1"/>
  <c r="J27" i="1" s="1"/>
  <c r="M27" i="1" s="1"/>
  <c r="G29" i="1" l="1"/>
  <c r="I28" i="1"/>
  <c r="J28" i="1" s="1"/>
  <c r="M28" i="1" s="1"/>
  <c r="G30" i="1" l="1"/>
  <c r="I29" i="1"/>
  <c r="J29" i="1" s="1"/>
  <c r="M29" i="1" s="1"/>
  <c r="G31" i="1" l="1"/>
  <c r="I30" i="1"/>
  <c r="J30" i="1" s="1"/>
  <c r="M30" i="1" s="1"/>
  <c r="G32" i="1" l="1"/>
  <c r="I31" i="1"/>
  <c r="J31" i="1" s="1"/>
  <c r="M31" i="1" s="1"/>
  <c r="G33" i="1" l="1"/>
  <c r="I32" i="1"/>
  <c r="J32" i="1" s="1"/>
  <c r="M32" i="1" s="1"/>
  <c r="G34" i="1" l="1"/>
  <c r="I33" i="1"/>
  <c r="J33" i="1" s="1"/>
  <c r="M33" i="1" s="1"/>
  <c r="G35" i="1" l="1"/>
  <c r="I34" i="1"/>
  <c r="J34" i="1" s="1"/>
  <c r="M34" i="1" s="1"/>
  <c r="G36" i="1" l="1"/>
  <c r="I35" i="1"/>
  <c r="J35" i="1" s="1"/>
  <c r="M35" i="1" s="1"/>
  <c r="G37" i="1" l="1"/>
  <c r="I36" i="1"/>
  <c r="J36" i="1" s="1"/>
  <c r="M36" i="1" s="1"/>
  <c r="G38" i="1" l="1"/>
  <c r="I37" i="1"/>
  <c r="J37" i="1" s="1"/>
  <c r="M37" i="1" s="1"/>
  <c r="G39" i="1" l="1"/>
  <c r="I38" i="1"/>
  <c r="J38" i="1" s="1"/>
  <c r="M38" i="1" s="1"/>
  <c r="G40" i="1" l="1"/>
  <c r="I39" i="1"/>
  <c r="J39" i="1" s="1"/>
  <c r="M39" i="1" s="1"/>
  <c r="G41" i="1" l="1"/>
  <c r="I40" i="1"/>
  <c r="J40" i="1" s="1"/>
  <c r="M40" i="1" s="1"/>
  <c r="G42" i="1" l="1"/>
  <c r="I41" i="1"/>
  <c r="J41" i="1" s="1"/>
  <c r="M41" i="1" s="1"/>
  <c r="G43" i="1" l="1"/>
  <c r="I42" i="1"/>
  <c r="J42" i="1" s="1"/>
  <c r="M42" i="1" s="1"/>
  <c r="G44" i="1" l="1"/>
  <c r="I43" i="1"/>
  <c r="J43" i="1" s="1"/>
  <c r="M43" i="1"/>
  <c r="G45" i="1" l="1"/>
  <c r="I44" i="1"/>
  <c r="J44" i="1" s="1"/>
  <c r="M44" i="1" s="1"/>
  <c r="G46" i="1" l="1"/>
  <c r="I45" i="1"/>
  <c r="J45" i="1" s="1"/>
  <c r="M45" i="1" s="1"/>
  <c r="G47" i="1" l="1"/>
  <c r="I46" i="1"/>
  <c r="J46" i="1" s="1"/>
  <c r="M46" i="1" s="1"/>
  <c r="G48" i="1" l="1"/>
  <c r="I47" i="1"/>
  <c r="J47" i="1" s="1"/>
  <c r="M47" i="1" s="1"/>
  <c r="G49" i="1" l="1"/>
  <c r="I48" i="1"/>
  <c r="J48" i="1" s="1"/>
  <c r="M48" i="1" s="1"/>
  <c r="G50" i="1" l="1"/>
  <c r="I49" i="1"/>
  <c r="J49" i="1" s="1"/>
  <c r="M49" i="1" s="1"/>
  <c r="G51" i="1" l="1"/>
  <c r="I50" i="1"/>
  <c r="J50" i="1" s="1"/>
  <c r="M50" i="1" s="1"/>
  <c r="G52" i="1" l="1"/>
  <c r="I51" i="1"/>
  <c r="J51" i="1" s="1"/>
  <c r="M51" i="1" s="1"/>
  <c r="G53" i="1" l="1"/>
  <c r="I52" i="1"/>
  <c r="J52" i="1" s="1"/>
  <c r="M52" i="1" s="1"/>
  <c r="G54" i="1" l="1"/>
  <c r="I53" i="1"/>
  <c r="J53" i="1" s="1"/>
  <c r="M53" i="1" s="1"/>
  <c r="G55" i="1" l="1"/>
  <c r="I54" i="1"/>
  <c r="J54" i="1" s="1"/>
  <c r="M54" i="1" s="1"/>
  <c r="G56" i="1" l="1"/>
  <c r="I55" i="1"/>
  <c r="J55" i="1" s="1"/>
  <c r="M55" i="1" s="1"/>
  <c r="G57" i="1" l="1"/>
  <c r="I56" i="1"/>
  <c r="J56" i="1" s="1"/>
  <c r="M56" i="1" s="1"/>
  <c r="G58" i="1" l="1"/>
  <c r="I57" i="1"/>
  <c r="J57" i="1" s="1"/>
  <c r="M57" i="1" s="1"/>
  <c r="G59" i="1" l="1"/>
  <c r="I58" i="1"/>
  <c r="J58" i="1" s="1"/>
  <c r="M58" i="1" s="1"/>
  <c r="G60" i="1" l="1"/>
  <c r="I59" i="1"/>
  <c r="J59" i="1" s="1"/>
  <c r="M59" i="1" s="1"/>
  <c r="G61" i="1" l="1"/>
  <c r="I60" i="1"/>
  <c r="J60" i="1" s="1"/>
  <c r="M60" i="1" s="1"/>
  <c r="G62" i="1" l="1"/>
  <c r="I61" i="1"/>
  <c r="J61" i="1" s="1"/>
  <c r="M61" i="1" s="1"/>
  <c r="G63" i="1" l="1"/>
  <c r="I62" i="1"/>
  <c r="J62" i="1" s="1"/>
  <c r="M62" i="1" s="1"/>
  <c r="G64" i="1" l="1"/>
  <c r="I63" i="1"/>
  <c r="J63" i="1" s="1"/>
  <c r="M63" i="1" s="1"/>
  <c r="G65" i="1" l="1"/>
  <c r="I64" i="1"/>
  <c r="J64" i="1" s="1"/>
  <c r="M64" i="1" s="1"/>
  <c r="G66" i="1" l="1"/>
  <c r="I65" i="1"/>
  <c r="J65" i="1" s="1"/>
  <c r="M65" i="1" s="1"/>
  <c r="G67" i="1" l="1"/>
  <c r="I66" i="1"/>
  <c r="J66" i="1" s="1"/>
  <c r="M66" i="1" s="1"/>
  <c r="G68" i="1" l="1"/>
  <c r="I67" i="1"/>
  <c r="J67" i="1" s="1"/>
  <c r="M67" i="1" s="1"/>
  <c r="G69" i="1" l="1"/>
  <c r="I68" i="1"/>
  <c r="J68" i="1" s="1"/>
  <c r="M68" i="1" s="1"/>
  <c r="G70" i="1" l="1"/>
  <c r="I69" i="1"/>
  <c r="J69" i="1" s="1"/>
  <c r="M69" i="1" s="1"/>
  <c r="G71" i="1" l="1"/>
  <c r="I70" i="1"/>
  <c r="J70" i="1" s="1"/>
  <c r="M70" i="1" s="1"/>
  <c r="G72" i="1" l="1"/>
  <c r="I71" i="1"/>
  <c r="J71" i="1" s="1"/>
  <c r="M71" i="1" s="1"/>
  <c r="G73" i="1" l="1"/>
  <c r="I72" i="1"/>
  <c r="J72" i="1" s="1"/>
  <c r="M72" i="1" s="1"/>
  <c r="G74" i="1" l="1"/>
  <c r="I73" i="1"/>
  <c r="J73" i="1" s="1"/>
  <c r="M73" i="1" s="1"/>
  <c r="G75" i="1" l="1"/>
  <c r="I74" i="1"/>
  <c r="J74" i="1" s="1"/>
  <c r="M74" i="1" s="1"/>
  <c r="G76" i="1" l="1"/>
  <c r="I75" i="1"/>
  <c r="J75" i="1" s="1"/>
  <c r="M75" i="1" s="1"/>
  <c r="G77" i="1" l="1"/>
  <c r="I76" i="1"/>
  <c r="J76" i="1" s="1"/>
  <c r="M76" i="1" s="1"/>
  <c r="G78" i="1" l="1"/>
  <c r="I77" i="1"/>
  <c r="J77" i="1" s="1"/>
  <c r="M77" i="1" s="1"/>
  <c r="G79" i="1" l="1"/>
  <c r="I78" i="1"/>
  <c r="J78" i="1" s="1"/>
  <c r="M78" i="1" s="1"/>
  <c r="G80" i="1" l="1"/>
  <c r="I79" i="1"/>
  <c r="J79" i="1" s="1"/>
  <c r="M79" i="1" s="1"/>
  <c r="G81" i="1" l="1"/>
  <c r="I80" i="1"/>
  <c r="J80" i="1" s="1"/>
  <c r="M80" i="1" s="1"/>
  <c r="G82" i="1" l="1"/>
  <c r="I81" i="1"/>
  <c r="J81" i="1" s="1"/>
  <c r="M81" i="1" s="1"/>
  <c r="G83" i="1" l="1"/>
  <c r="I82" i="1"/>
  <c r="J82" i="1" s="1"/>
  <c r="M82" i="1" s="1"/>
  <c r="G84" i="1" l="1"/>
  <c r="I83" i="1"/>
  <c r="J83" i="1" s="1"/>
  <c r="M83" i="1" s="1"/>
  <c r="G85" i="1" l="1"/>
  <c r="I84" i="1"/>
  <c r="J84" i="1" s="1"/>
  <c r="M84" i="1" s="1"/>
  <c r="G86" i="1" l="1"/>
  <c r="I85" i="1"/>
  <c r="J85" i="1" s="1"/>
  <c r="M85" i="1" s="1"/>
  <c r="G87" i="1" l="1"/>
  <c r="I86" i="1"/>
  <c r="J86" i="1" s="1"/>
  <c r="M86" i="1" s="1"/>
  <c r="G88" i="1" l="1"/>
  <c r="I87" i="1"/>
  <c r="J87" i="1" s="1"/>
  <c r="M87" i="1" s="1"/>
  <c r="G89" i="1" l="1"/>
  <c r="I88" i="1"/>
  <c r="J88" i="1" s="1"/>
  <c r="M88" i="1" s="1"/>
  <c r="G90" i="1" l="1"/>
  <c r="I89" i="1"/>
  <c r="J89" i="1" s="1"/>
  <c r="M89" i="1" s="1"/>
  <c r="G91" i="1" l="1"/>
  <c r="I90" i="1"/>
  <c r="J90" i="1" s="1"/>
  <c r="M90" i="1" s="1"/>
  <c r="G92" i="1" l="1"/>
  <c r="I91" i="1"/>
  <c r="J91" i="1" s="1"/>
  <c r="M91" i="1" s="1"/>
  <c r="G93" i="1" l="1"/>
  <c r="I92" i="1"/>
  <c r="J92" i="1" s="1"/>
  <c r="M92" i="1" s="1"/>
  <c r="G94" i="1" l="1"/>
  <c r="I93" i="1"/>
  <c r="J93" i="1" s="1"/>
  <c r="M93" i="1" s="1"/>
  <c r="G95" i="1" l="1"/>
  <c r="I94" i="1"/>
  <c r="J94" i="1" s="1"/>
  <c r="M94" i="1" s="1"/>
  <c r="G96" i="1" l="1"/>
  <c r="I95" i="1"/>
  <c r="J95" i="1" s="1"/>
  <c r="M95" i="1" s="1"/>
  <c r="G97" i="1" l="1"/>
  <c r="I96" i="1"/>
  <c r="J96" i="1" s="1"/>
  <c r="M96" i="1" s="1"/>
  <c r="G98" i="1" l="1"/>
  <c r="I97" i="1"/>
  <c r="J97" i="1" s="1"/>
  <c r="M97" i="1" s="1"/>
  <c r="G99" i="1" l="1"/>
  <c r="I98" i="1"/>
  <c r="J98" i="1" s="1"/>
  <c r="M98" i="1" s="1"/>
  <c r="G100" i="1" l="1"/>
  <c r="I99" i="1"/>
  <c r="J99" i="1" s="1"/>
  <c r="M99" i="1" s="1"/>
  <c r="G101" i="1" l="1"/>
  <c r="I100" i="1"/>
  <c r="J100" i="1" s="1"/>
  <c r="M100" i="1" s="1"/>
  <c r="G102" i="1" l="1"/>
  <c r="I101" i="1"/>
  <c r="J101" i="1" s="1"/>
  <c r="M101" i="1" s="1"/>
  <c r="G103" i="1" l="1"/>
  <c r="I102" i="1"/>
  <c r="J102" i="1" s="1"/>
  <c r="M102" i="1" s="1"/>
  <c r="G104" i="1" l="1"/>
  <c r="I103" i="1"/>
  <c r="J103" i="1" s="1"/>
  <c r="M103" i="1" s="1"/>
  <c r="G105" i="1" l="1"/>
  <c r="I104" i="1"/>
  <c r="J104" i="1" s="1"/>
  <c r="M104" i="1" s="1"/>
  <c r="G106" i="1" l="1"/>
  <c r="I105" i="1"/>
  <c r="J105" i="1" s="1"/>
  <c r="M105" i="1" s="1"/>
  <c r="G107" i="1" l="1"/>
  <c r="I106" i="1"/>
  <c r="J106" i="1" s="1"/>
  <c r="M106" i="1" s="1"/>
  <c r="G108" i="1" l="1"/>
  <c r="I108" i="1" s="1"/>
  <c r="J108" i="1" s="1"/>
  <c r="I107" i="1"/>
  <c r="J107" i="1" s="1"/>
  <c r="M107" i="1" s="1"/>
  <c r="M108" i="1" s="1"/>
</calcChain>
</file>

<file path=xl/sharedStrings.xml><?xml version="1.0" encoding="utf-8"?>
<sst xmlns="http://schemas.openxmlformats.org/spreadsheetml/2006/main" count="235" uniqueCount="92">
  <si>
    <t>Date</t>
  </si>
  <si>
    <t>Intellectualists</t>
  </si>
  <si>
    <t>Clerks</t>
  </si>
  <si>
    <t>Literacy</t>
  </si>
  <si>
    <t>Status</t>
  </si>
  <si>
    <t>Base Research Points</t>
  </si>
  <si>
    <t>Plurality</t>
  </si>
  <si>
    <t>Tech Modifier</t>
  </si>
  <si>
    <t>Total Research Points</t>
  </si>
  <si>
    <t>Yearly Research Points</t>
  </si>
  <si>
    <t>New Costs</t>
  </si>
  <si>
    <t>Leftover Tech Cost</t>
  </si>
  <si>
    <t>Great Power</t>
  </si>
  <si>
    <t>Total Tech Cost</t>
  </si>
  <si>
    <t>Name of period</t>
  </si>
  <si>
    <t>Amount</t>
  </si>
  <si>
    <t>Total Cost</t>
  </si>
  <si>
    <t>Total Technology Cost</t>
  </si>
  <si>
    <t>1830 first</t>
  </si>
  <si>
    <t>25 x 3600</t>
  </si>
  <si>
    <t>1830 second</t>
  </si>
  <si>
    <t>22 x 7200</t>
  </si>
  <si>
    <t>1830 third</t>
  </si>
  <si>
    <t>8 x 10800</t>
  </si>
  <si>
    <t>1840 second</t>
  </si>
  <si>
    <t>3 x 7200</t>
  </si>
  <si>
    <t>1840 third</t>
  </si>
  <si>
    <t>1 x 10800</t>
  </si>
  <si>
    <t>1848 third</t>
  </si>
  <si>
    <t>1850 third</t>
  </si>
  <si>
    <t>12 x 10800</t>
  </si>
  <si>
    <t>1850 fourth</t>
  </si>
  <si>
    <t>9 x 14400</t>
  </si>
  <si>
    <t>1855 third</t>
  </si>
  <si>
    <t>2 x 10800</t>
  </si>
  <si>
    <t>1860 third</t>
  </si>
  <si>
    <t>1870 fourth</t>
  </si>
  <si>
    <t>13 x 14400</t>
  </si>
  <si>
    <t>1870 fifth</t>
  </si>
  <si>
    <t>8 x 18000</t>
  </si>
  <si>
    <t>1872 fourth</t>
  </si>
  <si>
    <t>1 x 14400</t>
  </si>
  <si>
    <t>1875 fourth</t>
  </si>
  <si>
    <t>1880 fourth</t>
  </si>
  <si>
    <t>1880 fifth</t>
  </si>
  <si>
    <t>2 x 18000</t>
  </si>
  <si>
    <t>1890 fifth</t>
  </si>
  <si>
    <t>3 x 18000</t>
  </si>
  <si>
    <t>1895 fifth</t>
  </si>
  <si>
    <t>1 x 18000</t>
  </si>
  <si>
    <t>1898 fifth</t>
  </si>
  <si>
    <t>1900 fifth</t>
  </si>
  <si>
    <t>10 x 1800</t>
  </si>
  <si>
    <t>SUM</t>
  </si>
  <si>
    <t>1900 sixth</t>
  </si>
  <si>
    <t>11 x 21600</t>
  </si>
  <si>
    <t>1905 sixth</t>
  </si>
  <si>
    <t>1 x 21600</t>
  </si>
  <si>
    <t>No</t>
  </si>
  <si>
    <t>Inc. base techs?</t>
  </si>
  <si>
    <t>1910 sixth</t>
  </si>
  <si>
    <t>1914 sixth</t>
  </si>
  <si>
    <t>2 x 21600</t>
  </si>
  <si>
    <t>1915 sixth</t>
  </si>
  <si>
    <t>1919 sixth</t>
  </si>
  <si>
    <t>9 x 21600</t>
  </si>
  <si>
    <t>Tech Education Efficiency</t>
  </si>
  <si>
    <t>Reforms</t>
  </si>
  <si>
    <t>Literacy Change</t>
  </si>
  <si>
    <t>TEST</t>
  </si>
  <si>
    <t>Buerocrats</t>
  </si>
  <si>
    <t>Slave State?</t>
  </si>
  <si>
    <t>Admin Spending</t>
  </si>
  <si>
    <t>Edu Spending</t>
  </si>
  <si>
    <t>Intelectualls</t>
  </si>
  <si>
    <t>Bonus</t>
  </si>
  <si>
    <t>Promotions</t>
  </si>
  <si>
    <t>POPs</t>
  </si>
  <si>
    <t>Reforms Taken</t>
  </si>
  <si>
    <t>Life Rating</t>
  </si>
  <si>
    <t>POP Growth</t>
  </si>
  <si>
    <t>Administrative Efficiency</t>
  </si>
  <si>
    <t>Admin Eff. Bonus</t>
  </si>
  <si>
    <t>Promotion - General</t>
  </si>
  <si>
    <t>Promotion - Intellectualists</t>
  </si>
  <si>
    <t>Intellectualists - MONEY</t>
  </si>
  <si>
    <t>Cash</t>
  </si>
  <si>
    <t>To Intellectualists</t>
  </si>
  <si>
    <t>To Bureocrats</t>
  </si>
  <si>
    <t>Promotion - Buerocrats</t>
  </si>
  <si>
    <t>Bureocrats - MONEY</t>
  </si>
  <si>
    <t>Total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</si>
</sst>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"/>
    <numFmt numFmtId="165" formatCode="0.0%"/>
  </numFmts>
  <fonts count="3" x14ac:knownFonts="1">
    <font>
      <sz val="11"/>
      <color theme="1"/>
      <name val="Aptos Narrow"/>
      <family val="2"/>
      <charset val="238"/>
    </font>
    <font>
      <sz val="11"/>
      <color theme="1"/>
      <name val="Times New Roman"/>
      <family val="1"/>
      <charset val="1"/>
    </font>
    <font>
      <sz val="11"/>
      <color theme="1"/>
      <name val="Aptos Narrow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Border="0" applyProtection="0"/>
  </cellStyleXfs>
  <cellXfs count="28">
    <xf numFmtId="0" fontId="0" fillId="0" borderId="0" xfId="0"/>
    <xf numFmtId="0" fontId="1" fillId="0" borderId="0" xfId="0" applyFont="1"/>
    <xf numFmtId="9" fontId="1" fillId="0" borderId="0" xfId="1" applyFont="1" applyBorder="1" applyAlignment="1" applyProtection="1">
      <alignment horizontal="center" vertical="center"/>
    </xf>
    <xf numFmtId="3" fontId="1" fillId="0" borderId="0" xfId="0" applyNumberFormat="1" applyFont="1"/>
    <xf numFmtId="164" fontId="1" fillId="0" borderId="0" xfId="0" applyNumberFormat="1" applyFont="1"/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0" fontId="1" fillId="0" borderId="0" xfId="1" applyNumberFormat="1" applyFont="1" applyBorder="1" applyAlignment="1" applyProtection="1">
      <alignment horizontal="center" vertical="center"/>
    </xf>
    <xf numFmtId="2" fontId="1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0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5" fontId="2" fillId="0" borderId="0" xfId="1" applyNumberFormat="1" applyAlignment="1">
      <alignment horizontal="center" vertical="center"/>
    </xf>
    <xf numFmtId="9" fontId="2" fillId="0" borderId="0" xfId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3" fontId="2" fillId="0" borderId="0" xfId="1" applyNumberFormat="1" applyAlignment="1">
      <alignment horizontal="center" vertical="center"/>
    </xf>
    <xf numFmtId="10" fontId="2" fillId="0" borderId="0" xfId="1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 vertical="center"/>
    </xf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l-P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Graph'!$L$2:$L$108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243103.66250000001</c:v>
                </c:pt>
                <c:pt idx="1">
                  <c:v>239922.76424744001</c:v>
                </c:pt>
                <c:pt idx="2">
                  <c:v>236680.9978182567</c:v>
                </c:pt>
                <c:pt idx="3">
                  <c:v>233377.33246684316</c:v>
                </c:pt>
                <c:pt idx="4">
                  <c:v>230010.73567097812</c:v>
                </c:pt>
                <c:pt idx="5">
                  <c:v>226580.17314248558</c:v>
                </c:pt>
                <c:pt idx="6">
                  <c:v>223084.60883783066</c:v>
                </c:pt>
                <c:pt idx="7">
                  <c:v>219523.00496865169</c:v>
                </c:pt>
                <c:pt idx="8">
                  <c:v>215894.32201222912</c:v>
                </c:pt>
                <c:pt idx="9">
                  <c:v>212197.51872189174</c:v>
                </c:pt>
                <c:pt idx="10">
                  <c:v>239751.09237236038</c:v>
                </c:pt>
                <c:pt idx="11">
                  <c:v>234814.87033361953</c:v>
                </c:pt>
                <c:pt idx="12">
                  <c:v>229787.79938334579</c:v>
                </c:pt>
                <c:pt idx="13">
                  <c:v>223704.18024646171</c:v>
                </c:pt>
                <c:pt idx="14">
                  <c:v>217559.28253459244</c:v>
                </c:pt>
                <c:pt idx="15">
                  <c:v>211404.22859402327</c:v>
                </c:pt>
                <c:pt idx="16">
                  <c:v>205238.13377615929</c:v>
                </c:pt>
                <c:pt idx="17">
                  <c:v>199060.10942582416</c:v>
                </c:pt>
                <c:pt idx="18">
                  <c:v>203604.46290529962</c:v>
                </c:pt>
                <c:pt idx="19">
                  <c:v>197335.48641822077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432999.91185481544</c:v>
                </c:pt>
                <c:pt idx="23">
                  <c:v>425137.19630729989</c:v>
                </c:pt>
                <c:pt idx="24">
                  <c:v>417261.5722385163</c:v>
                </c:pt>
                <c:pt idx="25">
                  <c:v>430842.32494546118</c:v>
                </c:pt>
                <c:pt idx="26">
                  <c:v>422807.5910078907</c:v>
                </c:pt>
                <c:pt idx="27">
                  <c:v>414749.25428526063</c:v>
                </c:pt>
                <c:pt idx="28">
                  <c:v>406665.93836959865</c:v>
                </c:pt>
                <c:pt idx="29">
                  <c:v>398556.26141830895</c:v>
                </c:pt>
                <c:pt idx="30">
                  <c:v>401154.03618677991</c:v>
                </c:pt>
                <c:pt idx="31">
                  <c:v>391816.10502611619</c:v>
                </c:pt>
                <c:pt idx="32">
                  <c:v>382444.07703576447</c:v>
                </c:pt>
                <c:pt idx="33">
                  <c:v>373036.35635242349</c:v>
                </c:pt>
                <c:pt idx="34">
                  <c:v>363587.95966518507</c:v>
                </c:pt>
                <c:pt idx="35">
                  <c:v>354097.20143040887</c:v>
                </c:pt>
                <c:pt idx="36">
                  <c:v>344562.39172853617</c:v>
                </c:pt>
                <c:pt idx="37">
                  <c:v>334981.83629034547</c:v>
                </c:pt>
                <c:pt idx="38">
                  <c:v>325353.83652305033</c:v>
                </c:pt>
                <c:pt idx="39">
                  <c:v>315676.689536241</c:v>
                </c:pt>
                <c:pt idx="40">
                  <c:v>635161.48816766997</c:v>
                </c:pt>
                <c:pt idx="41">
                  <c:v>620948.86696448305</c:v>
                </c:pt>
                <c:pt idx="42">
                  <c:v>620992.73487324151</c:v>
                </c:pt>
                <c:pt idx="43">
                  <c:v>606577.78815103252</c:v>
                </c:pt>
                <c:pt idx="44">
                  <c:v>592101.79999016621</c:v>
                </c:pt>
                <c:pt idx="45">
                  <c:v>591876.14205656445</c:v>
                </c:pt>
                <c:pt idx="46">
                  <c:v>577185.50289891881</c:v>
                </c:pt>
                <c:pt idx="47">
                  <c:v>562427.64804739435</c:v>
                </c:pt>
                <c:pt idx="48">
                  <c:v>547600.3415517403</c:v>
                </c:pt>
                <c:pt idx="49">
                  <c:v>532701.34599017329</c:v>
                </c:pt>
                <c:pt idx="50">
                  <c:v>567826.02247820562</c:v>
                </c:pt>
                <c:pt idx="51">
                  <c:v>549727.09985046205</c:v>
                </c:pt>
                <c:pt idx="52">
                  <c:v>531536.05924436531</c:v>
                </c:pt>
                <c:pt idx="53">
                  <c:v>513250.27446111885</c:v>
                </c:pt>
                <c:pt idx="54">
                  <c:v>494854.48114857549</c:v>
                </c:pt>
                <c:pt idx="55">
                  <c:v>476345.87950444885</c:v>
                </c:pt>
                <c:pt idx="56">
                  <c:v>457721.67044386844</c:v>
                </c:pt>
                <c:pt idx="57">
                  <c:v>438979.0555950753</c:v>
                </c:pt>
                <c:pt idx="58">
                  <c:v>420115.23729514325</c:v>
                </c:pt>
                <c:pt idx="59">
                  <c:v>401127.41858572589</c:v>
                </c:pt>
                <c:pt idx="60">
                  <c:v>435688.80320882914</c:v>
                </c:pt>
                <c:pt idx="61">
                  <c:v>416122.53960260912</c:v>
                </c:pt>
                <c:pt idx="62">
                  <c:v>396428.56579174631</c:v>
                </c:pt>
                <c:pt idx="63">
                  <c:v>376606.82017277309</c:v>
                </c:pt>
                <c:pt idx="64">
                  <c:v>356657.2415118427</c:v>
                </c:pt>
                <c:pt idx="65">
                  <c:v>354471.76894251141</c:v>
                </c:pt>
                <c:pt idx="66">
                  <c:v>334172.20649577637</c:v>
                </c:pt>
                <c:pt idx="67">
                  <c:v>313781.00755692169</c:v>
                </c:pt>
                <c:pt idx="68">
                  <c:v>311190.72194490017</c:v>
                </c:pt>
                <c:pt idx="69">
                  <c:v>290576.27788823075</c:v>
                </c:pt>
                <c:pt idx="70">
                  <c:v>524131.96594590141</c:v>
                </c:pt>
                <c:pt idx="71">
                  <c:v>498784.10917522595</c:v>
                </c:pt>
                <c:pt idx="72">
                  <c:v>473564.75689517462</c:v>
                </c:pt>
                <c:pt idx="73">
                  <c:v>448473.1380788036</c:v>
                </c:pt>
                <c:pt idx="74">
                  <c:v>423508.48632533074</c:v>
                </c:pt>
                <c:pt idx="75">
                  <c:v>420140.43983237876</c:v>
                </c:pt>
                <c:pt idx="76">
                  <c:v>395298.61896838446</c:v>
                </c:pt>
                <c:pt idx="77">
                  <c:v>370582.26637957414</c:v>
                </c:pt>
                <c:pt idx="78">
                  <c:v>345990.62925629673</c:v>
                </c:pt>
                <c:pt idx="79">
                  <c:v>321522.95930575894</c:v>
                </c:pt>
                <c:pt idx="80">
                  <c:v>318648.91272492439</c:v>
                </c:pt>
                <c:pt idx="81">
                  <c:v>294298.12777357484</c:v>
                </c:pt>
                <c:pt idx="82">
                  <c:v>270069.86488193338</c:v>
                </c:pt>
                <c:pt idx="83">
                  <c:v>245963.38891764177</c:v>
                </c:pt>
                <c:pt idx="84">
                  <c:v>264918.76915913593</c:v>
                </c:pt>
                <c:pt idx="85">
                  <c:v>262266.43446918111</c:v>
                </c:pt>
                <c:pt idx="86">
                  <c:v>238136.03113736602</c:v>
                </c:pt>
                <c:pt idx="87">
                  <c:v>214126.82757554183</c:v>
                </c:pt>
                <c:pt idx="88">
                  <c:v>190238.09658508858</c:v>
                </c:pt>
                <c:pt idx="89">
                  <c:v>359702.71533057804</c:v>
                </c:pt>
                <c:pt idx="90">
                  <c:v>334893.36371359456</c:v>
                </c:pt>
                <c:pt idx="91">
                  <c:v>310209.28555631294</c:v>
                </c:pt>
                <c:pt idx="92">
                  <c:v>285649.72921797505</c:v>
                </c:pt>
                <c:pt idx="93">
                  <c:v>261213.94756766723</c:v>
                </c:pt>
                <c:pt idx="94">
                  <c:v>236901.1979572612</c:v>
                </c:pt>
                <c:pt idx="95">
                  <c:v>212710.74219451763</c:v>
                </c:pt>
                <c:pt idx="96">
                  <c:v>188641.84651635052</c:v>
                </c:pt>
                <c:pt idx="97">
                  <c:v>164693.78156225241</c:v>
                </c:pt>
                <c:pt idx="98">
                  <c:v>140865.82234787889</c:v>
                </c:pt>
                <c:pt idx="99">
                  <c:v>117157.24823879161</c:v>
                </c:pt>
                <c:pt idx="100">
                  <c:v>93567.342924358862</c:v>
                </c:pt>
                <c:pt idx="101">
                  <c:v>70095.394391812704</c:v>
                </c:pt>
                <c:pt idx="102">
                  <c:v>46740.694900461829</c:v>
                </c:pt>
                <c:pt idx="103">
                  <c:v>23502.54095605906</c:v>
                </c:pt>
                <c:pt idx="104">
                  <c:v>380.23328532270097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30-4432-87BD-2710F11EA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6079006"/>
        <c:axId val="26305597"/>
      </c:lineChart>
      <c:catAx>
        <c:axId val="960790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pl-PL" sz="900" b="0" strike="noStrike" spc="-1"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pl-PL"/>
          </a:p>
        </c:txPr>
        <c:crossAx val="26305597"/>
        <c:crosses val="autoZero"/>
        <c:auto val="1"/>
        <c:lblAlgn val="ctr"/>
        <c:lblOffset val="100"/>
        <c:noMultiLvlLbl val="0"/>
      </c:catAx>
      <c:valAx>
        <c:axId val="2630559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pl-PL" sz="900" b="0" strike="noStrike" spc="-1"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pl-PL"/>
          </a:p>
        </c:txPr>
        <c:crossAx val="9607900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title>
      <c:tx>
        <c:rich>
          <a:bodyPr rot="0"/>
          <a:lstStyle/>
          <a:p>
            <a:pPr>
              <a:defRPr sz="1300" b="0" strike="noStrike" spc="-1">
                <a:solidFill>
                  <a:srgbClr val="000000"/>
                </a:solidFill>
                <a:latin typeface="Arial"/>
              </a:defRPr>
            </a:pPr>
            <a:r>
              <a:rPr lang="pl-PL" sz="1300" b="0" strike="noStrike" spc="-1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Cost'!$A$2:$A$108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Cost'!$B$2:$B$108</c:f>
              <c:numCache>
                <c:formatCode>#\ 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56-48D0-8EDB-D244F49F4B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412676"/>
        <c:axId val="6169807"/>
      </c:lineChart>
      <c:catAx>
        <c:axId val="874126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6169807"/>
        <c:crosses val="autoZero"/>
        <c:auto val="1"/>
        <c:lblAlgn val="ctr"/>
        <c:lblOffset val="100"/>
        <c:noMultiLvlLbl val="0"/>
      </c:catAx>
      <c:valAx>
        <c:axId val="616980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8741267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10800</xdr:colOff>
      <xdr:row>109</xdr:row>
      <xdr:rowOff>0</xdr:rowOff>
    </xdr:from>
    <xdr:to>
      <xdr:col>19</xdr:col>
      <xdr:colOff>223920</xdr:colOff>
      <xdr:row>141</xdr:row>
      <xdr:rowOff>25560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58680</xdr:colOff>
      <xdr:row>0</xdr:row>
      <xdr:rowOff>0</xdr:rowOff>
    </xdr:from>
    <xdr:to>
      <xdr:col>25</xdr:col>
      <xdr:colOff>478080</xdr:colOff>
      <xdr:row>28</xdr:row>
      <xdr:rowOff>1406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9"/>
  <sheetViews>
    <sheetView topLeftCell="A52" zoomScale="70" zoomScaleNormal="70" workbookViewId="0">
      <selection activeCell="H19" sqref="H19"/>
    </sheetView>
  </sheetViews>
  <sheetFormatPr defaultColWidth="8.81640625" defaultRowHeight="14.5" x14ac:dyDescent="0.35"/>
  <cols>
    <col min="1" max="1" width="6.7265625" style="1" customWidth="1"/>
    <col min="2" max="2" width="15.90625" style="1" customWidth="1"/>
    <col min="3" max="3" width="8" style="1" customWidth="1"/>
    <col min="4" max="4" width="10.54296875" style="1" customWidth="1"/>
    <col min="5" max="5" width="13.81640625" style="1" customWidth="1"/>
    <col min="6" max="6" width="22.54296875" style="1" customWidth="1"/>
    <col min="7" max="7" width="10.26953125" style="1" customWidth="1"/>
    <col min="8" max="8" width="15.90625" style="2" customWidth="1"/>
    <col min="9" max="9" width="23.08984375" style="1" customWidth="1"/>
    <col min="10" max="10" width="24.54296875" style="3" customWidth="1"/>
    <col min="11" max="11" width="16.81640625" style="4" customWidth="1"/>
    <col min="12" max="12" width="6.453125" style="1" customWidth="1"/>
    <col min="13" max="13" width="19.90625" style="1" customWidth="1"/>
    <col min="14" max="14" width="13" customWidth="1"/>
    <col min="15" max="26" width="8.81640625" style="1"/>
    <col min="27" max="27" width="11.08984375" style="1" customWidth="1"/>
    <col min="28" max="28" width="9.36328125" style="1" customWidth="1"/>
    <col min="29" max="16384" width="8.81640625" style="1"/>
  </cols>
  <sheetData>
    <row r="1" spans="1:13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2" t="s">
        <v>7</v>
      </c>
      <c r="I1" s="5" t="s">
        <v>8</v>
      </c>
      <c r="J1" s="9" t="s">
        <v>9</v>
      </c>
      <c r="K1" s="6" t="s">
        <v>10</v>
      </c>
      <c r="L1" s="5" t="s">
        <v>0</v>
      </c>
      <c r="M1" s="3" t="s">
        <v>11</v>
      </c>
    </row>
    <row r="2" spans="1:13" x14ac:dyDescent="0.35">
      <c r="A2" s="5">
        <v>1830</v>
      </c>
      <c r="B2" s="7">
        <v>9.7999999999999997E-3</v>
      </c>
      <c r="C2" s="7">
        <v>4.1000000000000003E-3</v>
      </c>
      <c r="D2" s="7">
        <v>0.1</v>
      </c>
      <c r="E2" s="5" t="s">
        <v>12</v>
      </c>
      <c r="F2" s="8">
        <f t="shared" ref="F2:F33" si="0">(MIN(B2,0.02)*150)+(MIN(C2,0.04)*50)+(MIN(D2,1)*4)+(IF(E2="Great Power",1.5,IF(E2="Secondary Power",1.25,IF(E2="Westernized Nation",1,0))))</f>
        <v>3.5750000000000002</v>
      </c>
      <c r="G2" s="2">
        <v>0.3</v>
      </c>
      <c r="H2" s="2">
        <v>0</v>
      </c>
      <c r="I2" s="8">
        <f t="shared" ref="I2:I33" si="1">F2*(1+H2+G2)</f>
        <v>4.6475</v>
      </c>
      <c r="J2" s="9">
        <f t="shared" ref="J2:J33" si="2">I2*365</f>
        <v>1696.3375000000001</v>
      </c>
      <c r="K2" s="6">
        <v>244800</v>
      </c>
      <c r="L2" s="5">
        <v>1830</v>
      </c>
      <c r="M2" s="9">
        <f>MAX(K2-J2,0)</f>
        <v>243103.66250000001</v>
      </c>
    </row>
    <row r="3" spans="1:13" x14ac:dyDescent="0.35">
      <c r="A3" s="5">
        <v>1831</v>
      </c>
      <c r="B3" s="7">
        <v>0.01</v>
      </c>
      <c r="C3" s="7">
        <v>4.3E-3</v>
      </c>
      <c r="D3" s="7">
        <v>0.10171428571428572</v>
      </c>
      <c r="E3" s="5" t="s">
        <v>12</v>
      </c>
      <c r="F3" s="8">
        <f t="shared" si="0"/>
        <v>3.6218571428571429</v>
      </c>
      <c r="G3" s="2">
        <f t="shared" ref="G3:G34" si="3">MIN(G2+(4*2/90/100*12),1)</f>
        <v>0.31066666666666665</v>
      </c>
      <c r="H3" s="2">
        <v>0</v>
      </c>
      <c r="I3" s="8">
        <f t="shared" si="1"/>
        <v>4.7470474285714284</v>
      </c>
      <c r="J3" s="9">
        <f t="shared" si="2"/>
        <v>1732.6723114285714</v>
      </c>
      <c r="K3" s="6"/>
      <c r="L3" s="5">
        <v>1831</v>
      </c>
      <c r="M3" s="9">
        <f t="shared" ref="M3:M34" si="4">MAX((M2+K3-J3)*0.994,0)</f>
        <v>239922.76424744001</v>
      </c>
    </row>
    <row r="4" spans="1:13" x14ac:dyDescent="0.35">
      <c r="A4" s="5">
        <v>1832</v>
      </c>
      <c r="B4" s="7">
        <v>1.0800000000000001E-2</v>
      </c>
      <c r="C4" s="7">
        <v>4.4999999999999997E-3</v>
      </c>
      <c r="D4" s="7">
        <v>0.1036</v>
      </c>
      <c r="E4" s="5" t="s">
        <v>12</v>
      </c>
      <c r="F4" s="8">
        <f t="shared" si="0"/>
        <v>3.7594000000000003</v>
      </c>
      <c r="G4" s="2">
        <f t="shared" si="3"/>
        <v>0.3213333333333333</v>
      </c>
      <c r="H4" s="2">
        <v>0</v>
      </c>
      <c r="I4" s="8">
        <f t="shared" si="1"/>
        <v>4.9674205333333337</v>
      </c>
      <c r="J4" s="9">
        <f t="shared" si="2"/>
        <v>1813.1084946666667</v>
      </c>
      <c r="K4" s="6"/>
      <c r="L4" s="5">
        <v>1832</v>
      </c>
      <c r="M4" s="9">
        <f t="shared" si="4"/>
        <v>236680.9978182567</v>
      </c>
    </row>
    <row r="5" spans="1:13" x14ac:dyDescent="0.35">
      <c r="A5" s="5">
        <v>1833</v>
      </c>
      <c r="B5" s="7">
        <v>1.1599999999999999E-2</v>
      </c>
      <c r="C5" s="7">
        <v>4.7000000000000002E-3</v>
      </c>
      <c r="D5" s="7">
        <v>0.10565714285714285</v>
      </c>
      <c r="E5" s="5" t="s">
        <v>12</v>
      </c>
      <c r="F5" s="8">
        <f t="shared" si="0"/>
        <v>3.8976285714285712</v>
      </c>
      <c r="G5" s="2">
        <f t="shared" si="3"/>
        <v>0.33199999999999996</v>
      </c>
      <c r="H5" s="2">
        <v>0</v>
      </c>
      <c r="I5" s="8">
        <f t="shared" si="1"/>
        <v>5.1916412571428561</v>
      </c>
      <c r="J5" s="9">
        <f t="shared" si="2"/>
        <v>1894.9490588571425</v>
      </c>
      <c r="K5" s="6"/>
      <c r="L5" s="5">
        <v>1833</v>
      </c>
      <c r="M5" s="9">
        <f t="shared" si="4"/>
        <v>233377.33246684316</v>
      </c>
    </row>
    <row r="6" spans="1:13" x14ac:dyDescent="0.35">
      <c r="A6" s="5">
        <v>1834</v>
      </c>
      <c r="B6" s="7">
        <v>1.24E-2</v>
      </c>
      <c r="C6" s="7">
        <v>4.8999999999999998E-3</v>
      </c>
      <c r="D6" s="7">
        <v>0.10788571428571428</v>
      </c>
      <c r="E6" s="5" t="s">
        <v>12</v>
      </c>
      <c r="F6" s="8">
        <f t="shared" si="0"/>
        <v>4.036542857142857</v>
      </c>
      <c r="G6" s="2">
        <f t="shared" si="3"/>
        <v>0.34266666666666662</v>
      </c>
      <c r="H6" s="2">
        <v>0</v>
      </c>
      <c r="I6" s="8">
        <f t="shared" si="1"/>
        <v>5.4197315428571429</v>
      </c>
      <c r="J6" s="9">
        <f t="shared" si="2"/>
        <v>1978.2020131428571</v>
      </c>
      <c r="K6" s="6"/>
      <c r="L6" s="5">
        <v>1834</v>
      </c>
      <c r="M6" s="9">
        <f t="shared" si="4"/>
        <v>230010.73567097812</v>
      </c>
    </row>
    <row r="7" spans="1:13" x14ac:dyDescent="0.35">
      <c r="A7" s="5">
        <v>1835</v>
      </c>
      <c r="B7" s="7">
        <v>1.32E-2</v>
      </c>
      <c r="C7" s="7">
        <v>5.1000000000000004E-3</v>
      </c>
      <c r="D7" s="7">
        <v>0.11028571428571428</v>
      </c>
      <c r="E7" s="5" t="s">
        <v>12</v>
      </c>
      <c r="F7" s="8">
        <f t="shared" si="0"/>
        <v>4.1761428571428567</v>
      </c>
      <c r="G7" s="2">
        <f t="shared" si="3"/>
        <v>0.35333333333333328</v>
      </c>
      <c r="H7" s="2">
        <v>0</v>
      </c>
      <c r="I7" s="8">
        <f t="shared" si="1"/>
        <v>5.6517133333333325</v>
      </c>
      <c r="J7" s="9">
        <f t="shared" si="2"/>
        <v>2062.8753666666662</v>
      </c>
      <c r="K7" s="6"/>
      <c r="L7" s="5">
        <v>1835</v>
      </c>
      <c r="M7" s="9">
        <f t="shared" si="4"/>
        <v>226580.17314248558</v>
      </c>
    </row>
    <row r="8" spans="1:13" x14ac:dyDescent="0.35">
      <c r="A8" s="5">
        <v>1836</v>
      </c>
      <c r="B8" s="7">
        <v>1.4E-2</v>
      </c>
      <c r="C8" s="7">
        <v>5.3E-3</v>
      </c>
      <c r="D8" s="7">
        <v>0.11285714285714285</v>
      </c>
      <c r="E8" s="5" t="s">
        <v>12</v>
      </c>
      <c r="F8" s="8">
        <f t="shared" si="0"/>
        <v>4.3164285714285722</v>
      </c>
      <c r="G8" s="2">
        <f t="shared" si="3"/>
        <v>0.36399999999999993</v>
      </c>
      <c r="H8" s="2">
        <v>0</v>
      </c>
      <c r="I8" s="8">
        <f t="shared" si="1"/>
        <v>5.8876085714285722</v>
      </c>
      <c r="J8" s="9">
        <f t="shared" si="2"/>
        <v>2148.9771285714287</v>
      </c>
      <c r="K8" s="6"/>
      <c r="L8" s="5">
        <v>1836</v>
      </c>
      <c r="M8" s="9">
        <f t="shared" si="4"/>
        <v>223084.60883783066</v>
      </c>
    </row>
    <row r="9" spans="1:13" x14ac:dyDescent="0.35">
      <c r="A9" s="5">
        <v>1837</v>
      </c>
      <c r="B9" s="7">
        <v>1.4800000000000001E-2</v>
      </c>
      <c r="C9" s="7">
        <v>5.4999999999999997E-3</v>
      </c>
      <c r="D9" s="7">
        <v>0.11559999999999999</v>
      </c>
      <c r="E9" s="5" t="s">
        <v>12</v>
      </c>
      <c r="F9" s="8">
        <f t="shared" si="0"/>
        <v>4.4573999999999998</v>
      </c>
      <c r="G9" s="2">
        <f t="shared" si="3"/>
        <v>0.37466666666666659</v>
      </c>
      <c r="H9" s="2">
        <v>0</v>
      </c>
      <c r="I9" s="8">
        <f t="shared" si="1"/>
        <v>6.1274391999999995</v>
      </c>
      <c r="J9" s="9">
        <f t="shared" si="2"/>
        <v>2236.515308</v>
      </c>
      <c r="K9" s="6"/>
      <c r="L9" s="5">
        <v>1837</v>
      </c>
      <c r="M9" s="9">
        <f t="shared" si="4"/>
        <v>219523.00496865169</v>
      </c>
    </row>
    <row r="10" spans="1:13" x14ac:dyDescent="0.35">
      <c r="A10" s="5">
        <v>1838</v>
      </c>
      <c r="B10" s="7">
        <v>1.5599999999999999E-2</v>
      </c>
      <c r="C10" s="7">
        <v>5.7000000000000002E-3</v>
      </c>
      <c r="D10" s="7">
        <v>0.11851428571428571</v>
      </c>
      <c r="E10" s="5" t="s">
        <v>12</v>
      </c>
      <c r="F10" s="8">
        <f t="shared" si="0"/>
        <v>4.5990571428571432</v>
      </c>
      <c r="G10" s="2">
        <f t="shared" si="3"/>
        <v>0.38533333333333325</v>
      </c>
      <c r="H10" s="2">
        <v>0</v>
      </c>
      <c r="I10" s="8">
        <f t="shared" si="1"/>
        <v>6.3712271619047618</v>
      </c>
      <c r="J10" s="9">
        <f t="shared" si="2"/>
        <v>2325.4979140952382</v>
      </c>
      <c r="K10" s="6"/>
      <c r="L10" s="5">
        <v>1838</v>
      </c>
      <c r="M10" s="9">
        <f t="shared" si="4"/>
        <v>215894.32201222912</v>
      </c>
    </row>
    <row r="11" spans="1:13" x14ac:dyDescent="0.35">
      <c r="A11" s="5">
        <v>1839</v>
      </c>
      <c r="B11" s="7">
        <v>1.6400000000000001E-2</v>
      </c>
      <c r="C11" s="7">
        <v>5.8999999999999999E-3</v>
      </c>
      <c r="D11" s="7">
        <v>0.1216</v>
      </c>
      <c r="E11" s="5" t="s">
        <v>12</v>
      </c>
      <c r="F11" s="8">
        <f t="shared" si="0"/>
        <v>4.7414000000000005</v>
      </c>
      <c r="G11" s="2">
        <f t="shared" si="3"/>
        <v>0.39599999999999991</v>
      </c>
      <c r="H11" s="2">
        <v>0</v>
      </c>
      <c r="I11" s="8">
        <f t="shared" si="1"/>
        <v>6.6189944000000001</v>
      </c>
      <c r="J11" s="9">
        <f t="shared" si="2"/>
        <v>2415.9329560000001</v>
      </c>
      <c r="K11" s="6"/>
      <c r="L11" s="5">
        <v>1839</v>
      </c>
      <c r="M11" s="9">
        <f t="shared" si="4"/>
        <v>212197.51872189174</v>
      </c>
    </row>
    <row r="12" spans="1:13" x14ac:dyDescent="0.35">
      <c r="A12" s="5">
        <v>1840</v>
      </c>
      <c r="B12" s="7">
        <v>1.72E-2</v>
      </c>
      <c r="C12" s="7">
        <v>6.1000000000000004E-3</v>
      </c>
      <c r="D12" s="7">
        <v>0.12485714285714286</v>
      </c>
      <c r="E12" s="5" t="s">
        <v>12</v>
      </c>
      <c r="F12" s="8">
        <f t="shared" si="0"/>
        <v>4.8844285714285718</v>
      </c>
      <c r="G12" s="2">
        <f t="shared" si="3"/>
        <v>0.40666666666666657</v>
      </c>
      <c r="H12" s="2">
        <v>0.5</v>
      </c>
      <c r="I12" s="8">
        <f t="shared" si="1"/>
        <v>9.3129771428571431</v>
      </c>
      <c r="J12" s="9">
        <f t="shared" si="2"/>
        <v>3399.2366571428574</v>
      </c>
      <c r="K12" s="6">
        <v>32400</v>
      </c>
      <c r="L12" s="5">
        <v>1840</v>
      </c>
      <c r="M12" s="9">
        <f t="shared" si="4"/>
        <v>239751.09237236038</v>
      </c>
    </row>
    <row r="13" spans="1:13" x14ac:dyDescent="0.35">
      <c r="A13" s="5">
        <v>1841</v>
      </c>
      <c r="B13" s="7">
        <v>1.7999999999999999E-2</v>
      </c>
      <c r="C13" s="7">
        <v>6.3E-3</v>
      </c>
      <c r="D13" s="7">
        <v>0.12828571428571428</v>
      </c>
      <c r="E13" s="5" t="s">
        <v>12</v>
      </c>
      <c r="F13" s="8">
        <f t="shared" si="0"/>
        <v>5.028142857142857</v>
      </c>
      <c r="G13" s="2">
        <f t="shared" si="3"/>
        <v>0.41733333333333322</v>
      </c>
      <c r="H13" s="2">
        <v>0.5</v>
      </c>
      <c r="I13" s="8">
        <f t="shared" si="1"/>
        <v>9.6406259047619027</v>
      </c>
      <c r="J13" s="9">
        <f t="shared" si="2"/>
        <v>3518.8284552380946</v>
      </c>
      <c r="K13" s="6"/>
      <c r="L13" s="5">
        <v>1841</v>
      </c>
      <c r="M13" s="9">
        <f t="shared" si="4"/>
        <v>234814.87033361953</v>
      </c>
    </row>
    <row r="14" spans="1:13" x14ac:dyDescent="0.35">
      <c r="A14" s="5">
        <v>1842</v>
      </c>
      <c r="B14" s="7">
        <v>1.8800000000000001E-2</v>
      </c>
      <c r="C14" s="7">
        <v>6.4999999999999997E-3</v>
      </c>
      <c r="D14" s="7">
        <v>0.13188571428571427</v>
      </c>
      <c r="E14" s="5" t="s">
        <v>12</v>
      </c>
      <c r="F14" s="8">
        <f t="shared" si="0"/>
        <v>5.172542857142858</v>
      </c>
      <c r="G14" s="2">
        <f t="shared" si="3"/>
        <v>0.42799999999999988</v>
      </c>
      <c r="H14" s="2">
        <v>0.5</v>
      </c>
      <c r="I14" s="8">
        <f t="shared" si="1"/>
        <v>9.9726626285714293</v>
      </c>
      <c r="J14" s="9">
        <f t="shared" si="2"/>
        <v>3640.0218594285716</v>
      </c>
      <c r="K14" s="6"/>
      <c r="L14" s="5">
        <v>1842</v>
      </c>
      <c r="M14" s="9">
        <f t="shared" si="4"/>
        <v>229787.79938334579</v>
      </c>
    </row>
    <row r="15" spans="1:13" x14ac:dyDescent="0.35">
      <c r="A15" s="5">
        <v>1843</v>
      </c>
      <c r="B15" s="7">
        <v>1.9599999999999999E-2</v>
      </c>
      <c r="C15" s="7">
        <v>6.7000000000000002E-3</v>
      </c>
      <c r="D15" s="7">
        <v>0.13565714285714284</v>
      </c>
      <c r="E15" s="5" t="s">
        <v>12</v>
      </c>
      <c r="F15" s="8">
        <f t="shared" si="0"/>
        <v>5.3176285714285711</v>
      </c>
      <c r="G15" s="2">
        <f t="shared" si="3"/>
        <v>0.43866666666666654</v>
      </c>
      <c r="H15" s="2">
        <v>1</v>
      </c>
      <c r="I15" s="8">
        <f t="shared" si="1"/>
        <v>12.96792354285714</v>
      </c>
      <c r="J15" s="9">
        <f t="shared" si="2"/>
        <v>4733.2920931428562</v>
      </c>
      <c r="K15" s="6"/>
      <c r="L15" s="5">
        <v>1843</v>
      </c>
      <c r="M15" s="9">
        <f t="shared" si="4"/>
        <v>223704.18024646171</v>
      </c>
    </row>
    <row r="16" spans="1:13" x14ac:dyDescent="0.35">
      <c r="A16" s="5">
        <v>1844</v>
      </c>
      <c r="B16" s="7">
        <v>2.0400000000000001E-2</v>
      </c>
      <c r="C16" s="7">
        <v>6.8999999999999999E-3</v>
      </c>
      <c r="D16" s="7">
        <v>0.13987599999999997</v>
      </c>
      <c r="E16" s="5" t="s">
        <v>12</v>
      </c>
      <c r="F16" s="8">
        <f t="shared" si="0"/>
        <v>5.4045039999999993</v>
      </c>
      <c r="G16" s="2">
        <f t="shared" si="3"/>
        <v>0.4493333333333332</v>
      </c>
      <c r="H16" s="2">
        <v>1</v>
      </c>
      <c r="I16" s="8">
        <f t="shared" si="1"/>
        <v>13.237431797333331</v>
      </c>
      <c r="J16" s="9">
        <f t="shared" si="2"/>
        <v>4831.6626060266653</v>
      </c>
      <c r="K16" s="6"/>
      <c r="L16" s="5">
        <v>1844</v>
      </c>
      <c r="M16" s="9">
        <f t="shared" si="4"/>
        <v>217559.28253459244</v>
      </c>
    </row>
    <row r="17" spans="1:13" x14ac:dyDescent="0.35">
      <c r="A17" s="5">
        <v>1845</v>
      </c>
      <c r="B17" s="7">
        <v>2.12E-2</v>
      </c>
      <c r="C17" s="7">
        <v>7.1000000000000004E-3</v>
      </c>
      <c r="D17" s="7">
        <v>0.14468971428571425</v>
      </c>
      <c r="E17" s="5" t="s">
        <v>12</v>
      </c>
      <c r="F17" s="8">
        <f t="shared" si="0"/>
        <v>5.4337588571428572</v>
      </c>
      <c r="G17" s="2">
        <f t="shared" si="3"/>
        <v>0.45999999999999985</v>
      </c>
      <c r="H17" s="2">
        <v>1</v>
      </c>
      <c r="I17" s="8">
        <f t="shared" si="1"/>
        <v>13.367046788571429</v>
      </c>
      <c r="J17" s="9">
        <f t="shared" si="2"/>
        <v>4878.9720778285719</v>
      </c>
      <c r="K17" s="6"/>
      <c r="L17" s="5">
        <v>1845</v>
      </c>
      <c r="M17" s="9">
        <f t="shared" si="4"/>
        <v>211404.22859402327</v>
      </c>
    </row>
    <row r="18" spans="1:13" x14ac:dyDescent="0.35">
      <c r="A18" s="5">
        <v>1846</v>
      </c>
      <c r="B18" s="7">
        <v>2.1999999999999999E-2</v>
      </c>
      <c r="C18" s="7">
        <v>7.3000000000000001E-3</v>
      </c>
      <c r="D18" s="7">
        <v>0.14970399999999998</v>
      </c>
      <c r="E18" s="5" t="s">
        <v>12</v>
      </c>
      <c r="F18" s="8">
        <f t="shared" si="0"/>
        <v>5.4638159999999996</v>
      </c>
      <c r="G18" s="2">
        <f t="shared" si="3"/>
        <v>0.47066666666666651</v>
      </c>
      <c r="H18" s="2">
        <v>1</v>
      </c>
      <c r="I18" s="8">
        <f t="shared" si="1"/>
        <v>13.499268063999997</v>
      </c>
      <c r="J18" s="9">
        <f t="shared" si="2"/>
        <v>4927.2328433599987</v>
      </c>
      <c r="K18" s="6"/>
      <c r="L18" s="5">
        <v>1846</v>
      </c>
      <c r="M18" s="9">
        <f t="shared" si="4"/>
        <v>205238.13377615929</v>
      </c>
    </row>
    <row r="19" spans="1:13" x14ac:dyDescent="0.35">
      <c r="A19" s="5">
        <v>1847</v>
      </c>
      <c r="B19" s="7">
        <v>2.2800000000000001E-2</v>
      </c>
      <c r="C19" s="7">
        <v>7.4999999999999997E-3</v>
      </c>
      <c r="D19" s="7">
        <v>0.15491885714285711</v>
      </c>
      <c r="E19" s="5" t="s">
        <v>12</v>
      </c>
      <c r="F19" s="8">
        <f t="shared" si="0"/>
        <v>5.4946754285714281</v>
      </c>
      <c r="G19" s="2">
        <f t="shared" si="3"/>
        <v>0.48133333333333317</v>
      </c>
      <c r="H19" s="2">
        <v>1</v>
      </c>
      <c r="I19" s="8">
        <f t="shared" si="1"/>
        <v>13.634121296761903</v>
      </c>
      <c r="J19" s="9">
        <f t="shared" si="2"/>
        <v>4976.4542733180942</v>
      </c>
      <c r="K19" s="6"/>
      <c r="L19" s="5">
        <v>1847</v>
      </c>
      <c r="M19" s="9">
        <f t="shared" si="4"/>
        <v>199060.10942582416</v>
      </c>
    </row>
    <row r="20" spans="1:13" x14ac:dyDescent="0.35">
      <c r="A20" s="5">
        <v>1848</v>
      </c>
      <c r="B20" s="7">
        <v>2.3599999999999999E-2</v>
      </c>
      <c r="C20" s="7">
        <v>7.7000000000000002E-3</v>
      </c>
      <c r="D20" s="7">
        <v>0.16033428571428568</v>
      </c>
      <c r="E20" s="5" t="s">
        <v>12</v>
      </c>
      <c r="F20" s="8">
        <f t="shared" si="0"/>
        <v>5.5263371428571428</v>
      </c>
      <c r="G20" s="2">
        <f t="shared" si="3"/>
        <v>0.49199999999999983</v>
      </c>
      <c r="H20" s="2">
        <v>1</v>
      </c>
      <c r="I20" s="8">
        <f t="shared" si="1"/>
        <v>13.771632159999999</v>
      </c>
      <c r="J20" s="9">
        <f t="shared" si="2"/>
        <v>5026.6457383999996</v>
      </c>
      <c r="K20" s="6">
        <v>10800</v>
      </c>
      <c r="L20" s="5">
        <v>1848</v>
      </c>
      <c r="M20" s="9">
        <f t="shared" si="4"/>
        <v>203604.46290529962</v>
      </c>
    </row>
    <row r="21" spans="1:13" x14ac:dyDescent="0.35">
      <c r="A21" s="5">
        <v>1849</v>
      </c>
      <c r="B21" s="7">
        <v>2.4400000000000002E-2</v>
      </c>
      <c r="C21" s="7">
        <v>7.9000000000000008E-3</v>
      </c>
      <c r="D21" s="7">
        <v>0.16595028571428569</v>
      </c>
      <c r="E21" s="5" t="s">
        <v>12</v>
      </c>
      <c r="F21" s="8">
        <f t="shared" si="0"/>
        <v>5.5588011428571429</v>
      </c>
      <c r="G21" s="2">
        <f t="shared" si="3"/>
        <v>0.50266666666666648</v>
      </c>
      <c r="H21" s="2">
        <v>1</v>
      </c>
      <c r="I21" s="8">
        <f t="shared" si="1"/>
        <v>13.911826326857142</v>
      </c>
      <c r="J21" s="9">
        <f t="shared" si="2"/>
        <v>5077.8166093028567</v>
      </c>
      <c r="K21" s="6"/>
      <c r="L21" s="5">
        <v>1849</v>
      </c>
      <c r="M21" s="9">
        <f t="shared" si="4"/>
        <v>197335.48641822077</v>
      </c>
    </row>
    <row r="22" spans="1:13" x14ac:dyDescent="0.35">
      <c r="A22" s="5">
        <v>1850</v>
      </c>
      <c r="B22" s="7">
        <v>2.52E-2</v>
      </c>
      <c r="C22" s="7">
        <v>8.0999999999999996E-3</v>
      </c>
      <c r="D22" s="7">
        <v>0.17176685714285711</v>
      </c>
      <c r="E22" s="5" t="s">
        <v>12</v>
      </c>
      <c r="F22" s="8">
        <f t="shared" si="0"/>
        <v>5.5920674285714282</v>
      </c>
      <c r="G22" s="2">
        <f t="shared" si="3"/>
        <v>0.5133333333333332</v>
      </c>
      <c r="H22" s="2">
        <v>1</v>
      </c>
      <c r="I22" s="8">
        <f t="shared" si="1"/>
        <v>14.05472947047619</v>
      </c>
      <c r="J22" s="9">
        <f t="shared" si="2"/>
        <v>5129.9762567238095</v>
      </c>
      <c r="K22" s="6">
        <v>259200</v>
      </c>
      <c r="L22" s="5">
        <v>1850</v>
      </c>
      <c r="M22" s="9">
        <f t="shared" si="4"/>
        <v>448697.077100528</v>
      </c>
    </row>
    <row r="23" spans="1:13" x14ac:dyDescent="0.35">
      <c r="A23" s="5">
        <v>1851</v>
      </c>
      <c r="B23" s="7">
        <v>2.5999999999999999E-2</v>
      </c>
      <c r="C23" s="7">
        <v>8.3000000000000001E-3</v>
      </c>
      <c r="D23" s="7">
        <v>0.17778399999999997</v>
      </c>
      <c r="E23" s="5" t="s">
        <v>12</v>
      </c>
      <c r="F23" s="8">
        <f t="shared" si="0"/>
        <v>5.6261359999999998</v>
      </c>
      <c r="G23" s="2">
        <f t="shared" si="3"/>
        <v>0.52399999999999991</v>
      </c>
      <c r="H23" s="2">
        <v>1</v>
      </c>
      <c r="I23" s="8">
        <f t="shared" si="1"/>
        <v>14.200367264</v>
      </c>
      <c r="J23" s="9">
        <f t="shared" si="2"/>
        <v>5183.1340513599998</v>
      </c>
      <c r="K23" s="6"/>
      <c r="L23" s="5">
        <v>1851</v>
      </c>
      <c r="M23" s="9">
        <f t="shared" si="4"/>
        <v>440852.859390873</v>
      </c>
    </row>
    <row r="24" spans="1:13" x14ac:dyDescent="0.35">
      <c r="A24" s="5">
        <v>1852</v>
      </c>
      <c r="B24" s="7">
        <v>2.6800000000000001E-2</v>
      </c>
      <c r="C24" s="7">
        <v>8.5000000000000006E-3</v>
      </c>
      <c r="D24" s="7">
        <v>0.18453314285714284</v>
      </c>
      <c r="E24" s="5" t="s">
        <v>12</v>
      </c>
      <c r="F24" s="8">
        <f t="shared" si="0"/>
        <v>5.6631325714285712</v>
      </c>
      <c r="G24" s="2">
        <f t="shared" si="3"/>
        <v>0.53466666666666662</v>
      </c>
      <c r="H24" s="2">
        <v>1</v>
      </c>
      <c r="I24" s="8">
        <f t="shared" si="1"/>
        <v>14.354153357714283</v>
      </c>
      <c r="J24" s="9">
        <f t="shared" si="2"/>
        <v>5239.2659755657132</v>
      </c>
      <c r="K24" s="6"/>
      <c r="L24" s="5">
        <v>1852</v>
      </c>
      <c r="M24" s="9">
        <f t="shared" si="4"/>
        <v>432999.91185481544</v>
      </c>
    </row>
    <row r="25" spans="1:13" x14ac:dyDescent="0.35">
      <c r="A25" s="5">
        <v>1853</v>
      </c>
      <c r="B25" s="7">
        <v>2.76E-2</v>
      </c>
      <c r="C25" s="7">
        <v>8.6999999999999994E-3</v>
      </c>
      <c r="D25" s="7">
        <v>0.19149999999999998</v>
      </c>
      <c r="E25" s="5" t="s">
        <v>12</v>
      </c>
      <c r="F25" s="8">
        <f t="shared" si="0"/>
        <v>5.7009999999999996</v>
      </c>
      <c r="G25" s="2">
        <f t="shared" si="3"/>
        <v>0.54533333333333334</v>
      </c>
      <c r="H25" s="2">
        <v>1</v>
      </c>
      <c r="I25" s="8">
        <f t="shared" si="1"/>
        <v>14.510945333333332</v>
      </c>
      <c r="J25" s="9">
        <f t="shared" si="2"/>
        <v>5296.495046666666</v>
      </c>
      <c r="K25" s="6"/>
      <c r="L25" s="5">
        <v>1853</v>
      </c>
      <c r="M25" s="9">
        <f t="shared" si="4"/>
        <v>425137.19630729989</v>
      </c>
    </row>
    <row r="26" spans="1:13" x14ac:dyDescent="0.35">
      <c r="A26" s="5">
        <v>1854</v>
      </c>
      <c r="B26" s="7">
        <v>2.8400000000000002E-2</v>
      </c>
      <c r="C26" s="7">
        <v>8.8999999999999999E-3</v>
      </c>
      <c r="D26" s="7">
        <v>0.19925028571428569</v>
      </c>
      <c r="E26" s="5" t="s">
        <v>12</v>
      </c>
      <c r="F26" s="8">
        <f t="shared" si="0"/>
        <v>5.7420011428571422</v>
      </c>
      <c r="G26" s="2">
        <f t="shared" si="3"/>
        <v>0.55600000000000005</v>
      </c>
      <c r="H26" s="2">
        <v>1</v>
      </c>
      <c r="I26" s="8">
        <f t="shared" si="1"/>
        <v>14.676554921142856</v>
      </c>
      <c r="J26" s="9">
        <f t="shared" si="2"/>
        <v>5356.9425462171421</v>
      </c>
      <c r="K26" s="6"/>
      <c r="L26" s="5">
        <v>1854</v>
      </c>
      <c r="M26" s="9">
        <f t="shared" si="4"/>
        <v>417261.5722385163</v>
      </c>
    </row>
    <row r="27" spans="1:13" x14ac:dyDescent="0.35">
      <c r="A27" s="5">
        <v>1855</v>
      </c>
      <c r="B27" s="7">
        <v>2.92E-2</v>
      </c>
      <c r="C27" s="7">
        <v>9.1000000000000004E-3</v>
      </c>
      <c r="D27" s="7">
        <v>0.20723542857142854</v>
      </c>
      <c r="E27" s="5" t="s">
        <v>12</v>
      </c>
      <c r="F27" s="8">
        <f t="shared" si="0"/>
        <v>5.7839417142857146</v>
      </c>
      <c r="G27" s="2">
        <f t="shared" si="3"/>
        <v>0.56666666666666676</v>
      </c>
      <c r="H27" s="2">
        <v>1</v>
      </c>
      <c r="I27" s="8">
        <f t="shared" si="1"/>
        <v>14.845450400000002</v>
      </c>
      <c r="J27" s="9">
        <f t="shared" si="2"/>
        <v>5418.5893960000012</v>
      </c>
      <c r="K27" s="6">
        <v>21600</v>
      </c>
      <c r="L27" s="5">
        <v>1855</v>
      </c>
      <c r="M27" s="9">
        <f t="shared" si="4"/>
        <v>430842.32494546118</v>
      </c>
    </row>
    <row r="28" spans="1:13" x14ac:dyDescent="0.35">
      <c r="A28" s="5">
        <v>1856</v>
      </c>
      <c r="B28" s="7">
        <v>0.03</v>
      </c>
      <c r="C28" s="7">
        <v>9.2999999999999992E-3</v>
      </c>
      <c r="D28" s="7">
        <v>0.21575542857142854</v>
      </c>
      <c r="E28" s="5" t="s">
        <v>12</v>
      </c>
      <c r="F28" s="8">
        <f t="shared" si="0"/>
        <v>5.8280217142857138</v>
      </c>
      <c r="G28" s="2">
        <f t="shared" si="3"/>
        <v>0.57733333333333348</v>
      </c>
      <c r="H28" s="2">
        <v>1</v>
      </c>
      <c r="I28" s="8">
        <f t="shared" si="1"/>
        <v>15.020754631619049</v>
      </c>
      <c r="J28" s="9">
        <f t="shared" si="2"/>
        <v>5482.5754405409525</v>
      </c>
      <c r="K28" s="6"/>
      <c r="L28" s="5">
        <v>1856</v>
      </c>
      <c r="M28" s="9">
        <f t="shared" si="4"/>
        <v>422807.5910078907</v>
      </c>
    </row>
    <row r="29" spans="1:13" x14ac:dyDescent="0.35">
      <c r="A29" s="5">
        <v>1857</v>
      </c>
      <c r="B29" s="7">
        <v>3.0800000000000001E-2</v>
      </c>
      <c r="C29" s="7">
        <v>9.4999999999999998E-3</v>
      </c>
      <c r="D29" s="7">
        <v>0.22637028571428569</v>
      </c>
      <c r="E29" s="5" t="s">
        <v>12</v>
      </c>
      <c r="F29" s="8">
        <f t="shared" si="0"/>
        <v>5.8804811428571426</v>
      </c>
      <c r="G29" s="2">
        <f t="shared" si="3"/>
        <v>0.58800000000000019</v>
      </c>
      <c r="H29" s="2">
        <v>1</v>
      </c>
      <c r="I29" s="8">
        <f t="shared" si="1"/>
        <v>15.218685197714285</v>
      </c>
      <c r="J29" s="9">
        <f t="shared" si="2"/>
        <v>5554.8200971657143</v>
      </c>
      <c r="K29" s="6"/>
      <c r="L29" s="5">
        <v>1857</v>
      </c>
      <c r="M29" s="9">
        <f t="shared" si="4"/>
        <v>414749.25428526063</v>
      </c>
    </row>
    <row r="30" spans="1:13" x14ac:dyDescent="0.35">
      <c r="A30" s="5">
        <v>1858</v>
      </c>
      <c r="B30" s="7">
        <v>3.1600000000000003E-2</v>
      </c>
      <c r="C30" s="7">
        <v>9.7000000000000003E-3</v>
      </c>
      <c r="D30" s="7">
        <v>0.23727999999999999</v>
      </c>
      <c r="E30" s="5" t="s">
        <v>12</v>
      </c>
      <c r="F30" s="8">
        <f t="shared" si="0"/>
        <v>5.9341200000000001</v>
      </c>
      <c r="G30" s="2">
        <f t="shared" si="3"/>
        <v>0.5986666666666669</v>
      </c>
      <c r="H30" s="2">
        <v>1</v>
      </c>
      <c r="I30" s="8">
        <f t="shared" si="1"/>
        <v>15.420799840000001</v>
      </c>
      <c r="J30" s="9">
        <f t="shared" si="2"/>
        <v>5628.5919416000006</v>
      </c>
      <c r="K30" s="6"/>
      <c r="L30" s="5">
        <v>1858</v>
      </c>
      <c r="M30" s="9">
        <f t="shared" si="4"/>
        <v>406665.93836959865</v>
      </c>
    </row>
    <row r="31" spans="1:13" x14ac:dyDescent="0.35">
      <c r="A31" s="5">
        <v>1859</v>
      </c>
      <c r="B31" s="7">
        <v>3.2399999999999998E-2</v>
      </c>
      <c r="C31" s="7">
        <v>9.9000000000000008E-3</v>
      </c>
      <c r="D31" s="7">
        <v>0.24848457142857142</v>
      </c>
      <c r="E31" s="5" t="s">
        <v>12</v>
      </c>
      <c r="F31" s="8">
        <f t="shared" si="0"/>
        <v>5.9889382857142861</v>
      </c>
      <c r="G31" s="2">
        <f t="shared" si="3"/>
        <v>0.60933333333333362</v>
      </c>
      <c r="H31" s="2">
        <v>1</v>
      </c>
      <c r="I31" s="8">
        <f t="shared" si="1"/>
        <v>15.627136300190479</v>
      </c>
      <c r="J31" s="9">
        <f t="shared" si="2"/>
        <v>5703.9047495695249</v>
      </c>
      <c r="K31" s="6"/>
      <c r="L31" s="5">
        <v>1859</v>
      </c>
      <c r="M31" s="9">
        <f t="shared" si="4"/>
        <v>398556.26141830895</v>
      </c>
    </row>
    <row r="32" spans="1:13" x14ac:dyDescent="0.35">
      <c r="A32" s="5">
        <v>1860</v>
      </c>
      <c r="B32" s="7">
        <v>3.32E-2</v>
      </c>
      <c r="C32" s="7">
        <v>1.01E-2</v>
      </c>
      <c r="D32" s="7">
        <v>0.25998399999999999</v>
      </c>
      <c r="E32" s="5" t="s">
        <v>12</v>
      </c>
      <c r="F32" s="8">
        <f t="shared" si="0"/>
        <v>6.0449359999999999</v>
      </c>
      <c r="G32" s="2">
        <f t="shared" si="3"/>
        <v>0.62000000000000033</v>
      </c>
      <c r="H32" s="2">
        <v>1</v>
      </c>
      <c r="I32" s="8">
        <f t="shared" si="1"/>
        <v>15.837732320000001</v>
      </c>
      <c r="J32" s="9">
        <f t="shared" si="2"/>
        <v>5780.7722967999998</v>
      </c>
      <c r="K32" s="6">
        <v>10800</v>
      </c>
      <c r="L32" s="5">
        <v>1860</v>
      </c>
      <c r="M32" s="9">
        <f t="shared" si="4"/>
        <v>401154.03618677991</v>
      </c>
    </row>
    <row r="33" spans="1:13" x14ac:dyDescent="0.35">
      <c r="A33" s="5">
        <v>1861</v>
      </c>
      <c r="B33" s="7">
        <v>3.4000000000000002E-2</v>
      </c>
      <c r="C33" s="7">
        <v>1.03E-2</v>
      </c>
      <c r="D33" s="7">
        <v>0.27177828571428569</v>
      </c>
      <c r="E33" s="5" t="s">
        <v>12</v>
      </c>
      <c r="F33" s="8">
        <f t="shared" si="0"/>
        <v>6.1021131428571431</v>
      </c>
      <c r="G33" s="2">
        <f t="shared" si="3"/>
        <v>0.63066666666666704</v>
      </c>
      <c r="H33" s="2">
        <v>1.5</v>
      </c>
      <c r="I33" s="8">
        <f t="shared" si="1"/>
        <v>19.103682212571432</v>
      </c>
      <c r="J33" s="9">
        <f t="shared" si="2"/>
        <v>6972.8440075885728</v>
      </c>
      <c r="K33" s="6"/>
      <c r="L33" s="5">
        <v>1861</v>
      </c>
      <c r="M33" s="9">
        <f t="shared" si="4"/>
        <v>391816.10502611619</v>
      </c>
    </row>
    <row r="34" spans="1:13" x14ac:dyDescent="0.35">
      <c r="A34" s="5">
        <v>1862</v>
      </c>
      <c r="B34" s="7">
        <v>3.4799999999999998E-2</v>
      </c>
      <c r="C34" s="7">
        <v>1.0500000000000001E-2</v>
      </c>
      <c r="D34" s="7">
        <v>0.28386742857142855</v>
      </c>
      <c r="E34" s="5" t="s">
        <v>12</v>
      </c>
      <c r="F34" s="8">
        <f t="shared" ref="F34:F65" si="5">(MIN(B34,0.02)*150)+(MIN(C34,0.04)*50)+(MIN(D34,1)*4)+(IF(E34="Great Power",1.5,IF(E34="Secondary Power",1.25,IF(E34="Westernized Nation",1,0))))</f>
        <v>6.1604697142857141</v>
      </c>
      <c r="G34" s="2">
        <f t="shared" si="3"/>
        <v>0.64133333333333375</v>
      </c>
      <c r="H34" s="2">
        <v>1.5</v>
      </c>
      <c r="I34" s="8">
        <f t="shared" ref="I34:I65" si="6">F34*(1+H34+G34)</f>
        <v>19.352088862476194</v>
      </c>
      <c r="J34" s="9">
        <f t="shared" ref="J34:J65" si="7">I34*365</f>
        <v>7063.5124348038107</v>
      </c>
      <c r="K34" s="6"/>
      <c r="L34" s="5">
        <v>1862</v>
      </c>
      <c r="M34" s="9">
        <f t="shared" si="4"/>
        <v>382444.07703576447</v>
      </c>
    </row>
    <row r="35" spans="1:13" x14ac:dyDescent="0.35">
      <c r="A35" s="5">
        <v>1863</v>
      </c>
      <c r="B35" s="7">
        <v>3.56E-2</v>
      </c>
      <c r="C35" s="7">
        <v>1.0699999999999999E-2</v>
      </c>
      <c r="D35" s="7">
        <v>0.29625142857142855</v>
      </c>
      <c r="E35" s="5" t="s">
        <v>12</v>
      </c>
      <c r="F35" s="8">
        <f t="shared" si="5"/>
        <v>6.2200057142857146</v>
      </c>
      <c r="G35" s="2">
        <f t="shared" ref="G35:G66" si="8">MIN(G34+(4*2/90/100*12),1)</f>
        <v>0.65200000000000047</v>
      </c>
      <c r="H35" s="2">
        <v>1.5</v>
      </c>
      <c r="I35" s="8">
        <f t="shared" si="6"/>
        <v>19.605458011428578</v>
      </c>
      <c r="J35" s="9">
        <f t="shared" si="7"/>
        <v>7155.9921741714306</v>
      </c>
      <c r="K35" s="6"/>
      <c r="L35" s="5">
        <v>1863</v>
      </c>
      <c r="M35" s="9">
        <f t="shared" ref="M35:M66" si="9">MAX((M34+K35-J35)*0.994,0)</f>
        <v>373036.35635242349</v>
      </c>
    </row>
    <row r="36" spans="1:13" x14ac:dyDescent="0.35">
      <c r="A36" s="5">
        <v>1864</v>
      </c>
      <c r="B36" s="7">
        <v>3.6400000000000002E-2</v>
      </c>
      <c r="C36" s="7">
        <v>1.09E-2</v>
      </c>
      <c r="D36" s="7">
        <v>0.30966742857142854</v>
      </c>
      <c r="E36" s="5" t="s">
        <v>12</v>
      </c>
      <c r="F36" s="8">
        <f t="shared" si="5"/>
        <v>6.2836697142857139</v>
      </c>
      <c r="G36" s="2">
        <f t="shared" si="8"/>
        <v>0.66266666666666718</v>
      </c>
      <c r="H36" s="2">
        <v>1.5</v>
      </c>
      <c r="I36" s="8">
        <f t="shared" si="6"/>
        <v>19.87315274971429</v>
      </c>
      <c r="J36" s="9">
        <f t="shared" si="7"/>
        <v>7253.7007536457158</v>
      </c>
      <c r="K36" s="6"/>
      <c r="L36" s="5">
        <v>1864</v>
      </c>
      <c r="M36" s="9">
        <f t="shared" si="9"/>
        <v>363587.95966518507</v>
      </c>
    </row>
    <row r="37" spans="1:13" x14ac:dyDescent="0.35">
      <c r="A37" s="5">
        <v>1865</v>
      </c>
      <c r="B37" s="7">
        <v>3.7199999999999997E-2</v>
      </c>
      <c r="C37" s="7">
        <v>1.11E-2</v>
      </c>
      <c r="D37" s="7">
        <v>0.32339542857142856</v>
      </c>
      <c r="E37" s="5" t="s">
        <v>12</v>
      </c>
      <c r="F37" s="8">
        <f t="shared" si="5"/>
        <v>6.3485817142857144</v>
      </c>
      <c r="G37" s="2">
        <f t="shared" si="8"/>
        <v>0.67333333333333389</v>
      </c>
      <c r="H37" s="2">
        <v>1.5</v>
      </c>
      <c r="I37" s="8">
        <f t="shared" si="6"/>
        <v>20.146165973333336</v>
      </c>
      <c r="J37" s="9">
        <f t="shared" si="7"/>
        <v>7353.3505802666677</v>
      </c>
      <c r="K37" s="6"/>
      <c r="L37" s="5">
        <v>1865</v>
      </c>
      <c r="M37" s="9">
        <f t="shared" si="9"/>
        <v>354097.20143040887</v>
      </c>
    </row>
    <row r="38" spans="1:13" x14ac:dyDescent="0.35">
      <c r="A38" s="5">
        <v>1866</v>
      </c>
      <c r="B38" s="7">
        <v>3.7999999999999999E-2</v>
      </c>
      <c r="C38" s="7">
        <v>1.1299999999999999E-2</v>
      </c>
      <c r="D38" s="7">
        <v>0.33743542857142855</v>
      </c>
      <c r="E38" s="5" t="s">
        <v>12</v>
      </c>
      <c r="F38" s="8">
        <f t="shared" si="5"/>
        <v>6.4147417142857144</v>
      </c>
      <c r="G38" s="2">
        <f t="shared" si="8"/>
        <v>0.68400000000000061</v>
      </c>
      <c r="H38" s="2">
        <v>1.5</v>
      </c>
      <c r="I38" s="8">
        <f t="shared" si="6"/>
        <v>20.424537618285719</v>
      </c>
      <c r="J38" s="9">
        <f t="shared" si="7"/>
        <v>7454.9562306742873</v>
      </c>
      <c r="K38" s="6"/>
      <c r="L38" s="5">
        <v>1866</v>
      </c>
      <c r="M38" s="9">
        <f t="shared" si="9"/>
        <v>344562.39172853617</v>
      </c>
    </row>
    <row r="39" spans="1:13" x14ac:dyDescent="0.35">
      <c r="A39" s="5">
        <v>1867</v>
      </c>
      <c r="B39" s="7">
        <v>3.8800000000000001E-2</v>
      </c>
      <c r="C39" s="7">
        <v>1.15E-2</v>
      </c>
      <c r="D39" s="7">
        <v>0.35178742857142853</v>
      </c>
      <c r="E39" s="5" t="s">
        <v>12</v>
      </c>
      <c r="F39" s="8">
        <f t="shared" si="5"/>
        <v>6.4821497142857147</v>
      </c>
      <c r="G39" s="2">
        <f t="shared" si="8"/>
        <v>0.69466666666666732</v>
      </c>
      <c r="H39" s="2">
        <v>1.5</v>
      </c>
      <c r="I39" s="8">
        <f t="shared" si="6"/>
        <v>20.708307620571436</v>
      </c>
      <c r="J39" s="9">
        <f t="shared" si="7"/>
        <v>7558.5322815085738</v>
      </c>
      <c r="K39" s="6"/>
      <c r="L39" s="5">
        <v>1867</v>
      </c>
      <c r="M39" s="9">
        <f t="shared" si="9"/>
        <v>334981.83629034547</v>
      </c>
    </row>
    <row r="40" spans="1:13" x14ac:dyDescent="0.35">
      <c r="A40" s="5">
        <v>1868</v>
      </c>
      <c r="B40" s="7">
        <v>3.9600000000000003E-2</v>
      </c>
      <c r="C40" s="7">
        <v>1.17E-2</v>
      </c>
      <c r="D40" s="7">
        <v>0.36645142857142854</v>
      </c>
      <c r="E40" s="5" t="s">
        <v>12</v>
      </c>
      <c r="F40" s="8">
        <f t="shared" si="5"/>
        <v>6.5508057142857137</v>
      </c>
      <c r="G40" s="2">
        <f t="shared" si="8"/>
        <v>0.70533333333333403</v>
      </c>
      <c r="H40" s="2">
        <v>1.5</v>
      </c>
      <c r="I40" s="8">
        <f t="shared" si="6"/>
        <v>20.997515916190476</v>
      </c>
      <c r="J40" s="9">
        <f t="shared" si="7"/>
        <v>7664.0933094095235</v>
      </c>
      <c r="K40" s="6"/>
      <c r="L40" s="5">
        <v>1868</v>
      </c>
      <c r="M40" s="9">
        <f t="shared" si="9"/>
        <v>325353.83652305033</v>
      </c>
    </row>
    <row r="41" spans="1:13" x14ac:dyDescent="0.35">
      <c r="A41" s="5">
        <v>1869</v>
      </c>
      <c r="B41" s="7">
        <v>4.0399999999999998E-2</v>
      </c>
      <c r="C41" s="7">
        <v>1.1900000000000001E-2</v>
      </c>
      <c r="D41" s="7">
        <v>0.38142742857142853</v>
      </c>
      <c r="E41" s="5" t="s">
        <v>12</v>
      </c>
      <c r="F41" s="8">
        <f t="shared" si="5"/>
        <v>6.6207097142857148</v>
      </c>
      <c r="G41" s="2">
        <f t="shared" si="8"/>
        <v>0.71600000000000075</v>
      </c>
      <c r="H41" s="2">
        <v>1.5</v>
      </c>
      <c r="I41" s="8">
        <f t="shared" si="6"/>
        <v>21.292202441142862</v>
      </c>
      <c r="J41" s="9">
        <f t="shared" si="7"/>
        <v>7771.6538910171448</v>
      </c>
      <c r="K41" s="6"/>
      <c r="L41" s="5">
        <v>1869</v>
      </c>
      <c r="M41" s="9">
        <f t="shared" si="9"/>
        <v>315676.689536241</v>
      </c>
    </row>
    <row r="42" spans="1:13" x14ac:dyDescent="0.35">
      <c r="A42" s="5">
        <v>1870</v>
      </c>
      <c r="B42" s="7">
        <v>4.0999999999999898E-2</v>
      </c>
      <c r="C42" s="7">
        <v>1.21E-2</v>
      </c>
      <c r="D42" s="7">
        <v>0.39671542857142855</v>
      </c>
      <c r="E42" s="5" t="s">
        <v>12</v>
      </c>
      <c r="F42" s="8">
        <f t="shared" si="5"/>
        <v>6.6918617142857144</v>
      </c>
      <c r="G42" s="2">
        <f t="shared" si="8"/>
        <v>0.72666666666666746</v>
      </c>
      <c r="H42" s="2">
        <v>1.5</v>
      </c>
      <c r="I42" s="8">
        <f t="shared" si="6"/>
        <v>21.592407131428576</v>
      </c>
      <c r="J42" s="9">
        <f t="shared" si="7"/>
        <v>7881.2286029714305</v>
      </c>
      <c r="K42" s="6">
        <v>331200</v>
      </c>
      <c r="L42" s="5">
        <v>1870</v>
      </c>
      <c r="M42" s="9">
        <f t="shared" si="9"/>
        <v>635161.48816766997</v>
      </c>
    </row>
    <row r="43" spans="1:13" x14ac:dyDescent="0.35">
      <c r="A43" s="5">
        <v>1871</v>
      </c>
      <c r="B43" s="7">
        <v>4.0999999999999898E-2</v>
      </c>
      <c r="C43" s="7">
        <v>1.23E-2</v>
      </c>
      <c r="D43" s="7">
        <v>0.412744</v>
      </c>
      <c r="E43" s="5" t="s">
        <v>12</v>
      </c>
      <c r="F43" s="8">
        <f t="shared" si="5"/>
        <v>6.7659760000000002</v>
      </c>
      <c r="G43" s="2">
        <f t="shared" si="8"/>
        <v>0.73733333333333417</v>
      </c>
      <c r="H43" s="2">
        <v>2.5</v>
      </c>
      <c r="I43" s="8">
        <f t="shared" si="6"/>
        <v>28.669695637333337</v>
      </c>
      <c r="J43" s="9">
        <f t="shared" si="7"/>
        <v>10464.438907626669</v>
      </c>
      <c r="K43" s="6"/>
      <c r="L43" s="5">
        <v>1871</v>
      </c>
      <c r="M43" s="9">
        <f t="shared" si="9"/>
        <v>620948.86696448305</v>
      </c>
    </row>
    <row r="44" spans="1:13" x14ac:dyDescent="0.35">
      <c r="A44" s="5">
        <v>1872</v>
      </c>
      <c r="B44" s="7">
        <v>4.0999999999999898E-2</v>
      </c>
      <c r="C44" s="7">
        <v>1.2500000000000001E-2</v>
      </c>
      <c r="D44" s="7">
        <v>0.42909314285714284</v>
      </c>
      <c r="E44" s="5" t="s">
        <v>12</v>
      </c>
      <c r="F44" s="8">
        <f t="shared" si="5"/>
        <v>6.8413725714285718</v>
      </c>
      <c r="G44" s="2">
        <f t="shared" si="8"/>
        <v>0.74800000000000089</v>
      </c>
      <c r="H44" s="2">
        <v>2.5</v>
      </c>
      <c r="I44" s="8">
        <f t="shared" si="6"/>
        <v>29.06215068342858</v>
      </c>
      <c r="J44" s="9">
        <f t="shared" si="7"/>
        <v>10607.684999451432</v>
      </c>
      <c r="K44" s="6">
        <v>14400</v>
      </c>
      <c r="L44" s="5">
        <v>1872</v>
      </c>
      <c r="M44" s="9">
        <f t="shared" si="9"/>
        <v>620992.73487324151</v>
      </c>
    </row>
    <row r="45" spans="1:13" x14ac:dyDescent="0.35">
      <c r="A45" s="5">
        <v>1873</v>
      </c>
      <c r="B45" s="7">
        <v>4.0999999999999898E-2</v>
      </c>
      <c r="C45" s="7">
        <v>1.2699999999999999E-2</v>
      </c>
      <c r="D45" s="7">
        <v>0.44576285714285713</v>
      </c>
      <c r="E45" s="5" t="s">
        <v>12</v>
      </c>
      <c r="F45" s="8">
        <f t="shared" si="5"/>
        <v>6.9180514285714283</v>
      </c>
      <c r="G45" s="2">
        <f t="shared" si="8"/>
        <v>0.7586666666666676</v>
      </c>
      <c r="H45" s="2">
        <v>2.5</v>
      </c>
      <c r="I45" s="8">
        <f t="shared" si="6"/>
        <v>29.461675017142863</v>
      </c>
      <c r="J45" s="9">
        <f t="shared" si="7"/>
        <v>10753.511381257145</v>
      </c>
      <c r="K45" s="6"/>
      <c r="L45" s="5">
        <v>1873</v>
      </c>
      <c r="M45" s="9">
        <f t="shared" si="9"/>
        <v>606577.78815103252</v>
      </c>
    </row>
    <row r="46" spans="1:13" x14ac:dyDescent="0.35">
      <c r="A46" s="5">
        <v>1874</v>
      </c>
      <c r="B46" s="7">
        <v>4.0999999999999898E-2</v>
      </c>
      <c r="C46" s="7">
        <v>1.29E-2</v>
      </c>
      <c r="D46" s="7">
        <v>0.46275314285714286</v>
      </c>
      <c r="E46" s="5" t="s">
        <v>12</v>
      </c>
      <c r="F46" s="8">
        <f t="shared" si="5"/>
        <v>6.9960125714285715</v>
      </c>
      <c r="G46" s="2">
        <f t="shared" si="8"/>
        <v>0.76933333333333431</v>
      </c>
      <c r="H46" s="2">
        <v>2.5</v>
      </c>
      <c r="I46" s="8">
        <f t="shared" si="6"/>
        <v>29.868309671619052</v>
      </c>
      <c r="J46" s="9">
        <f t="shared" si="7"/>
        <v>10901.933030140954</v>
      </c>
      <c r="K46" s="6"/>
      <c r="L46" s="5">
        <v>1874</v>
      </c>
      <c r="M46" s="9">
        <f t="shared" si="9"/>
        <v>592101.79999016621</v>
      </c>
    </row>
    <row r="47" spans="1:13" x14ac:dyDescent="0.35">
      <c r="A47" s="5">
        <v>1875</v>
      </c>
      <c r="B47" s="7">
        <v>4.0999999999999898E-2</v>
      </c>
      <c r="C47" s="7">
        <v>1.3100000000000001E-2</v>
      </c>
      <c r="D47" s="7">
        <v>0.48006399999999999</v>
      </c>
      <c r="E47" s="5" t="s">
        <v>12</v>
      </c>
      <c r="F47" s="8">
        <f t="shared" si="5"/>
        <v>7.0752560000000004</v>
      </c>
      <c r="G47" s="2">
        <f t="shared" si="8"/>
        <v>0.78000000000000103</v>
      </c>
      <c r="H47" s="2">
        <v>2.5</v>
      </c>
      <c r="I47" s="8">
        <f t="shared" si="6"/>
        <v>30.282095680000008</v>
      </c>
      <c r="J47" s="9">
        <f t="shared" si="7"/>
        <v>11052.964923200003</v>
      </c>
      <c r="K47" s="6">
        <v>14400</v>
      </c>
      <c r="L47" s="5">
        <v>1875</v>
      </c>
      <c r="M47" s="9">
        <f t="shared" si="9"/>
        <v>591876.14205656445</v>
      </c>
    </row>
    <row r="48" spans="1:13" x14ac:dyDescent="0.35">
      <c r="A48" s="5">
        <v>1876</v>
      </c>
      <c r="B48" s="7">
        <v>4.0999999999999898E-2</v>
      </c>
      <c r="C48" s="7">
        <v>1.3299999999999999E-2</v>
      </c>
      <c r="D48" s="7">
        <v>0.49769542857142857</v>
      </c>
      <c r="E48" s="5" t="s">
        <v>12</v>
      </c>
      <c r="F48" s="8">
        <f t="shared" si="5"/>
        <v>7.1557817142857143</v>
      </c>
      <c r="G48" s="2">
        <f t="shared" si="8"/>
        <v>0.79066666666666774</v>
      </c>
      <c r="H48" s="2">
        <v>2.5</v>
      </c>
      <c r="I48" s="8">
        <f t="shared" si="6"/>
        <v>30.703074075428578</v>
      </c>
      <c r="J48" s="9">
        <f t="shared" si="7"/>
        <v>11206.622037531431</v>
      </c>
      <c r="K48" s="6"/>
      <c r="L48" s="5">
        <v>1876</v>
      </c>
      <c r="M48" s="9">
        <f t="shared" si="9"/>
        <v>577185.50289891881</v>
      </c>
    </row>
    <row r="49" spans="1:13" x14ac:dyDescent="0.35">
      <c r="A49" s="5">
        <v>1877</v>
      </c>
      <c r="B49" s="7">
        <v>4.0999999999999898E-2</v>
      </c>
      <c r="C49" s="7">
        <v>1.35E-2</v>
      </c>
      <c r="D49" s="7">
        <v>0.51564742857142853</v>
      </c>
      <c r="E49" s="5" t="s">
        <v>12</v>
      </c>
      <c r="F49" s="8">
        <f t="shared" si="5"/>
        <v>7.237589714285714</v>
      </c>
      <c r="G49" s="2">
        <f t="shared" si="8"/>
        <v>0.80133333333333445</v>
      </c>
      <c r="H49" s="2">
        <v>2.5</v>
      </c>
      <c r="I49" s="8">
        <f t="shared" si="6"/>
        <v>31.131285891047629</v>
      </c>
      <c r="J49" s="9">
        <f t="shared" si="7"/>
        <v>11362.919350232385</v>
      </c>
      <c r="K49" s="6"/>
      <c r="L49" s="5">
        <v>1877</v>
      </c>
      <c r="M49" s="9">
        <f t="shared" si="9"/>
        <v>562427.64804739435</v>
      </c>
    </row>
    <row r="50" spans="1:13" x14ac:dyDescent="0.35">
      <c r="A50" s="5">
        <v>1878</v>
      </c>
      <c r="B50" s="7">
        <v>4.09999999999998E-2</v>
      </c>
      <c r="C50" s="7">
        <v>1.37E-2</v>
      </c>
      <c r="D50" s="7">
        <v>0.53391999999999995</v>
      </c>
      <c r="E50" s="5" t="s">
        <v>12</v>
      </c>
      <c r="F50" s="8">
        <f t="shared" si="5"/>
        <v>7.3206799999999994</v>
      </c>
      <c r="G50" s="2">
        <f t="shared" si="8"/>
        <v>0.81200000000000117</v>
      </c>
      <c r="H50" s="2">
        <v>2.5</v>
      </c>
      <c r="I50" s="8">
        <f t="shared" si="6"/>
        <v>31.566772160000006</v>
      </c>
      <c r="J50" s="9">
        <f t="shared" si="7"/>
        <v>11521.871838400002</v>
      </c>
      <c r="K50" s="6"/>
      <c r="L50" s="5">
        <v>1878</v>
      </c>
      <c r="M50" s="9">
        <f t="shared" si="9"/>
        <v>547600.3415517403</v>
      </c>
    </row>
    <row r="51" spans="1:13" x14ac:dyDescent="0.35">
      <c r="A51" s="5">
        <v>1879</v>
      </c>
      <c r="B51" s="7">
        <v>4.09999999999998E-2</v>
      </c>
      <c r="C51" s="7">
        <v>1.3899999999999999E-2</v>
      </c>
      <c r="D51" s="7">
        <v>0.55251314285714281</v>
      </c>
      <c r="E51" s="5" t="s">
        <v>12</v>
      </c>
      <c r="F51" s="8">
        <f t="shared" si="5"/>
        <v>7.4050525714285715</v>
      </c>
      <c r="G51" s="2">
        <f t="shared" si="8"/>
        <v>0.82266666666666788</v>
      </c>
      <c r="H51" s="2">
        <v>2.5</v>
      </c>
      <c r="I51" s="8">
        <f t="shared" si="6"/>
        <v>32.009573915428575</v>
      </c>
      <c r="J51" s="9">
        <f t="shared" si="7"/>
        <v>11683.49447913143</v>
      </c>
      <c r="K51" s="6"/>
      <c r="L51" s="5">
        <v>1879</v>
      </c>
      <c r="M51" s="9">
        <f t="shared" si="9"/>
        <v>532701.34599017329</v>
      </c>
    </row>
    <row r="52" spans="1:13" x14ac:dyDescent="0.35">
      <c r="A52" s="5">
        <v>1880</v>
      </c>
      <c r="B52" s="7">
        <v>4.09999999999998E-2</v>
      </c>
      <c r="C52" s="7">
        <v>1.41E-2</v>
      </c>
      <c r="D52" s="7">
        <v>0.57142685714285713</v>
      </c>
      <c r="E52" s="5" t="s">
        <v>12</v>
      </c>
      <c r="F52" s="8">
        <f t="shared" si="5"/>
        <v>7.4907074285714286</v>
      </c>
      <c r="G52" s="2">
        <f t="shared" si="8"/>
        <v>0.83333333333333459</v>
      </c>
      <c r="H52" s="2">
        <v>2.5</v>
      </c>
      <c r="I52" s="8">
        <f t="shared" si="6"/>
        <v>32.459732190476203</v>
      </c>
      <c r="J52" s="9">
        <f t="shared" si="7"/>
        <v>11847.802249523815</v>
      </c>
      <c r="K52" s="6">
        <v>50400</v>
      </c>
      <c r="L52" s="5">
        <v>1880</v>
      </c>
      <c r="M52" s="9">
        <f t="shared" si="9"/>
        <v>567826.02247820562</v>
      </c>
    </row>
    <row r="53" spans="1:13" x14ac:dyDescent="0.35">
      <c r="A53" s="5">
        <v>1881</v>
      </c>
      <c r="B53" s="7">
        <v>4.09999999999998E-2</v>
      </c>
      <c r="C53" s="7">
        <v>1.43E-2</v>
      </c>
      <c r="D53" s="7">
        <v>0.59066114285714288</v>
      </c>
      <c r="E53" s="5" t="s">
        <v>12</v>
      </c>
      <c r="F53" s="8">
        <f t="shared" si="5"/>
        <v>7.5776445714285714</v>
      </c>
      <c r="G53" s="2">
        <f t="shared" si="8"/>
        <v>0.8440000000000013</v>
      </c>
      <c r="H53" s="2">
        <v>3.5</v>
      </c>
      <c r="I53" s="8">
        <f t="shared" si="6"/>
        <v>40.494932589714296</v>
      </c>
      <c r="J53" s="9">
        <f t="shared" si="7"/>
        <v>14780.650395245719</v>
      </c>
      <c r="K53" s="6"/>
      <c r="L53" s="5">
        <v>1881</v>
      </c>
      <c r="M53" s="9">
        <f t="shared" si="9"/>
        <v>549727.09985046205</v>
      </c>
    </row>
    <row r="54" spans="1:13" x14ac:dyDescent="0.35">
      <c r="A54" s="5">
        <v>1882</v>
      </c>
      <c r="B54" s="7">
        <v>4.09999999999998E-2</v>
      </c>
      <c r="C54" s="7">
        <v>1.4500000000000001E-2</v>
      </c>
      <c r="D54" s="7">
        <v>0.61021599999999998</v>
      </c>
      <c r="E54" s="5" t="s">
        <v>12</v>
      </c>
      <c r="F54" s="8">
        <f t="shared" si="5"/>
        <v>7.665864</v>
      </c>
      <c r="G54" s="2">
        <f t="shared" si="8"/>
        <v>0.85466666666666802</v>
      </c>
      <c r="H54" s="2">
        <v>3.5</v>
      </c>
      <c r="I54" s="8">
        <f t="shared" si="6"/>
        <v>41.048146432000017</v>
      </c>
      <c r="J54" s="9">
        <f t="shared" si="7"/>
        <v>14982.573447680006</v>
      </c>
      <c r="K54" s="6"/>
      <c r="L54" s="5">
        <v>1882</v>
      </c>
      <c r="M54" s="9">
        <f t="shared" si="9"/>
        <v>531536.05924436531</v>
      </c>
    </row>
    <row r="55" spans="1:13" x14ac:dyDescent="0.35">
      <c r="A55" s="5">
        <v>1883</v>
      </c>
      <c r="B55" s="7">
        <v>4.09999999999998E-2</v>
      </c>
      <c r="C55" s="7">
        <v>1.47E-2</v>
      </c>
      <c r="D55" s="7">
        <v>0.63009142857142852</v>
      </c>
      <c r="E55" s="5" t="s">
        <v>12</v>
      </c>
      <c r="F55" s="8">
        <f t="shared" si="5"/>
        <v>7.7553657142857144</v>
      </c>
      <c r="G55" s="2">
        <f t="shared" si="8"/>
        <v>0.86533333333333473</v>
      </c>
      <c r="H55" s="2">
        <v>3.5</v>
      </c>
      <c r="I55" s="8">
        <f t="shared" si="6"/>
        <v>41.610122179047629</v>
      </c>
      <c r="J55" s="9">
        <f t="shared" si="7"/>
        <v>15187.694595352385</v>
      </c>
      <c r="K55" s="6"/>
      <c r="L55" s="5">
        <v>1883</v>
      </c>
      <c r="M55" s="9">
        <f t="shared" si="9"/>
        <v>513250.27446111885</v>
      </c>
    </row>
    <row r="56" spans="1:13" x14ac:dyDescent="0.35">
      <c r="A56" s="5">
        <v>1884</v>
      </c>
      <c r="B56" s="7">
        <v>4.09999999999998E-2</v>
      </c>
      <c r="C56" s="7">
        <v>1.49E-2</v>
      </c>
      <c r="D56" s="7">
        <v>0.65190742857142847</v>
      </c>
      <c r="E56" s="5" t="s">
        <v>12</v>
      </c>
      <c r="F56" s="8">
        <f t="shared" si="5"/>
        <v>7.8526297142857135</v>
      </c>
      <c r="G56" s="2">
        <f t="shared" si="8"/>
        <v>0.87600000000000144</v>
      </c>
      <c r="H56" s="2">
        <v>3.5</v>
      </c>
      <c r="I56" s="8">
        <f t="shared" si="6"/>
        <v>42.215737344000004</v>
      </c>
      <c r="J56" s="9">
        <f t="shared" si="7"/>
        <v>15408.744130560002</v>
      </c>
      <c r="K56" s="6"/>
      <c r="L56" s="5">
        <v>1884</v>
      </c>
      <c r="M56" s="9">
        <f t="shared" si="9"/>
        <v>494854.48114857549</v>
      </c>
    </row>
    <row r="57" spans="1:13" x14ac:dyDescent="0.35">
      <c r="A57" s="5">
        <v>1885</v>
      </c>
      <c r="B57" s="7">
        <v>4.09999999999998E-2</v>
      </c>
      <c r="C57" s="7">
        <v>1.5100000000000001E-2</v>
      </c>
      <c r="D57" s="7">
        <v>0.67406971428571416</v>
      </c>
      <c r="E57" s="5" t="s">
        <v>12</v>
      </c>
      <c r="F57" s="8">
        <f t="shared" si="5"/>
        <v>7.9512788571428565</v>
      </c>
      <c r="G57" s="2">
        <f t="shared" si="8"/>
        <v>0.88666666666666816</v>
      </c>
      <c r="H57" s="2">
        <v>3.5</v>
      </c>
      <c r="I57" s="8">
        <f t="shared" si="6"/>
        <v>42.830888777142867</v>
      </c>
      <c r="J57" s="9">
        <f t="shared" si="7"/>
        <v>15633.274403657146</v>
      </c>
      <c r="K57" s="6"/>
      <c r="L57" s="5">
        <v>1885</v>
      </c>
      <c r="M57" s="9">
        <f t="shared" si="9"/>
        <v>476345.87950444885</v>
      </c>
    </row>
    <row r="58" spans="1:13" x14ac:dyDescent="0.35">
      <c r="A58" s="5">
        <v>1886</v>
      </c>
      <c r="B58" s="7">
        <v>4.09999999999998E-2</v>
      </c>
      <c r="C58" s="7">
        <v>1.5299999999999999E-2</v>
      </c>
      <c r="D58" s="7">
        <v>0.69657828571428559</v>
      </c>
      <c r="E58" s="5" t="s">
        <v>12</v>
      </c>
      <c r="F58" s="8">
        <f t="shared" si="5"/>
        <v>8.0513131428571434</v>
      </c>
      <c r="G58" s="2">
        <f t="shared" si="8"/>
        <v>0.89733333333333487</v>
      </c>
      <c r="H58" s="2">
        <v>3.5</v>
      </c>
      <c r="I58" s="8">
        <f t="shared" si="6"/>
        <v>43.455620803047637</v>
      </c>
      <c r="J58" s="9">
        <f t="shared" si="7"/>
        <v>15861.301593112388</v>
      </c>
      <c r="K58" s="6"/>
      <c r="L58" s="5">
        <v>1886</v>
      </c>
      <c r="M58" s="9">
        <f t="shared" si="9"/>
        <v>457721.67044386844</v>
      </c>
    </row>
    <row r="59" spans="1:13" x14ac:dyDescent="0.35">
      <c r="A59" s="5">
        <v>1887</v>
      </c>
      <c r="B59" s="7">
        <v>4.09999999999998E-2</v>
      </c>
      <c r="C59" s="7">
        <v>1.55E-2</v>
      </c>
      <c r="D59" s="7">
        <v>0.71943314285714277</v>
      </c>
      <c r="E59" s="5" t="s">
        <v>12</v>
      </c>
      <c r="F59" s="8">
        <f t="shared" si="5"/>
        <v>8.1527325714285706</v>
      </c>
      <c r="G59" s="2">
        <f t="shared" si="8"/>
        <v>0.90800000000000158</v>
      </c>
      <c r="H59" s="2">
        <v>3.5</v>
      </c>
      <c r="I59" s="8">
        <f t="shared" si="6"/>
        <v>44.089977746285719</v>
      </c>
      <c r="J59" s="9">
        <f t="shared" si="7"/>
        <v>16092.841877394287</v>
      </c>
      <c r="K59" s="6"/>
      <c r="L59" s="5">
        <v>1887</v>
      </c>
      <c r="M59" s="9">
        <f t="shared" si="9"/>
        <v>438979.0555950753</v>
      </c>
    </row>
    <row r="60" spans="1:13" x14ac:dyDescent="0.35">
      <c r="A60" s="5">
        <v>1888</v>
      </c>
      <c r="B60" s="7">
        <v>4.0999999999999703E-2</v>
      </c>
      <c r="C60" s="7">
        <v>1.5699999999999999E-2</v>
      </c>
      <c r="D60" s="7">
        <v>0.74263428571428558</v>
      </c>
      <c r="E60" s="5" t="s">
        <v>12</v>
      </c>
      <c r="F60" s="8">
        <f t="shared" si="5"/>
        <v>8.2555371428571434</v>
      </c>
      <c r="G60" s="2">
        <f t="shared" si="8"/>
        <v>0.9186666666666683</v>
      </c>
      <c r="H60" s="2">
        <v>3.5</v>
      </c>
      <c r="I60" s="8">
        <f t="shared" si="6"/>
        <v>44.734003931428589</v>
      </c>
      <c r="J60" s="9">
        <f t="shared" si="7"/>
        <v>16327.911434971435</v>
      </c>
      <c r="K60" s="6"/>
      <c r="L60" s="5">
        <v>1888</v>
      </c>
      <c r="M60" s="9">
        <f t="shared" si="9"/>
        <v>420115.23729514325</v>
      </c>
    </row>
    <row r="61" spans="1:13" x14ac:dyDescent="0.35">
      <c r="A61" s="5">
        <v>1889</v>
      </c>
      <c r="B61" s="7">
        <v>4.0999999999999703E-2</v>
      </c>
      <c r="C61" s="7">
        <v>1.5900000000000001E-2</v>
      </c>
      <c r="D61" s="7">
        <v>0.76618171428571413</v>
      </c>
      <c r="E61" s="5" t="s">
        <v>12</v>
      </c>
      <c r="F61" s="8">
        <f t="shared" si="5"/>
        <v>8.3597268571428565</v>
      </c>
      <c r="G61" s="2">
        <f t="shared" si="8"/>
        <v>0.92933333333333501</v>
      </c>
      <c r="H61" s="2">
        <v>3.5</v>
      </c>
      <c r="I61" s="8">
        <f t="shared" si="6"/>
        <v>45.387743683047631</v>
      </c>
      <c r="J61" s="9">
        <f t="shared" si="7"/>
        <v>16566.526444312385</v>
      </c>
      <c r="K61" s="6"/>
      <c r="L61" s="5">
        <v>1889</v>
      </c>
      <c r="M61" s="9">
        <f t="shared" si="9"/>
        <v>401127.41858572589</v>
      </c>
    </row>
    <row r="62" spans="1:13" x14ac:dyDescent="0.35">
      <c r="A62" s="5">
        <v>1890</v>
      </c>
      <c r="B62" s="7">
        <v>4.0999999999999703E-2</v>
      </c>
      <c r="C62" s="7">
        <v>1.61E-2</v>
      </c>
      <c r="D62" s="7">
        <v>0.79007542857142843</v>
      </c>
      <c r="E62" s="5" t="s">
        <v>12</v>
      </c>
      <c r="F62" s="8">
        <f t="shared" si="5"/>
        <v>8.4653017142857134</v>
      </c>
      <c r="G62" s="2">
        <f t="shared" si="8"/>
        <v>0.94000000000000172</v>
      </c>
      <c r="H62" s="2">
        <v>3.5</v>
      </c>
      <c r="I62" s="8">
        <f t="shared" si="6"/>
        <v>46.051241325714294</v>
      </c>
      <c r="J62" s="9">
        <f t="shared" si="7"/>
        <v>16808.703083885717</v>
      </c>
      <c r="K62" s="6">
        <v>54000</v>
      </c>
      <c r="L62" s="5">
        <v>1890</v>
      </c>
      <c r="M62" s="9">
        <f t="shared" si="9"/>
        <v>435688.80320882914</v>
      </c>
    </row>
    <row r="63" spans="1:13" x14ac:dyDescent="0.35">
      <c r="A63" s="5">
        <v>1891</v>
      </c>
      <c r="B63" s="7">
        <v>4.0999999999999703E-2</v>
      </c>
      <c r="C63" s="7">
        <v>1.6299999999999999E-2</v>
      </c>
      <c r="D63" s="7">
        <v>0.81431542857142847</v>
      </c>
      <c r="E63" s="5" t="s">
        <v>12</v>
      </c>
      <c r="F63" s="8">
        <f t="shared" si="5"/>
        <v>8.5722617142857143</v>
      </c>
      <c r="G63" s="2">
        <f t="shared" si="8"/>
        <v>0.95066666666666844</v>
      </c>
      <c r="H63" s="2">
        <v>3.5</v>
      </c>
      <c r="I63" s="8">
        <f t="shared" si="6"/>
        <v>46.724541184000017</v>
      </c>
      <c r="J63" s="9">
        <f t="shared" si="7"/>
        <v>17054.457532160006</v>
      </c>
      <c r="K63" s="6"/>
      <c r="L63" s="5">
        <v>1891</v>
      </c>
      <c r="M63" s="9">
        <f t="shared" si="9"/>
        <v>416122.53960260912</v>
      </c>
    </row>
    <row r="64" spans="1:13" x14ac:dyDescent="0.35">
      <c r="A64" s="5">
        <v>1892</v>
      </c>
      <c r="B64" s="7">
        <v>4.0999999999999703E-2</v>
      </c>
      <c r="C64" s="7">
        <v>1.6500000000000001E-2</v>
      </c>
      <c r="D64" s="7">
        <v>0.83855542857142851</v>
      </c>
      <c r="E64" s="5" t="s">
        <v>12</v>
      </c>
      <c r="F64" s="8">
        <f t="shared" si="5"/>
        <v>8.6792217142857133</v>
      </c>
      <c r="G64" s="2">
        <f t="shared" si="8"/>
        <v>0.96133333333333515</v>
      </c>
      <c r="H64" s="2">
        <v>3.5</v>
      </c>
      <c r="I64" s="8">
        <f t="shared" si="6"/>
        <v>47.40012285561906</v>
      </c>
      <c r="J64" s="9">
        <f t="shared" si="7"/>
        <v>17301.044842300958</v>
      </c>
      <c r="K64" s="6"/>
      <c r="L64" s="5">
        <v>1892</v>
      </c>
      <c r="M64" s="9">
        <f t="shared" si="9"/>
        <v>396428.56579174631</v>
      </c>
    </row>
    <row r="65" spans="1:13" x14ac:dyDescent="0.35">
      <c r="A65" s="5">
        <v>1893</v>
      </c>
      <c r="B65" s="7">
        <v>4.0999999999999703E-2</v>
      </c>
      <c r="C65" s="7">
        <v>1.67E-2</v>
      </c>
      <c r="D65" s="7">
        <v>0.86279542857142855</v>
      </c>
      <c r="E65" s="5" t="s">
        <v>12</v>
      </c>
      <c r="F65" s="8">
        <f t="shared" si="5"/>
        <v>8.7861817142857142</v>
      </c>
      <c r="G65" s="2">
        <f t="shared" si="8"/>
        <v>0.97200000000000186</v>
      </c>
      <c r="H65" s="2">
        <v>3.5</v>
      </c>
      <c r="I65" s="8">
        <f t="shared" si="6"/>
        <v>48.077986340571449</v>
      </c>
      <c r="J65" s="9">
        <f t="shared" si="7"/>
        <v>17548.465014308578</v>
      </c>
      <c r="K65" s="6"/>
      <c r="L65" s="5">
        <v>1893</v>
      </c>
      <c r="M65" s="9">
        <f t="shared" si="9"/>
        <v>376606.82017277309</v>
      </c>
    </row>
    <row r="66" spans="1:13" x14ac:dyDescent="0.35">
      <c r="A66" s="5">
        <v>1894</v>
      </c>
      <c r="B66" s="7">
        <v>4.0999999999999703E-2</v>
      </c>
      <c r="C66" s="7">
        <v>1.6899999999999998E-2</v>
      </c>
      <c r="D66" s="7">
        <v>0.88703542857142859</v>
      </c>
      <c r="E66" s="5" t="s">
        <v>12</v>
      </c>
      <c r="F66" s="8">
        <f t="shared" ref="F66:F97" si="10">(MIN(B66,0.02)*150)+(MIN(C66,0.04)*50)+(MIN(D66,1)*4)+(IF(E66="Great Power",1.5,IF(E66="Secondary Power",1.25,IF(E66="Westernized Nation",1,0))))</f>
        <v>8.893141714285715</v>
      </c>
      <c r="G66" s="2">
        <f t="shared" si="8"/>
        <v>0.98266666666666858</v>
      </c>
      <c r="H66" s="2">
        <v>3.5</v>
      </c>
      <c r="I66" s="8">
        <f t="shared" ref="I66:I97" si="11">F66*(1+H66+G66)</f>
        <v>48.758131638857165</v>
      </c>
      <c r="J66" s="9">
        <f t="shared" ref="J66:J97" si="12">I66*365</f>
        <v>17796.718048182865</v>
      </c>
      <c r="K66" s="6"/>
      <c r="L66" s="5">
        <v>1894</v>
      </c>
      <c r="M66" s="9">
        <f t="shared" si="9"/>
        <v>356657.2415118427</v>
      </c>
    </row>
    <row r="67" spans="1:13" x14ac:dyDescent="0.35">
      <c r="A67" s="5">
        <v>1895</v>
      </c>
      <c r="B67" s="7">
        <v>4.0999999999999703E-2</v>
      </c>
      <c r="C67" s="7">
        <v>1.7100000000000001E-2</v>
      </c>
      <c r="D67" s="7">
        <v>0.91127542857142863</v>
      </c>
      <c r="E67" s="5" t="s">
        <v>12</v>
      </c>
      <c r="F67" s="8">
        <f t="shared" si="10"/>
        <v>9.000101714285714</v>
      </c>
      <c r="G67" s="2">
        <f t="shared" ref="G67:G98" si="13">MIN(G66+(4*2/90/100*12),1)</f>
        <v>0.99333333333333529</v>
      </c>
      <c r="H67" s="2">
        <v>3.5</v>
      </c>
      <c r="I67" s="8">
        <f t="shared" si="11"/>
        <v>49.440558750476207</v>
      </c>
      <c r="J67" s="9">
        <f t="shared" si="12"/>
        <v>18045.803943923816</v>
      </c>
      <c r="K67" s="6">
        <v>18000</v>
      </c>
      <c r="L67" s="5">
        <v>1895</v>
      </c>
      <c r="M67" s="9">
        <f t="shared" ref="M67:M98" si="14">MAX((M66+K67-J67)*0.994,0)</f>
        <v>354471.76894251141</v>
      </c>
    </row>
    <row r="68" spans="1:13" x14ac:dyDescent="0.35">
      <c r="A68" s="5">
        <v>1896</v>
      </c>
      <c r="B68" s="7">
        <v>4.0999999999999703E-2</v>
      </c>
      <c r="C68" s="7">
        <v>1.7299999999999999E-2</v>
      </c>
      <c r="D68" s="7">
        <v>0.93551542857142866</v>
      </c>
      <c r="E68" s="5" t="s">
        <v>12</v>
      </c>
      <c r="F68" s="8">
        <f t="shared" si="10"/>
        <v>9.1070617142857149</v>
      </c>
      <c r="G68" s="2">
        <f t="shared" si="13"/>
        <v>1</v>
      </c>
      <c r="H68" s="2">
        <v>3.5</v>
      </c>
      <c r="I68" s="8">
        <f t="shared" si="11"/>
        <v>50.088839428571433</v>
      </c>
      <c r="J68" s="9">
        <f t="shared" si="12"/>
        <v>18282.426391428573</v>
      </c>
      <c r="K68" s="6"/>
      <c r="L68" s="5">
        <v>1896</v>
      </c>
      <c r="M68" s="9">
        <f t="shared" si="14"/>
        <v>334172.20649577637</v>
      </c>
    </row>
    <row r="69" spans="1:13" x14ac:dyDescent="0.35">
      <c r="A69" s="5">
        <v>1897</v>
      </c>
      <c r="B69" s="7">
        <v>4.0999999999999703E-2</v>
      </c>
      <c r="C69" s="7">
        <v>1.7500000000000002E-2</v>
      </c>
      <c r="D69" s="7">
        <v>0.9597554285714287</v>
      </c>
      <c r="E69" s="5" t="s">
        <v>12</v>
      </c>
      <c r="F69" s="8">
        <f t="shared" si="10"/>
        <v>9.2140217142857139</v>
      </c>
      <c r="G69" s="2">
        <f t="shared" si="13"/>
        <v>1</v>
      </c>
      <c r="H69" s="2">
        <v>3.5</v>
      </c>
      <c r="I69" s="8">
        <f t="shared" si="11"/>
        <v>50.67711942857143</v>
      </c>
      <c r="J69" s="9">
        <f t="shared" si="12"/>
        <v>18497.148591428573</v>
      </c>
      <c r="K69" s="6"/>
      <c r="L69" s="5">
        <v>1897</v>
      </c>
      <c r="M69" s="9">
        <f t="shared" si="14"/>
        <v>313781.00755692169</v>
      </c>
    </row>
    <row r="70" spans="1:13" x14ac:dyDescent="0.35">
      <c r="A70" s="5">
        <v>1898</v>
      </c>
      <c r="B70" s="7">
        <v>4.0999999999999599E-2</v>
      </c>
      <c r="C70" s="7">
        <v>1.77E-2</v>
      </c>
      <c r="D70" s="7">
        <v>0.98399542857142874</v>
      </c>
      <c r="E70" s="5" t="s">
        <v>12</v>
      </c>
      <c r="F70" s="8">
        <f t="shared" si="10"/>
        <v>9.3209817142857148</v>
      </c>
      <c r="G70" s="2">
        <f t="shared" si="13"/>
        <v>1</v>
      </c>
      <c r="H70" s="2">
        <v>3.5</v>
      </c>
      <c r="I70" s="8">
        <f t="shared" si="11"/>
        <v>51.265399428571428</v>
      </c>
      <c r="J70" s="9">
        <f t="shared" si="12"/>
        <v>18711.87079142857</v>
      </c>
      <c r="K70" s="6">
        <v>18000</v>
      </c>
      <c r="L70" s="5">
        <v>1898</v>
      </c>
      <c r="M70" s="9">
        <f t="shared" si="14"/>
        <v>311190.72194490017</v>
      </c>
    </row>
    <row r="71" spans="1:13" x14ac:dyDescent="0.35">
      <c r="A71" s="5">
        <v>1899</v>
      </c>
      <c r="B71" s="7">
        <v>4.0999999999999599E-2</v>
      </c>
      <c r="C71" s="7">
        <v>1.7899999999999999E-2</v>
      </c>
      <c r="D71" s="7">
        <v>1</v>
      </c>
      <c r="E71" s="5" t="s">
        <v>12</v>
      </c>
      <c r="F71" s="8">
        <f t="shared" si="10"/>
        <v>9.3949999999999996</v>
      </c>
      <c r="G71" s="2">
        <f t="shared" si="13"/>
        <v>1</v>
      </c>
      <c r="H71" s="2">
        <v>3.5</v>
      </c>
      <c r="I71" s="8">
        <f t="shared" si="11"/>
        <v>51.672499999999999</v>
      </c>
      <c r="J71" s="9">
        <f t="shared" si="12"/>
        <v>18860.462500000001</v>
      </c>
      <c r="K71" s="6"/>
      <c r="L71" s="5">
        <v>1899</v>
      </c>
      <c r="M71" s="9">
        <f t="shared" si="14"/>
        <v>290576.27788823075</v>
      </c>
    </row>
    <row r="72" spans="1:13" x14ac:dyDescent="0.35">
      <c r="A72" s="5">
        <v>1900</v>
      </c>
      <c r="B72" s="7">
        <v>4.0999999999999599E-2</v>
      </c>
      <c r="C72" s="7">
        <v>1.8100000000000002E-2</v>
      </c>
      <c r="D72" s="7">
        <v>1</v>
      </c>
      <c r="E72" s="5" t="s">
        <v>12</v>
      </c>
      <c r="F72" s="8">
        <f t="shared" si="10"/>
        <v>9.4050000000000011</v>
      </c>
      <c r="G72" s="2">
        <f t="shared" si="13"/>
        <v>1</v>
      </c>
      <c r="H72" s="2">
        <v>3.5</v>
      </c>
      <c r="I72" s="8">
        <f t="shared" si="11"/>
        <v>51.727500000000006</v>
      </c>
      <c r="J72" s="9">
        <f t="shared" si="12"/>
        <v>18880.537500000002</v>
      </c>
      <c r="K72" s="6">
        <v>255600</v>
      </c>
      <c r="L72" s="5">
        <v>1900</v>
      </c>
      <c r="M72" s="9">
        <f t="shared" si="14"/>
        <v>524131.96594590141</v>
      </c>
    </row>
    <row r="73" spans="1:13" x14ac:dyDescent="0.35">
      <c r="A73" s="5">
        <v>1901</v>
      </c>
      <c r="B73" s="7">
        <v>4.0999999999999599E-2</v>
      </c>
      <c r="C73" s="7">
        <v>1.83E-2</v>
      </c>
      <c r="D73" s="7">
        <v>1</v>
      </c>
      <c r="E73" s="5" t="s">
        <v>12</v>
      </c>
      <c r="F73" s="8">
        <f t="shared" si="10"/>
        <v>9.4149999999999991</v>
      </c>
      <c r="G73" s="2">
        <f t="shared" si="13"/>
        <v>1</v>
      </c>
      <c r="H73" s="2">
        <v>4.5</v>
      </c>
      <c r="I73" s="8">
        <f t="shared" si="11"/>
        <v>61.197499999999991</v>
      </c>
      <c r="J73" s="9">
        <f t="shared" si="12"/>
        <v>22337.087499999998</v>
      </c>
      <c r="K73" s="6"/>
      <c r="L73" s="5">
        <v>1901</v>
      </c>
      <c r="M73" s="9">
        <f t="shared" si="14"/>
        <v>498784.10917522595</v>
      </c>
    </row>
    <row r="74" spans="1:13" x14ac:dyDescent="0.35">
      <c r="A74" s="5">
        <v>1902</v>
      </c>
      <c r="B74" s="7">
        <v>4.0999999999999599E-2</v>
      </c>
      <c r="C74" s="7">
        <v>1.8499999999999999E-2</v>
      </c>
      <c r="D74" s="7">
        <v>1</v>
      </c>
      <c r="E74" s="5" t="s">
        <v>12</v>
      </c>
      <c r="F74" s="8">
        <f t="shared" si="10"/>
        <v>9.4250000000000007</v>
      </c>
      <c r="G74" s="2">
        <f t="shared" si="13"/>
        <v>1</v>
      </c>
      <c r="H74" s="2">
        <v>4.5</v>
      </c>
      <c r="I74" s="8">
        <f t="shared" si="11"/>
        <v>61.262500000000003</v>
      </c>
      <c r="J74" s="9">
        <f t="shared" si="12"/>
        <v>22360.8125</v>
      </c>
      <c r="K74" s="6"/>
      <c r="L74" s="5">
        <v>1902</v>
      </c>
      <c r="M74" s="9">
        <f t="shared" si="14"/>
        <v>473564.75689517462</v>
      </c>
    </row>
    <row r="75" spans="1:13" x14ac:dyDescent="0.35">
      <c r="A75" s="5">
        <v>1903</v>
      </c>
      <c r="B75" s="7">
        <v>4.0999999999999599E-2</v>
      </c>
      <c r="C75" s="7">
        <v>1.8700000000000001E-2</v>
      </c>
      <c r="D75" s="7">
        <v>1</v>
      </c>
      <c r="E75" s="5" t="s">
        <v>12</v>
      </c>
      <c r="F75" s="8">
        <f t="shared" si="10"/>
        <v>9.4350000000000005</v>
      </c>
      <c r="G75" s="2">
        <f t="shared" si="13"/>
        <v>1</v>
      </c>
      <c r="H75" s="2">
        <v>4.5</v>
      </c>
      <c r="I75" s="8">
        <f t="shared" si="11"/>
        <v>61.327500000000001</v>
      </c>
      <c r="J75" s="9">
        <f t="shared" si="12"/>
        <v>22384.537499999999</v>
      </c>
      <c r="K75" s="6"/>
      <c r="L75" s="5">
        <v>1903</v>
      </c>
      <c r="M75" s="9">
        <f t="shared" si="14"/>
        <v>448473.1380788036</v>
      </c>
    </row>
    <row r="76" spans="1:13" x14ac:dyDescent="0.35">
      <c r="A76" s="5">
        <v>1904</v>
      </c>
      <c r="B76" s="7">
        <v>4.0999999999999599E-2</v>
      </c>
      <c r="C76" s="7">
        <v>1.89E-2</v>
      </c>
      <c r="D76" s="7">
        <v>1</v>
      </c>
      <c r="E76" s="5" t="s">
        <v>12</v>
      </c>
      <c r="F76" s="8">
        <f t="shared" si="10"/>
        <v>9.4450000000000003</v>
      </c>
      <c r="G76" s="2">
        <f t="shared" si="13"/>
        <v>1</v>
      </c>
      <c r="H76" s="2">
        <v>4.5</v>
      </c>
      <c r="I76" s="8">
        <f t="shared" si="11"/>
        <v>61.392499999999998</v>
      </c>
      <c r="J76" s="9">
        <f t="shared" si="12"/>
        <v>22408.262500000001</v>
      </c>
      <c r="K76" s="6"/>
      <c r="L76" s="5">
        <v>1904</v>
      </c>
      <c r="M76" s="9">
        <f t="shared" si="14"/>
        <v>423508.48632533074</v>
      </c>
    </row>
    <row r="77" spans="1:13" x14ac:dyDescent="0.35">
      <c r="A77" s="5">
        <v>1905</v>
      </c>
      <c r="B77" s="7">
        <v>4.0999999999999599E-2</v>
      </c>
      <c r="C77" s="7">
        <v>1.9099999999999999E-2</v>
      </c>
      <c r="D77" s="7">
        <v>1</v>
      </c>
      <c r="E77" s="5" t="s">
        <v>12</v>
      </c>
      <c r="F77" s="8">
        <f t="shared" si="10"/>
        <v>9.4550000000000001</v>
      </c>
      <c r="G77" s="2">
        <f t="shared" si="13"/>
        <v>1</v>
      </c>
      <c r="H77" s="2">
        <v>4.5</v>
      </c>
      <c r="I77" s="8">
        <f t="shared" si="11"/>
        <v>61.457500000000003</v>
      </c>
      <c r="J77" s="9">
        <f t="shared" si="12"/>
        <v>22431.987500000003</v>
      </c>
      <c r="K77" s="6">
        <v>21600</v>
      </c>
      <c r="L77" s="5">
        <v>1905</v>
      </c>
      <c r="M77" s="9">
        <f t="shared" si="14"/>
        <v>420140.43983237876</v>
      </c>
    </row>
    <row r="78" spans="1:13" x14ac:dyDescent="0.35">
      <c r="A78" s="5">
        <v>1906</v>
      </c>
      <c r="B78" s="7">
        <v>4.0999999999999599E-2</v>
      </c>
      <c r="C78" s="7">
        <v>1.9300000000000001E-2</v>
      </c>
      <c r="D78" s="7">
        <v>1</v>
      </c>
      <c r="E78" s="5" t="s">
        <v>12</v>
      </c>
      <c r="F78" s="8">
        <f t="shared" si="10"/>
        <v>9.4649999999999999</v>
      </c>
      <c r="G78" s="2">
        <f t="shared" si="13"/>
        <v>1</v>
      </c>
      <c r="H78" s="2">
        <v>4.5</v>
      </c>
      <c r="I78" s="8">
        <f t="shared" si="11"/>
        <v>61.522500000000001</v>
      </c>
      <c r="J78" s="9">
        <f t="shared" si="12"/>
        <v>22455.712500000001</v>
      </c>
      <c r="K78" s="6"/>
      <c r="L78" s="5">
        <v>1906</v>
      </c>
      <c r="M78" s="9">
        <f t="shared" si="14"/>
        <v>395298.61896838446</v>
      </c>
    </row>
    <row r="79" spans="1:13" x14ac:dyDescent="0.35">
      <c r="A79" s="5">
        <v>1907</v>
      </c>
      <c r="B79" s="7">
        <v>4.0999999999999599E-2</v>
      </c>
      <c r="C79" s="7">
        <v>1.95E-2</v>
      </c>
      <c r="D79" s="7">
        <v>1</v>
      </c>
      <c r="E79" s="5" t="s">
        <v>12</v>
      </c>
      <c r="F79" s="8">
        <f t="shared" si="10"/>
        <v>9.4749999999999996</v>
      </c>
      <c r="G79" s="2">
        <f t="shared" si="13"/>
        <v>1</v>
      </c>
      <c r="H79" s="2">
        <v>4.5</v>
      </c>
      <c r="I79" s="8">
        <f t="shared" si="11"/>
        <v>61.587499999999999</v>
      </c>
      <c r="J79" s="9">
        <f t="shared" si="12"/>
        <v>22479.4375</v>
      </c>
      <c r="K79" s="6"/>
      <c r="L79" s="5">
        <v>1907</v>
      </c>
      <c r="M79" s="9">
        <f t="shared" si="14"/>
        <v>370582.26637957414</v>
      </c>
    </row>
    <row r="80" spans="1:13" x14ac:dyDescent="0.35">
      <c r="A80" s="5">
        <v>1908</v>
      </c>
      <c r="B80" s="7">
        <v>4.0999999999999502E-2</v>
      </c>
      <c r="C80" s="7">
        <v>1.9699999999999999E-2</v>
      </c>
      <c r="D80" s="7">
        <v>1</v>
      </c>
      <c r="E80" s="5" t="s">
        <v>12</v>
      </c>
      <c r="F80" s="8">
        <f t="shared" si="10"/>
        <v>9.4849999999999994</v>
      </c>
      <c r="G80" s="2">
        <f t="shared" si="13"/>
        <v>1</v>
      </c>
      <c r="H80" s="2">
        <v>4.5</v>
      </c>
      <c r="I80" s="8">
        <f t="shared" si="11"/>
        <v>61.652499999999996</v>
      </c>
      <c r="J80" s="9">
        <f t="shared" si="12"/>
        <v>22503.162499999999</v>
      </c>
      <c r="K80" s="6"/>
      <c r="L80" s="5">
        <v>1908</v>
      </c>
      <c r="M80" s="9">
        <f t="shared" si="14"/>
        <v>345990.62925629673</v>
      </c>
    </row>
    <row r="81" spans="1:13" x14ac:dyDescent="0.35">
      <c r="A81" s="5">
        <v>1909</v>
      </c>
      <c r="B81" s="7">
        <v>4.0999999999999502E-2</v>
      </c>
      <c r="C81" s="7">
        <v>1.9900000000000001E-2</v>
      </c>
      <c r="D81" s="7">
        <v>1</v>
      </c>
      <c r="E81" s="5" t="s">
        <v>12</v>
      </c>
      <c r="F81" s="8">
        <f t="shared" si="10"/>
        <v>9.495000000000001</v>
      </c>
      <c r="G81" s="2">
        <f t="shared" si="13"/>
        <v>1</v>
      </c>
      <c r="H81" s="2">
        <v>4.5</v>
      </c>
      <c r="I81" s="8">
        <f t="shared" si="11"/>
        <v>61.717500000000008</v>
      </c>
      <c r="J81" s="9">
        <f t="shared" si="12"/>
        <v>22526.887500000004</v>
      </c>
      <c r="K81" s="6"/>
      <c r="L81" s="5">
        <v>1909</v>
      </c>
      <c r="M81" s="9">
        <f t="shared" si="14"/>
        <v>321522.95930575894</v>
      </c>
    </row>
    <row r="82" spans="1:13" x14ac:dyDescent="0.35">
      <c r="A82" s="5">
        <v>1910</v>
      </c>
      <c r="B82" s="7">
        <v>4.0999999999999502E-2</v>
      </c>
      <c r="C82" s="7">
        <v>2.01E-2</v>
      </c>
      <c r="D82" s="7">
        <v>1</v>
      </c>
      <c r="E82" s="5" t="s">
        <v>12</v>
      </c>
      <c r="F82" s="8">
        <f t="shared" si="10"/>
        <v>9.504999999999999</v>
      </c>
      <c r="G82" s="2">
        <f t="shared" si="13"/>
        <v>1</v>
      </c>
      <c r="H82" s="2">
        <v>4.5</v>
      </c>
      <c r="I82" s="8">
        <f t="shared" si="11"/>
        <v>61.782499999999992</v>
      </c>
      <c r="J82" s="9">
        <f t="shared" si="12"/>
        <v>22550.612499999996</v>
      </c>
      <c r="K82" s="6">
        <v>21600</v>
      </c>
      <c r="L82" s="5">
        <v>1910</v>
      </c>
      <c r="M82" s="9">
        <f t="shared" si="14"/>
        <v>318648.91272492439</v>
      </c>
    </row>
    <row r="83" spans="1:13" x14ac:dyDescent="0.35">
      <c r="A83" s="5">
        <v>1911</v>
      </c>
      <c r="B83" s="7">
        <v>4.0999999999999502E-2</v>
      </c>
      <c r="C83" s="7">
        <v>2.0299999999999999E-2</v>
      </c>
      <c r="D83" s="7">
        <v>1</v>
      </c>
      <c r="E83" s="5" t="s">
        <v>12</v>
      </c>
      <c r="F83" s="8">
        <f t="shared" si="10"/>
        <v>9.5150000000000006</v>
      </c>
      <c r="G83" s="2">
        <f t="shared" si="13"/>
        <v>1</v>
      </c>
      <c r="H83" s="2">
        <v>4.5</v>
      </c>
      <c r="I83" s="8">
        <f t="shared" si="11"/>
        <v>61.847500000000004</v>
      </c>
      <c r="J83" s="9">
        <f t="shared" si="12"/>
        <v>22574.337500000001</v>
      </c>
      <c r="K83" s="6"/>
      <c r="L83" s="5">
        <v>1911</v>
      </c>
      <c r="M83" s="9">
        <f t="shared" si="14"/>
        <v>294298.12777357484</v>
      </c>
    </row>
    <row r="84" spans="1:13" x14ac:dyDescent="0.35">
      <c r="A84" s="5">
        <v>1912</v>
      </c>
      <c r="B84" s="7">
        <v>4.0999999999999502E-2</v>
      </c>
      <c r="C84" s="7">
        <v>2.0500000000000001E-2</v>
      </c>
      <c r="D84" s="7">
        <v>1</v>
      </c>
      <c r="E84" s="5" t="s">
        <v>12</v>
      </c>
      <c r="F84" s="8">
        <f t="shared" si="10"/>
        <v>9.5250000000000004</v>
      </c>
      <c r="G84" s="2">
        <f t="shared" si="13"/>
        <v>1</v>
      </c>
      <c r="H84" s="2">
        <v>4.5</v>
      </c>
      <c r="I84" s="8">
        <f t="shared" si="11"/>
        <v>61.912500000000001</v>
      </c>
      <c r="J84" s="9">
        <f t="shared" si="12"/>
        <v>22598.0625</v>
      </c>
      <c r="K84" s="6"/>
      <c r="L84" s="5">
        <v>1912</v>
      </c>
      <c r="M84" s="9">
        <f t="shared" si="14"/>
        <v>270069.86488193338</v>
      </c>
    </row>
    <row r="85" spans="1:13" x14ac:dyDescent="0.35">
      <c r="A85" s="5">
        <v>1913</v>
      </c>
      <c r="B85" s="7">
        <v>4.0999999999999502E-2</v>
      </c>
      <c r="C85" s="7">
        <v>2.07E-2</v>
      </c>
      <c r="D85" s="7">
        <v>1</v>
      </c>
      <c r="E85" s="5" t="s">
        <v>12</v>
      </c>
      <c r="F85" s="8">
        <f t="shared" si="10"/>
        <v>9.5350000000000001</v>
      </c>
      <c r="G85" s="2">
        <f t="shared" si="13"/>
        <v>1</v>
      </c>
      <c r="H85" s="2">
        <v>4.5</v>
      </c>
      <c r="I85" s="8">
        <f t="shared" si="11"/>
        <v>61.977499999999999</v>
      </c>
      <c r="J85" s="9">
        <f t="shared" si="12"/>
        <v>22621.787499999999</v>
      </c>
      <c r="K85" s="6"/>
      <c r="L85" s="5">
        <v>1913</v>
      </c>
      <c r="M85" s="9">
        <f t="shared" si="14"/>
        <v>245963.38891764177</v>
      </c>
    </row>
    <row r="86" spans="1:13" x14ac:dyDescent="0.35">
      <c r="A86" s="5">
        <v>1914</v>
      </c>
      <c r="B86" s="7">
        <v>4.0999999999999502E-2</v>
      </c>
      <c r="C86" s="7">
        <v>2.0899999999999998E-2</v>
      </c>
      <c r="D86" s="7">
        <v>1</v>
      </c>
      <c r="E86" s="5" t="s">
        <v>12</v>
      </c>
      <c r="F86" s="8">
        <f t="shared" si="10"/>
        <v>9.5449999999999999</v>
      </c>
      <c r="G86" s="2">
        <f t="shared" si="13"/>
        <v>1</v>
      </c>
      <c r="H86" s="2">
        <v>4.5</v>
      </c>
      <c r="I86" s="8">
        <f t="shared" si="11"/>
        <v>62.042499999999997</v>
      </c>
      <c r="J86" s="9">
        <f t="shared" si="12"/>
        <v>22645.512499999997</v>
      </c>
      <c r="K86" s="6">
        <v>43200</v>
      </c>
      <c r="L86" s="5">
        <v>1914</v>
      </c>
      <c r="M86" s="9">
        <f t="shared" si="14"/>
        <v>264918.76915913593</v>
      </c>
    </row>
    <row r="87" spans="1:13" x14ac:dyDescent="0.35">
      <c r="A87" s="5">
        <v>1915</v>
      </c>
      <c r="B87" s="7">
        <v>4.0999999999999502E-2</v>
      </c>
      <c r="C87" s="7">
        <v>2.1100000000000001E-2</v>
      </c>
      <c r="D87" s="7">
        <v>1</v>
      </c>
      <c r="E87" s="5" t="s">
        <v>12</v>
      </c>
      <c r="F87" s="8">
        <f t="shared" si="10"/>
        <v>9.5549999999999997</v>
      </c>
      <c r="G87" s="2">
        <f t="shared" si="13"/>
        <v>1</v>
      </c>
      <c r="H87" s="2">
        <v>4.5</v>
      </c>
      <c r="I87" s="8">
        <f t="shared" si="11"/>
        <v>62.107500000000002</v>
      </c>
      <c r="J87" s="9">
        <f t="shared" si="12"/>
        <v>22669.237499999999</v>
      </c>
      <c r="K87" s="6">
        <v>21600</v>
      </c>
      <c r="L87" s="5">
        <v>1915</v>
      </c>
      <c r="M87" s="9">
        <f t="shared" si="14"/>
        <v>262266.43446918111</v>
      </c>
    </row>
    <row r="88" spans="1:13" x14ac:dyDescent="0.35">
      <c r="A88" s="5">
        <v>1916</v>
      </c>
      <c r="B88" s="7">
        <v>4.0999999999999502E-2</v>
      </c>
      <c r="C88" s="7">
        <v>2.1299999999999999E-2</v>
      </c>
      <c r="D88" s="7">
        <v>1</v>
      </c>
      <c r="E88" s="5" t="s">
        <v>12</v>
      </c>
      <c r="F88" s="8">
        <f t="shared" si="10"/>
        <v>9.5649999999999995</v>
      </c>
      <c r="G88" s="2">
        <f t="shared" si="13"/>
        <v>1</v>
      </c>
      <c r="H88" s="2">
        <v>4.5</v>
      </c>
      <c r="I88" s="8">
        <f t="shared" si="11"/>
        <v>62.172499999999999</v>
      </c>
      <c r="J88" s="9">
        <f t="shared" si="12"/>
        <v>22692.962500000001</v>
      </c>
      <c r="K88" s="6"/>
      <c r="L88" s="5">
        <v>1916</v>
      </c>
      <c r="M88" s="9">
        <f t="shared" si="14"/>
        <v>238136.03113736602</v>
      </c>
    </row>
    <row r="89" spans="1:13" x14ac:dyDescent="0.35">
      <c r="A89" s="5">
        <v>1917</v>
      </c>
      <c r="B89" s="7">
        <v>4.0999999999999502E-2</v>
      </c>
      <c r="C89" s="7">
        <v>2.1499999999999998E-2</v>
      </c>
      <c r="D89" s="7">
        <v>1</v>
      </c>
      <c r="E89" s="5" t="s">
        <v>12</v>
      </c>
      <c r="F89" s="8">
        <f t="shared" si="10"/>
        <v>9.5749999999999993</v>
      </c>
      <c r="G89" s="2">
        <f t="shared" si="13"/>
        <v>1</v>
      </c>
      <c r="H89" s="2">
        <v>4.5</v>
      </c>
      <c r="I89" s="8">
        <f t="shared" si="11"/>
        <v>62.237499999999997</v>
      </c>
      <c r="J89" s="9">
        <f t="shared" si="12"/>
        <v>22716.6875</v>
      </c>
      <c r="K89" s="6"/>
      <c r="L89" s="5">
        <v>1917</v>
      </c>
      <c r="M89" s="9">
        <f t="shared" si="14"/>
        <v>214126.82757554183</v>
      </c>
    </row>
    <row r="90" spans="1:13" x14ac:dyDescent="0.35">
      <c r="A90" s="5">
        <v>1918</v>
      </c>
      <c r="B90" s="7">
        <v>4.0999999999999398E-2</v>
      </c>
      <c r="C90" s="7">
        <v>2.1700000000000001E-2</v>
      </c>
      <c r="D90" s="7">
        <v>1</v>
      </c>
      <c r="E90" s="5" t="s">
        <v>12</v>
      </c>
      <c r="F90" s="8">
        <f t="shared" si="10"/>
        <v>9.5850000000000009</v>
      </c>
      <c r="G90" s="2">
        <f t="shared" si="13"/>
        <v>1</v>
      </c>
      <c r="H90" s="2">
        <v>4.5</v>
      </c>
      <c r="I90" s="8">
        <f t="shared" si="11"/>
        <v>62.302500000000009</v>
      </c>
      <c r="J90" s="9">
        <f t="shared" si="12"/>
        <v>22740.412500000002</v>
      </c>
      <c r="K90" s="6"/>
      <c r="L90" s="5">
        <v>1918</v>
      </c>
      <c r="M90" s="9">
        <f t="shared" si="14"/>
        <v>190238.09658508858</v>
      </c>
    </row>
    <row r="91" spans="1:13" x14ac:dyDescent="0.35">
      <c r="A91" s="5">
        <v>1919</v>
      </c>
      <c r="B91" s="7">
        <v>4.0999999999999398E-2</v>
      </c>
      <c r="C91" s="7">
        <v>2.1899999999999999E-2</v>
      </c>
      <c r="D91" s="7">
        <v>1</v>
      </c>
      <c r="E91" s="5" t="s">
        <v>12</v>
      </c>
      <c r="F91" s="8">
        <f t="shared" si="10"/>
        <v>9.5949999999999989</v>
      </c>
      <c r="G91" s="2">
        <f t="shared" si="13"/>
        <v>1</v>
      </c>
      <c r="H91" s="2">
        <v>4.5</v>
      </c>
      <c r="I91" s="8">
        <f t="shared" si="11"/>
        <v>62.367499999999993</v>
      </c>
      <c r="J91" s="9">
        <f t="shared" si="12"/>
        <v>22764.137499999997</v>
      </c>
      <c r="K91" s="6">
        <v>194400</v>
      </c>
      <c r="L91" s="5">
        <v>1919</v>
      </c>
      <c r="M91" s="9">
        <f t="shared" si="14"/>
        <v>359702.71533057804</v>
      </c>
    </row>
    <row r="92" spans="1:13" x14ac:dyDescent="0.35">
      <c r="A92" s="5">
        <v>1920</v>
      </c>
      <c r="B92" s="7">
        <v>4.0999999999999398E-2</v>
      </c>
      <c r="C92" s="7">
        <v>2.2100000000000002E-2</v>
      </c>
      <c r="D92" s="7">
        <v>1</v>
      </c>
      <c r="E92" s="5" t="s">
        <v>12</v>
      </c>
      <c r="F92" s="8">
        <f t="shared" si="10"/>
        <v>9.6050000000000004</v>
      </c>
      <c r="G92" s="2">
        <f t="shared" si="13"/>
        <v>1</v>
      </c>
      <c r="H92" s="2">
        <v>4.5</v>
      </c>
      <c r="I92" s="8">
        <f t="shared" si="11"/>
        <v>62.432500000000005</v>
      </c>
      <c r="J92" s="9">
        <f t="shared" si="12"/>
        <v>22787.862500000003</v>
      </c>
      <c r="K92" s="6"/>
      <c r="L92" s="5">
        <v>1920</v>
      </c>
      <c r="M92" s="9">
        <f t="shared" si="14"/>
        <v>334893.36371359456</v>
      </c>
    </row>
    <row r="93" spans="1:13" x14ac:dyDescent="0.35">
      <c r="A93" s="5">
        <v>1921</v>
      </c>
      <c r="B93" s="7">
        <v>4.0999999999999398E-2</v>
      </c>
      <c r="C93" s="7">
        <v>2.23E-2</v>
      </c>
      <c r="D93" s="7">
        <v>1</v>
      </c>
      <c r="E93" s="5" t="s">
        <v>12</v>
      </c>
      <c r="F93" s="8">
        <f t="shared" si="10"/>
        <v>9.6150000000000002</v>
      </c>
      <c r="G93" s="2">
        <f t="shared" si="13"/>
        <v>1</v>
      </c>
      <c r="H93" s="2">
        <v>4.5</v>
      </c>
      <c r="I93" s="8">
        <f t="shared" si="11"/>
        <v>62.497500000000002</v>
      </c>
      <c r="J93" s="9">
        <f t="shared" si="12"/>
        <v>22811.587500000001</v>
      </c>
      <c r="K93" s="6"/>
      <c r="L93" s="5">
        <v>1921</v>
      </c>
      <c r="M93" s="9">
        <f t="shared" si="14"/>
        <v>310209.28555631294</v>
      </c>
    </row>
    <row r="94" spans="1:13" x14ac:dyDescent="0.35">
      <c r="A94" s="5">
        <v>1922</v>
      </c>
      <c r="B94" s="7">
        <v>4.0999999999999398E-2</v>
      </c>
      <c r="C94" s="7">
        <v>2.2499999999999999E-2</v>
      </c>
      <c r="D94" s="7">
        <v>1</v>
      </c>
      <c r="E94" s="5" t="s">
        <v>12</v>
      </c>
      <c r="F94" s="8">
        <f t="shared" si="10"/>
        <v>9.625</v>
      </c>
      <c r="G94" s="2">
        <f t="shared" si="13"/>
        <v>1</v>
      </c>
      <c r="H94" s="2">
        <v>4.5</v>
      </c>
      <c r="I94" s="8">
        <f t="shared" si="11"/>
        <v>62.5625</v>
      </c>
      <c r="J94" s="9">
        <f t="shared" si="12"/>
        <v>22835.3125</v>
      </c>
      <c r="K94" s="6"/>
      <c r="L94" s="5">
        <v>1922</v>
      </c>
      <c r="M94" s="9">
        <f t="shared" si="14"/>
        <v>285649.72921797505</v>
      </c>
    </row>
    <row r="95" spans="1:13" x14ac:dyDescent="0.35">
      <c r="A95" s="5">
        <v>1923</v>
      </c>
      <c r="B95" s="7">
        <v>4.0999999999999398E-2</v>
      </c>
      <c r="C95" s="7">
        <v>2.2700000000000001E-2</v>
      </c>
      <c r="D95" s="7">
        <v>1</v>
      </c>
      <c r="E95" s="5" t="s">
        <v>12</v>
      </c>
      <c r="F95" s="8">
        <f t="shared" si="10"/>
        <v>9.6349999999999998</v>
      </c>
      <c r="G95" s="2">
        <f t="shared" si="13"/>
        <v>1</v>
      </c>
      <c r="H95" s="2">
        <v>4.5</v>
      </c>
      <c r="I95" s="8">
        <f t="shared" si="11"/>
        <v>62.627499999999998</v>
      </c>
      <c r="J95" s="9">
        <f t="shared" si="12"/>
        <v>22859.037499999999</v>
      </c>
      <c r="K95" s="6"/>
      <c r="L95" s="5">
        <v>1923</v>
      </c>
      <c r="M95" s="9">
        <f t="shared" si="14"/>
        <v>261213.94756766723</v>
      </c>
    </row>
    <row r="96" spans="1:13" x14ac:dyDescent="0.35">
      <c r="A96" s="5">
        <v>1924</v>
      </c>
      <c r="B96" s="7">
        <v>4.0999999999999398E-2</v>
      </c>
      <c r="C96" s="7">
        <v>2.29E-2</v>
      </c>
      <c r="D96" s="7">
        <v>1</v>
      </c>
      <c r="E96" s="5" t="s">
        <v>12</v>
      </c>
      <c r="F96" s="8">
        <f t="shared" si="10"/>
        <v>9.6449999999999996</v>
      </c>
      <c r="G96" s="2">
        <f t="shared" si="13"/>
        <v>1</v>
      </c>
      <c r="H96" s="2">
        <v>4.5</v>
      </c>
      <c r="I96" s="8">
        <f t="shared" si="11"/>
        <v>62.692499999999995</v>
      </c>
      <c r="J96" s="9">
        <f t="shared" si="12"/>
        <v>22882.762499999997</v>
      </c>
      <c r="K96" s="6"/>
      <c r="L96" s="5">
        <v>1924</v>
      </c>
      <c r="M96" s="9">
        <f t="shared" si="14"/>
        <v>236901.1979572612</v>
      </c>
    </row>
    <row r="97" spans="1:13" x14ac:dyDescent="0.35">
      <c r="A97" s="5">
        <v>1925</v>
      </c>
      <c r="B97" s="7">
        <v>4.0999999999999398E-2</v>
      </c>
      <c r="C97" s="7">
        <v>2.3099999999999999E-2</v>
      </c>
      <c r="D97" s="7">
        <v>1</v>
      </c>
      <c r="E97" s="5" t="s">
        <v>12</v>
      </c>
      <c r="F97" s="8">
        <f t="shared" si="10"/>
        <v>9.6550000000000011</v>
      </c>
      <c r="G97" s="2">
        <f t="shared" si="13"/>
        <v>1</v>
      </c>
      <c r="H97" s="2">
        <v>4.5</v>
      </c>
      <c r="I97" s="8">
        <f t="shared" si="11"/>
        <v>62.757500000000007</v>
      </c>
      <c r="J97" s="9">
        <f t="shared" si="12"/>
        <v>22906.487500000003</v>
      </c>
      <c r="K97" s="6"/>
      <c r="L97" s="5">
        <v>1925</v>
      </c>
      <c r="M97" s="9">
        <f t="shared" si="14"/>
        <v>212710.74219451763</v>
      </c>
    </row>
    <row r="98" spans="1:13" x14ac:dyDescent="0.35">
      <c r="A98" s="5">
        <v>1926</v>
      </c>
      <c r="B98" s="7">
        <v>4.0999999999999398E-2</v>
      </c>
      <c r="C98" s="7">
        <v>2.3300000000000001E-2</v>
      </c>
      <c r="D98" s="7">
        <v>1</v>
      </c>
      <c r="E98" s="5" t="s">
        <v>12</v>
      </c>
      <c r="F98" s="8">
        <f t="shared" ref="F98:F129" si="15">(MIN(B98,0.02)*150)+(MIN(C98,0.04)*50)+(MIN(D98,1)*4)+(IF(E98="Great Power",1.5,IF(E98="Secondary Power",1.25,IF(E98="Westernized Nation",1,0))))</f>
        <v>9.6649999999999991</v>
      </c>
      <c r="G98" s="2">
        <f t="shared" si="13"/>
        <v>1</v>
      </c>
      <c r="H98" s="2">
        <v>4.5</v>
      </c>
      <c r="I98" s="8">
        <f t="shared" ref="I98:I129" si="16">F98*(1+H98+G98)</f>
        <v>62.822499999999991</v>
      </c>
      <c r="J98" s="9">
        <f t="shared" ref="J98:J129" si="17">I98*365</f>
        <v>22930.212499999998</v>
      </c>
      <c r="K98" s="6"/>
      <c r="L98" s="5">
        <v>1926</v>
      </c>
      <c r="M98" s="9">
        <f t="shared" si="14"/>
        <v>188641.84651635052</v>
      </c>
    </row>
    <row r="99" spans="1:13" x14ac:dyDescent="0.35">
      <c r="A99" s="5">
        <v>1927</v>
      </c>
      <c r="B99" s="7">
        <v>4.0999999999999398E-2</v>
      </c>
      <c r="C99" s="7">
        <v>2.35E-2</v>
      </c>
      <c r="D99" s="7">
        <v>1</v>
      </c>
      <c r="E99" s="5" t="s">
        <v>12</v>
      </c>
      <c r="F99" s="8">
        <f t="shared" si="15"/>
        <v>9.6750000000000007</v>
      </c>
      <c r="G99" s="2">
        <f t="shared" ref="G99:G108" si="18">MIN(G98+(4*2/90/100*12),1)</f>
        <v>1</v>
      </c>
      <c r="H99" s="2">
        <v>4.5</v>
      </c>
      <c r="I99" s="8">
        <f t="shared" si="16"/>
        <v>62.887500000000003</v>
      </c>
      <c r="J99" s="9">
        <f t="shared" si="17"/>
        <v>22953.9375</v>
      </c>
      <c r="K99" s="6"/>
      <c r="L99" s="5">
        <v>1927</v>
      </c>
      <c r="M99" s="9">
        <f t="shared" ref="M99:M108" si="19">MAX((M98+K99-J99)*0.994,0)</f>
        <v>164693.78156225241</v>
      </c>
    </row>
    <row r="100" spans="1:13" x14ac:dyDescent="0.35">
      <c r="A100" s="5">
        <v>1928</v>
      </c>
      <c r="B100" s="7">
        <v>4.0999999999999301E-2</v>
      </c>
      <c r="C100" s="7">
        <v>2.3699999999999999E-2</v>
      </c>
      <c r="D100" s="7">
        <v>1</v>
      </c>
      <c r="E100" s="5" t="s">
        <v>12</v>
      </c>
      <c r="F100" s="8">
        <f t="shared" si="15"/>
        <v>9.6850000000000005</v>
      </c>
      <c r="G100" s="2">
        <f t="shared" si="18"/>
        <v>1</v>
      </c>
      <c r="H100" s="2">
        <v>4.5</v>
      </c>
      <c r="I100" s="8">
        <f t="shared" si="16"/>
        <v>62.952500000000001</v>
      </c>
      <c r="J100" s="9">
        <f t="shared" si="17"/>
        <v>22977.662499999999</v>
      </c>
      <c r="K100" s="6"/>
      <c r="L100" s="5">
        <v>1928</v>
      </c>
      <c r="M100" s="9">
        <f t="shared" si="19"/>
        <v>140865.82234787889</v>
      </c>
    </row>
    <row r="101" spans="1:13" x14ac:dyDescent="0.35">
      <c r="A101" s="5">
        <v>1929</v>
      </c>
      <c r="B101" s="7">
        <v>4.0999999999999301E-2</v>
      </c>
      <c r="C101" s="7">
        <v>2.3900000000000001E-2</v>
      </c>
      <c r="D101" s="7">
        <v>1</v>
      </c>
      <c r="E101" s="5" t="s">
        <v>12</v>
      </c>
      <c r="F101" s="8">
        <f t="shared" si="15"/>
        <v>9.6950000000000003</v>
      </c>
      <c r="G101" s="2">
        <f t="shared" si="18"/>
        <v>1</v>
      </c>
      <c r="H101" s="2">
        <v>4.5</v>
      </c>
      <c r="I101" s="8">
        <f t="shared" si="16"/>
        <v>63.017499999999998</v>
      </c>
      <c r="J101" s="9">
        <f t="shared" si="17"/>
        <v>23001.387500000001</v>
      </c>
      <c r="K101" s="6"/>
      <c r="L101" s="5">
        <v>1929</v>
      </c>
      <c r="M101" s="9">
        <f t="shared" si="19"/>
        <v>117157.24823879161</v>
      </c>
    </row>
    <row r="102" spans="1:13" x14ac:dyDescent="0.35">
      <c r="A102" s="5">
        <v>1930</v>
      </c>
      <c r="B102" s="7">
        <v>4.0999999999999301E-2</v>
      </c>
      <c r="C102" s="7">
        <v>2.41E-2</v>
      </c>
      <c r="D102" s="7">
        <v>1</v>
      </c>
      <c r="E102" s="5" t="s">
        <v>12</v>
      </c>
      <c r="F102" s="8">
        <f t="shared" si="15"/>
        <v>9.7050000000000001</v>
      </c>
      <c r="G102" s="2">
        <f t="shared" si="18"/>
        <v>1</v>
      </c>
      <c r="H102" s="2">
        <v>4.5</v>
      </c>
      <c r="I102" s="8">
        <f t="shared" si="16"/>
        <v>63.082500000000003</v>
      </c>
      <c r="J102" s="9">
        <f t="shared" si="17"/>
        <v>23025.112500000003</v>
      </c>
      <c r="K102" s="6"/>
      <c r="L102" s="5">
        <v>1930</v>
      </c>
      <c r="M102" s="9">
        <f t="shared" si="19"/>
        <v>93567.342924358862</v>
      </c>
    </row>
    <row r="103" spans="1:13" x14ac:dyDescent="0.35">
      <c r="A103" s="5">
        <v>1931</v>
      </c>
      <c r="B103" s="7">
        <v>4.0999999999999301E-2</v>
      </c>
      <c r="C103" s="7">
        <v>2.4299999999999999E-2</v>
      </c>
      <c r="D103" s="7">
        <v>1</v>
      </c>
      <c r="E103" s="5" t="s">
        <v>12</v>
      </c>
      <c r="F103" s="8">
        <f t="shared" si="15"/>
        <v>9.7149999999999999</v>
      </c>
      <c r="G103" s="2">
        <f t="shared" si="18"/>
        <v>1</v>
      </c>
      <c r="H103" s="2">
        <v>4.5</v>
      </c>
      <c r="I103" s="8">
        <f t="shared" si="16"/>
        <v>63.147500000000001</v>
      </c>
      <c r="J103" s="9">
        <f t="shared" si="17"/>
        <v>23048.837500000001</v>
      </c>
      <c r="K103" s="6"/>
      <c r="L103" s="5">
        <v>1931</v>
      </c>
      <c r="M103" s="9">
        <f t="shared" si="19"/>
        <v>70095.394391812704</v>
      </c>
    </row>
    <row r="104" spans="1:13" x14ac:dyDescent="0.35">
      <c r="A104" s="5">
        <v>1932</v>
      </c>
      <c r="B104" s="7">
        <v>4.0999999999999301E-2</v>
      </c>
      <c r="C104" s="7">
        <v>2.4500000000000001E-2</v>
      </c>
      <c r="D104" s="7">
        <v>1</v>
      </c>
      <c r="E104" s="5" t="s">
        <v>12</v>
      </c>
      <c r="F104" s="8">
        <f t="shared" si="15"/>
        <v>9.7249999999999996</v>
      </c>
      <c r="G104" s="2">
        <f t="shared" si="18"/>
        <v>1</v>
      </c>
      <c r="H104" s="2">
        <v>4.5</v>
      </c>
      <c r="I104" s="8">
        <f t="shared" si="16"/>
        <v>63.212499999999999</v>
      </c>
      <c r="J104" s="9">
        <f t="shared" si="17"/>
        <v>23072.5625</v>
      </c>
      <c r="K104" s="6"/>
      <c r="L104" s="5">
        <v>1932</v>
      </c>
      <c r="M104" s="9">
        <f t="shared" si="19"/>
        <v>46740.694900461829</v>
      </c>
    </row>
    <row r="105" spans="1:13" x14ac:dyDescent="0.35">
      <c r="A105" s="5">
        <v>1933</v>
      </c>
      <c r="B105" s="7">
        <v>4.0999999999999301E-2</v>
      </c>
      <c r="C105" s="7">
        <v>2.47E-2</v>
      </c>
      <c r="D105" s="7">
        <v>1</v>
      </c>
      <c r="E105" s="5" t="s">
        <v>12</v>
      </c>
      <c r="F105" s="8">
        <f t="shared" si="15"/>
        <v>9.7349999999999994</v>
      </c>
      <c r="G105" s="2">
        <f t="shared" si="18"/>
        <v>1</v>
      </c>
      <c r="H105" s="2">
        <v>4.5</v>
      </c>
      <c r="I105" s="8">
        <f t="shared" si="16"/>
        <v>63.277499999999996</v>
      </c>
      <c r="J105" s="9">
        <f t="shared" si="17"/>
        <v>23096.287499999999</v>
      </c>
      <c r="K105" s="6"/>
      <c r="L105" s="5">
        <v>1933</v>
      </c>
      <c r="M105" s="9">
        <f t="shared" si="19"/>
        <v>23502.54095605906</v>
      </c>
    </row>
    <row r="106" spans="1:13" x14ac:dyDescent="0.35">
      <c r="A106" s="5">
        <v>1934</v>
      </c>
      <c r="B106" s="7">
        <v>4.0999999999999301E-2</v>
      </c>
      <c r="C106" s="7">
        <v>2.4899999999999999E-2</v>
      </c>
      <c r="D106" s="7">
        <v>1</v>
      </c>
      <c r="E106" s="5" t="s">
        <v>12</v>
      </c>
      <c r="F106" s="8">
        <f t="shared" si="15"/>
        <v>9.745000000000001</v>
      </c>
      <c r="G106" s="2">
        <f t="shared" si="18"/>
        <v>1</v>
      </c>
      <c r="H106" s="2">
        <v>4.5</v>
      </c>
      <c r="I106" s="8">
        <f t="shared" si="16"/>
        <v>63.342500000000008</v>
      </c>
      <c r="J106" s="9">
        <f t="shared" si="17"/>
        <v>23120.012500000004</v>
      </c>
      <c r="K106" s="6"/>
      <c r="L106" s="5">
        <v>1934</v>
      </c>
      <c r="M106" s="9">
        <f t="shared" si="19"/>
        <v>380.23328532270097</v>
      </c>
    </row>
    <row r="107" spans="1:13" x14ac:dyDescent="0.35">
      <c r="A107" s="5">
        <v>1935</v>
      </c>
      <c r="B107" s="7">
        <v>4.0999999999999301E-2</v>
      </c>
      <c r="C107" s="7">
        <v>2.5100000000000001E-2</v>
      </c>
      <c r="D107" s="7">
        <v>1</v>
      </c>
      <c r="E107" s="5" t="s">
        <v>12</v>
      </c>
      <c r="F107" s="8">
        <f t="shared" si="15"/>
        <v>9.754999999999999</v>
      </c>
      <c r="G107" s="2">
        <f t="shared" si="18"/>
        <v>1</v>
      </c>
      <c r="H107" s="2">
        <v>4.5</v>
      </c>
      <c r="I107" s="8">
        <f t="shared" si="16"/>
        <v>63.407499999999992</v>
      </c>
      <c r="J107" s="9">
        <f t="shared" si="17"/>
        <v>23143.737499999996</v>
      </c>
      <c r="K107" s="6"/>
      <c r="L107" s="5">
        <v>1935</v>
      </c>
      <c r="M107" s="9">
        <f t="shared" si="19"/>
        <v>0</v>
      </c>
    </row>
    <row r="108" spans="1:13" x14ac:dyDescent="0.35">
      <c r="A108" s="5">
        <v>1936</v>
      </c>
      <c r="B108" s="7">
        <v>4.0999999999999301E-2</v>
      </c>
      <c r="C108" s="7">
        <v>2.53E-2</v>
      </c>
      <c r="D108" s="7">
        <v>1</v>
      </c>
      <c r="E108" s="5" t="s">
        <v>12</v>
      </c>
      <c r="F108" s="8">
        <f t="shared" si="15"/>
        <v>9.7650000000000006</v>
      </c>
      <c r="G108" s="2">
        <f t="shared" si="18"/>
        <v>1</v>
      </c>
      <c r="H108" s="2">
        <v>4.5</v>
      </c>
      <c r="I108" s="8">
        <f t="shared" si="16"/>
        <v>63.472500000000004</v>
      </c>
      <c r="J108" s="9">
        <f t="shared" si="17"/>
        <v>23167.462500000001</v>
      </c>
      <c r="K108" s="6"/>
      <c r="L108" s="5">
        <v>1936</v>
      </c>
      <c r="M108" s="9">
        <f t="shared" si="19"/>
        <v>0</v>
      </c>
    </row>
    <row r="109" spans="1:13" x14ac:dyDescent="0.35">
      <c r="G109" s="10"/>
      <c r="I109" s="8"/>
    </row>
  </sheetData>
  <dataValidations count="1">
    <dataValidation type="list" allowBlank="1" showInputMessage="1" showErrorMessage="1" sqref="E2:E108" xr:uid="{00000000-0002-0000-0000-000000000000}">
      <formula1>"Great Power,Secondary Power,Westernized Nation,Non-western Nation"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8"/>
  <sheetViews>
    <sheetView topLeftCell="A22" zoomScale="110" zoomScaleNormal="110" workbookViewId="0">
      <selection activeCell="F34" sqref="F34"/>
    </sheetView>
  </sheetViews>
  <sheetFormatPr defaultColWidth="8.81640625" defaultRowHeight="14" x14ac:dyDescent="0.3"/>
  <cols>
    <col min="1" max="1" width="6.7265625" style="1" customWidth="1"/>
    <col min="2" max="2" width="17.453125" style="4" customWidth="1"/>
    <col min="3" max="3" width="12" style="1" customWidth="1"/>
    <col min="4" max="4" width="17" style="1" customWidth="1"/>
    <col min="5" max="5" width="13" style="1" customWidth="1"/>
    <col min="6" max="6" width="24.54296875" style="1" customWidth="1"/>
    <col min="7" max="7" width="8.81640625" style="1"/>
    <col min="8" max="8" width="7" style="1" customWidth="1"/>
    <col min="9" max="9" width="24.54296875" style="1" customWidth="1"/>
    <col min="10" max="16384" width="8.81640625" style="1"/>
  </cols>
  <sheetData>
    <row r="1" spans="1:9" x14ac:dyDescent="0.3">
      <c r="A1" s="5" t="s">
        <v>0</v>
      </c>
      <c r="B1" s="6" t="s">
        <v>13</v>
      </c>
      <c r="D1" s="5" t="s">
        <v>14</v>
      </c>
      <c r="E1" s="5" t="s">
        <v>15</v>
      </c>
      <c r="F1" s="5" t="s">
        <v>16</v>
      </c>
      <c r="H1" s="5" t="s">
        <v>0</v>
      </c>
      <c r="I1" s="5" t="s">
        <v>17</v>
      </c>
    </row>
    <row r="2" spans="1:9" x14ac:dyDescent="0.3">
      <c r="A2" s="5">
        <v>1830</v>
      </c>
      <c r="B2" s="6">
        <f t="shared" ref="B2:B11" si="0">$I$2*(1-(A2-1830)*2/300)</f>
        <v>244800</v>
      </c>
      <c r="D2" s="5" t="s">
        <v>18</v>
      </c>
      <c r="E2" s="9" t="s">
        <v>19</v>
      </c>
      <c r="F2" s="9">
        <v>90000</v>
      </c>
      <c r="H2" s="11">
        <v>1830</v>
      </c>
      <c r="I2" s="9">
        <f>IF(H23="Yes",SUM(F2,F3,F4),SUM(F3,F4))</f>
        <v>244800</v>
      </c>
    </row>
    <row r="3" spans="1:9" x14ac:dyDescent="0.3">
      <c r="A3" s="5">
        <v>1831</v>
      </c>
      <c r="B3" s="6">
        <f t="shared" si="0"/>
        <v>243168</v>
      </c>
      <c r="D3" s="5" t="s">
        <v>20</v>
      </c>
      <c r="E3" s="9" t="s">
        <v>21</v>
      </c>
      <c r="F3" s="9">
        <v>158400</v>
      </c>
      <c r="H3" s="11">
        <v>1840</v>
      </c>
      <c r="I3" s="9">
        <f>SUM(F5,F6)</f>
        <v>32400</v>
      </c>
    </row>
    <row r="4" spans="1:9" x14ac:dyDescent="0.3">
      <c r="A4" s="5">
        <v>1832</v>
      </c>
      <c r="B4" s="6">
        <f t="shared" si="0"/>
        <v>241536</v>
      </c>
      <c r="D4" s="5" t="s">
        <v>22</v>
      </c>
      <c r="E4" s="9" t="s">
        <v>23</v>
      </c>
      <c r="F4" s="9">
        <v>86400</v>
      </c>
      <c r="H4" s="11">
        <v>1848</v>
      </c>
      <c r="I4" s="9">
        <f>SUM(F7)</f>
        <v>10800</v>
      </c>
    </row>
    <row r="5" spans="1:9" x14ac:dyDescent="0.3">
      <c r="A5" s="5">
        <v>1833</v>
      </c>
      <c r="B5" s="6">
        <f t="shared" si="0"/>
        <v>239904</v>
      </c>
      <c r="D5" s="5" t="s">
        <v>24</v>
      </c>
      <c r="E5" s="9" t="s">
        <v>25</v>
      </c>
      <c r="F5" s="9">
        <v>21600</v>
      </c>
      <c r="H5" s="11">
        <v>1850</v>
      </c>
      <c r="I5" s="9">
        <f>SUM(F8,F9)</f>
        <v>259200</v>
      </c>
    </row>
    <row r="6" spans="1:9" x14ac:dyDescent="0.3">
      <c r="A6" s="5">
        <v>1834</v>
      </c>
      <c r="B6" s="6">
        <f t="shared" si="0"/>
        <v>238272</v>
      </c>
      <c r="D6" s="5" t="s">
        <v>26</v>
      </c>
      <c r="E6" s="9" t="s">
        <v>27</v>
      </c>
      <c r="F6" s="9">
        <v>10800</v>
      </c>
      <c r="H6" s="11">
        <v>1855</v>
      </c>
      <c r="I6" s="9">
        <f>SUM(F10)</f>
        <v>21600</v>
      </c>
    </row>
    <row r="7" spans="1:9" x14ac:dyDescent="0.3">
      <c r="A7" s="5">
        <v>1835</v>
      </c>
      <c r="B7" s="6">
        <f t="shared" si="0"/>
        <v>236640</v>
      </c>
      <c r="D7" s="5" t="s">
        <v>28</v>
      </c>
      <c r="E7" s="9" t="s">
        <v>27</v>
      </c>
      <c r="F7" s="9">
        <v>10800</v>
      </c>
      <c r="H7" s="11">
        <v>1860</v>
      </c>
      <c r="I7" s="9">
        <f>SUM(F11)</f>
        <v>10800</v>
      </c>
    </row>
    <row r="8" spans="1:9" x14ac:dyDescent="0.3">
      <c r="A8" s="5">
        <v>1836</v>
      </c>
      <c r="B8" s="6">
        <f t="shared" si="0"/>
        <v>235008</v>
      </c>
      <c r="D8" s="5" t="s">
        <v>29</v>
      </c>
      <c r="E8" s="9" t="s">
        <v>30</v>
      </c>
      <c r="F8" s="9">
        <v>129600</v>
      </c>
      <c r="H8" s="11">
        <v>1870</v>
      </c>
      <c r="I8" s="9">
        <f>SUM(F12,F13)</f>
        <v>331200</v>
      </c>
    </row>
    <row r="9" spans="1:9" x14ac:dyDescent="0.3">
      <c r="A9" s="5">
        <v>1837</v>
      </c>
      <c r="B9" s="6">
        <f t="shared" si="0"/>
        <v>233376</v>
      </c>
      <c r="D9" s="5" t="s">
        <v>31</v>
      </c>
      <c r="E9" s="9" t="s">
        <v>32</v>
      </c>
      <c r="F9" s="9">
        <v>129600</v>
      </c>
      <c r="H9" s="11">
        <v>1872</v>
      </c>
      <c r="I9" s="9">
        <f>SUM(F14)</f>
        <v>14400</v>
      </c>
    </row>
    <row r="10" spans="1:9" x14ac:dyDescent="0.3">
      <c r="A10" s="5">
        <v>1838</v>
      </c>
      <c r="B10" s="6">
        <f t="shared" si="0"/>
        <v>231744</v>
      </c>
      <c r="D10" s="5" t="s">
        <v>33</v>
      </c>
      <c r="E10" s="9" t="s">
        <v>34</v>
      </c>
      <c r="F10" s="9">
        <v>21600</v>
      </c>
      <c r="H10" s="11">
        <v>1875</v>
      </c>
      <c r="I10" s="9">
        <f>SUM(F15)</f>
        <v>14400</v>
      </c>
    </row>
    <row r="11" spans="1:9" x14ac:dyDescent="0.3">
      <c r="A11" s="5">
        <v>1839</v>
      </c>
      <c r="B11" s="6">
        <f t="shared" si="0"/>
        <v>230112</v>
      </c>
      <c r="D11" s="5" t="s">
        <v>35</v>
      </c>
      <c r="E11" s="9" t="s">
        <v>27</v>
      </c>
      <c r="F11" s="9">
        <v>10800</v>
      </c>
      <c r="H11" s="11">
        <v>1880</v>
      </c>
      <c r="I11" s="9">
        <f>SUM(F16,F17)</f>
        <v>50400</v>
      </c>
    </row>
    <row r="12" spans="1:9" x14ac:dyDescent="0.3">
      <c r="A12" s="5">
        <v>1840</v>
      </c>
      <c r="B12" s="6">
        <f t="shared" ref="B12:B19" si="1">$I$2*(1-(A12-1830)*2/300)+$I$3*(1-(A12-1840)*2/300)</f>
        <v>260880</v>
      </c>
      <c r="D12" s="5" t="s">
        <v>36</v>
      </c>
      <c r="E12" s="9" t="s">
        <v>37</v>
      </c>
      <c r="F12" s="9">
        <v>187200</v>
      </c>
      <c r="H12" s="11">
        <v>1890</v>
      </c>
      <c r="I12" s="9">
        <f>SUM(F18)</f>
        <v>54000</v>
      </c>
    </row>
    <row r="13" spans="1:9" x14ac:dyDescent="0.3">
      <c r="A13" s="5">
        <v>1841</v>
      </c>
      <c r="B13" s="6">
        <f t="shared" si="1"/>
        <v>259032</v>
      </c>
      <c r="D13" s="5" t="s">
        <v>38</v>
      </c>
      <c r="E13" s="9" t="s">
        <v>39</v>
      </c>
      <c r="F13" s="9">
        <v>144000</v>
      </c>
      <c r="H13" s="11">
        <v>1895</v>
      </c>
      <c r="I13" s="9">
        <f>SUM(F19)</f>
        <v>18000</v>
      </c>
    </row>
    <row r="14" spans="1:9" x14ac:dyDescent="0.3">
      <c r="A14" s="5">
        <v>1842</v>
      </c>
      <c r="B14" s="6">
        <f t="shared" si="1"/>
        <v>257184</v>
      </c>
      <c r="D14" s="5" t="s">
        <v>40</v>
      </c>
      <c r="E14" s="9" t="s">
        <v>41</v>
      </c>
      <c r="F14" s="9">
        <v>14400</v>
      </c>
      <c r="H14" s="11">
        <v>1898</v>
      </c>
      <c r="I14" s="9">
        <f>SUM(F20)</f>
        <v>18000</v>
      </c>
    </row>
    <row r="15" spans="1:9" x14ac:dyDescent="0.3">
      <c r="A15" s="5">
        <v>1843</v>
      </c>
      <c r="B15" s="6">
        <f t="shared" si="1"/>
        <v>255336</v>
      </c>
      <c r="D15" s="5" t="s">
        <v>42</v>
      </c>
      <c r="E15" s="9" t="s">
        <v>41</v>
      </c>
      <c r="F15" s="9">
        <v>14400</v>
      </c>
      <c r="H15" s="11">
        <v>1900</v>
      </c>
      <c r="I15" s="9">
        <f>SUM(F21,F22)</f>
        <v>255600</v>
      </c>
    </row>
    <row r="16" spans="1:9" x14ac:dyDescent="0.3">
      <c r="A16" s="5">
        <v>1844</v>
      </c>
      <c r="B16" s="6">
        <f t="shared" si="1"/>
        <v>253488</v>
      </c>
      <c r="D16" s="5" t="s">
        <v>43</v>
      </c>
      <c r="E16" s="9" t="s">
        <v>41</v>
      </c>
      <c r="F16" s="9">
        <v>14400</v>
      </c>
      <c r="H16" s="11">
        <v>1905</v>
      </c>
      <c r="I16" s="9">
        <f>SUM(F23)</f>
        <v>21600</v>
      </c>
    </row>
    <row r="17" spans="1:9" x14ac:dyDescent="0.3">
      <c r="A17" s="5">
        <v>1845</v>
      </c>
      <c r="B17" s="6">
        <f t="shared" si="1"/>
        <v>251640</v>
      </c>
      <c r="D17" s="5" t="s">
        <v>44</v>
      </c>
      <c r="E17" s="9" t="s">
        <v>45</v>
      </c>
      <c r="F17" s="9">
        <v>36000</v>
      </c>
      <c r="H17" s="11">
        <v>1910</v>
      </c>
      <c r="I17" s="9">
        <f>SUM(F24)</f>
        <v>21600</v>
      </c>
    </row>
    <row r="18" spans="1:9" x14ac:dyDescent="0.3">
      <c r="A18" s="5">
        <v>1846</v>
      </c>
      <c r="B18" s="6">
        <f t="shared" si="1"/>
        <v>249792</v>
      </c>
      <c r="D18" s="5" t="s">
        <v>46</v>
      </c>
      <c r="E18" s="9" t="s">
        <v>47</v>
      </c>
      <c r="F18" s="9">
        <v>54000</v>
      </c>
      <c r="H18" s="11">
        <v>1914</v>
      </c>
      <c r="I18" s="9">
        <f>SUM(F25)</f>
        <v>43200</v>
      </c>
    </row>
    <row r="19" spans="1:9" x14ac:dyDescent="0.3">
      <c r="A19" s="5">
        <v>1847</v>
      </c>
      <c r="B19" s="6">
        <f t="shared" si="1"/>
        <v>247944</v>
      </c>
      <c r="D19" s="5" t="s">
        <v>48</v>
      </c>
      <c r="E19" s="5" t="s">
        <v>49</v>
      </c>
      <c r="F19" s="9">
        <v>18000</v>
      </c>
      <c r="H19" s="11">
        <v>1915</v>
      </c>
      <c r="I19" s="9">
        <f>SUM(F26)</f>
        <v>21600</v>
      </c>
    </row>
    <row r="20" spans="1:9" x14ac:dyDescent="0.3">
      <c r="A20" s="5">
        <v>1848</v>
      </c>
      <c r="B20" s="6">
        <f>$I$2*(1-(A20-1830)*2/300)+$I$3*(1-(A20-1840)*2/300)+$I$4*(1-(A20-1848)*2/300)</f>
        <v>256896</v>
      </c>
      <c r="D20" s="5" t="s">
        <v>50</v>
      </c>
      <c r="E20" s="5" t="s">
        <v>49</v>
      </c>
      <c r="F20" s="9">
        <v>18000</v>
      </c>
      <c r="H20" s="11">
        <v>1919</v>
      </c>
      <c r="I20" s="9">
        <f>SUM(F27)</f>
        <v>194400</v>
      </c>
    </row>
    <row r="21" spans="1:9" x14ac:dyDescent="0.3">
      <c r="A21" s="5">
        <v>1849</v>
      </c>
      <c r="B21" s="6">
        <f>$I$2*(1-(A21-1830)*2/300)+$I$3*(1-(A21-1840)*2/300)+$I$4*(1-(A21-1848)*2/300)</f>
        <v>254976</v>
      </c>
      <c r="D21" s="5" t="s">
        <v>51</v>
      </c>
      <c r="E21" s="9" t="s">
        <v>52</v>
      </c>
      <c r="F21" s="9">
        <v>18000</v>
      </c>
      <c r="H21" s="5" t="s">
        <v>53</v>
      </c>
      <c r="I21" s="9">
        <f>SUM(I2:I20)</f>
        <v>1638000</v>
      </c>
    </row>
    <row r="22" spans="1:9" x14ac:dyDescent="0.3">
      <c r="A22" s="5">
        <v>1850</v>
      </c>
      <c r="B22" s="6">
        <f>$I$2*(1-(A22-1830)*2/300)+$I$3*(1-(A22-1840)*2/300)+$I$4*(1-(A22-1848)*2/300)+$I$5*(1-(A22-1850)*2/300)</f>
        <v>512256</v>
      </c>
      <c r="D22" s="5" t="s">
        <v>54</v>
      </c>
      <c r="E22" s="9" t="s">
        <v>55</v>
      </c>
      <c r="F22" s="9">
        <v>237600</v>
      </c>
    </row>
    <row r="23" spans="1:9" x14ac:dyDescent="0.3">
      <c r="A23" s="5">
        <v>1851</v>
      </c>
      <c r="B23" s="6">
        <f>$I$2*(1-(A23-1830)*2/300)+$I$3*(1-(A23-1840)*2/300)+$I$4*(1-(A23-1848)*2/300)+$I$5*(1-(A23-1850)*2/300)</f>
        <v>508608</v>
      </c>
      <c r="D23" s="5" t="s">
        <v>56</v>
      </c>
      <c r="E23" s="9" t="s">
        <v>57</v>
      </c>
      <c r="F23" s="9">
        <v>21600</v>
      </c>
      <c r="H23" s="1" t="s">
        <v>58</v>
      </c>
      <c r="I23" s="1" t="s">
        <v>59</v>
      </c>
    </row>
    <row r="24" spans="1:9" x14ac:dyDescent="0.3">
      <c r="A24" s="5">
        <v>1852</v>
      </c>
      <c r="B24" s="6">
        <f>$I$2*(1-(A24-1830)*2/300)+$I$3*(1-(A24-1840)*2/300)+$I$4*(1-(A24-1848)*2/300)+$I$5*(1-(A24-1850)*2/300)</f>
        <v>504960</v>
      </c>
      <c r="D24" s="5" t="s">
        <v>60</v>
      </c>
      <c r="E24" s="9" t="s">
        <v>57</v>
      </c>
      <c r="F24" s="9">
        <v>21600</v>
      </c>
    </row>
    <row r="25" spans="1:9" x14ac:dyDescent="0.3">
      <c r="A25" s="5">
        <v>1853</v>
      </c>
      <c r="B25" s="6">
        <f>$I$2*(1-(A25-1830)*2/300)+$I$3*(1-(A25-1840)*2/300)+$I$4*(1-(A25-1848)*2/300)+$I$5*(1-(A25-1850)*2/300)</f>
        <v>501312</v>
      </c>
      <c r="D25" s="5" t="s">
        <v>61</v>
      </c>
      <c r="E25" s="9" t="s">
        <v>62</v>
      </c>
      <c r="F25" s="9">
        <v>43200</v>
      </c>
    </row>
    <row r="26" spans="1:9" x14ac:dyDescent="0.3">
      <c r="A26" s="5">
        <v>1854</v>
      </c>
      <c r="B26" s="6">
        <f>$I$2*(1-(A26-1830)*2/300)+$I$3*(1-(A26-1840)*2/300)+$I$4*(1-(A26-1848)*2/300)+$I$5*(1-(A26-1850)*2/300)</f>
        <v>497664</v>
      </c>
      <c r="D26" s="5" t="s">
        <v>63</v>
      </c>
      <c r="E26" s="9" t="s">
        <v>57</v>
      </c>
      <c r="F26" s="9">
        <v>21600</v>
      </c>
    </row>
    <row r="27" spans="1:9" x14ac:dyDescent="0.3">
      <c r="A27" s="5">
        <v>1855</v>
      </c>
      <c r="B27" s="6">
        <f>$I$2*(1-(A27-1830)*2/300)+$I$3*(1-(A27-1840)*2/300)+$I$4*(1-(A27-1848)*2/300)+$I$5*(1-(A27-1850)*2/300)+$I$6*(1-(A27-1855)*2/300)</f>
        <v>515616</v>
      </c>
      <c r="D27" s="5" t="s">
        <v>64</v>
      </c>
      <c r="E27" s="9" t="s">
        <v>65</v>
      </c>
      <c r="F27" s="9">
        <v>194400</v>
      </c>
    </row>
    <row r="28" spans="1:9" x14ac:dyDescent="0.3">
      <c r="A28" s="5">
        <v>1856</v>
      </c>
      <c r="B28" s="6">
        <f>$I$2*(1-(A28-1830)*2/300)+$I$3*(1-(A28-1840)*2/300)+$I$4*(1-(A28-1848)*2/300)+$I$5*(1-(A28-1850)*2/300)+$I$6*(1-(A28-1855)*2/300)</f>
        <v>511824</v>
      </c>
    </row>
    <row r="29" spans="1:9" x14ac:dyDescent="0.3">
      <c r="A29" s="5">
        <v>1857</v>
      </c>
      <c r="B29" s="6">
        <f>$I$2*(1-(A29-1830)*2/300)+$I$3*(1-(A29-1840)*2/300)+$I$4*(1-(A29-1848)*2/300)+$I$5*(1-(A29-1850)*2/300)+$I$6*(1-(A29-1855)*2/300)</f>
        <v>508032</v>
      </c>
    </row>
    <row r="30" spans="1:9" x14ac:dyDescent="0.3">
      <c r="A30" s="5">
        <v>1858</v>
      </c>
      <c r="B30" s="6">
        <f>$I$2*(1-(A30-1830)*2/300)+$I$3*(1-(A30-1840)*2/300)+$I$4*(1-(A30-1848)*2/300)+$I$5*(1-(A30-1850)*2/300)+$I$6*(1-(A30-1855)*2/300)</f>
        <v>504240</v>
      </c>
    </row>
    <row r="31" spans="1:9" x14ac:dyDescent="0.3">
      <c r="A31" s="5">
        <v>1859</v>
      </c>
      <c r="B31" s="6">
        <f>$I$2*(1-(A31-1830)*2/300)+$I$3*(1-(A31-1840)*2/300)+$I$4*(1-(A31-1848)*2/300)+$I$5*(1-(A31-1850)*2/300)+$I$6*(1-(A31-1855)*2/300)</f>
        <v>500448</v>
      </c>
    </row>
    <row r="32" spans="1:9" x14ac:dyDescent="0.3">
      <c r="A32" s="5">
        <v>1860</v>
      </c>
      <c r="B32" s="6">
        <f t="shared" ref="B32:B41" si="2">$I$2*(1-(A32-1830)*2/300)+$I$3*(1-(A32-1840)*2/300)+$I$4*(1-(A32-1848)*2/300)+$I$5*(1-(A32-1850)*2/300)+$I$6*(1-(A32-1855)*2/300)+$I$2*(1-(A32-1860)*2/300)</f>
        <v>741456</v>
      </c>
    </row>
    <row r="33" spans="1:2" x14ac:dyDescent="0.3">
      <c r="A33" s="5">
        <v>1861</v>
      </c>
      <c r="B33" s="6">
        <f t="shared" si="2"/>
        <v>736032</v>
      </c>
    </row>
    <row r="34" spans="1:2" x14ac:dyDescent="0.3">
      <c r="A34" s="5">
        <v>1862</v>
      </c>
      <c r="B34" s="6">
        <f t="shared" si="2"/>
        <v>730608</v>
      </c>
    </row>
    <row r="35" spans="1:2" x14ac:dyDescent="0.3">
      <c r="A35" s="5">
        <v>1863</v>
      </c>
      <c r="B35" s="6">
        <f t="shared" si="2"/>
        <v>725184</v>
      </c>
    </row>
    <row r="36" spans="1:2" x14ac:dyDescent="0.3">
      <c r="A36" s="5">
        <v>1864</v>
      </c>
      <c r="B36" s="6">
        <f t="shared" si="2"/>
        <v>719760</v>
      </c>
    </row>
    <row r="37" spans="1:2" x14ac:dyDescent="0.3">
      <c r="A37" s="5">
        <v>1865</v>
      </c>
      <c r="B37" s="6">
        <f t="shared" si="2"/>
        <v>714336</v>
      </c>
    </row>
    <row r="38" spans="1:2" x14ac:dyDescent="0.3">
      <c r="A38" s="5">
        <v>1866</v>
      </c>
      <c r="B38" s="6">
        <f t="shared" si="2"/>
        <v>708912</v>
      </c>
    </row>
    <row r="39" spans="1:2" x14ac:dyDescent="0.3">
      <c r="A39" s="5">
        <v>1867</v>
      </c>
      <c r="B39" s="6">
        <f t="shared" si="2"/>
        <v>703488</v>
      </c>
    </row>
    <row r="40" spans="1:2" x14ac:dyDescent="0.3">
      <c r="A40" s="5">
        <v>1868</v>
      </c>
      <c r="B40" s="6">
        <f t="shared" si="2"/>
        <v>698064</v>
      </c>
    </row>
    <row r="41" spans="1:2" x14ac:dyDescent="0.3">
      <c r="A41" s="5">
        <v>1869</v>
      </c>
      <c r="B41" s="6">
        <f t="shared" si="2"/>
        <v>692640</v>
      </c>
    </row>
    <row r="42" spans="1:2" x14ac:dyDescent="0.3">
      <c r="A42" s="5">
        <v>1870</v>
      </c>
      <c r="B42" s="6">
        <f>$I$2*(1-(A42-1830)*2/300)+$I$3*(1-(A42-1840)*2/300)+$I$4*(1-(A42-1848)*2/300)+$I$5*(1-(A42-1850)*2/300)+$I$6*(1-(A42-1855)*2/300)+$I$7*(1-(A42-1860)*2/300)+$I$8*(1-(A42-1870)*2/300)</f>
        <v>800016</v>
      </c>
    </row>
    <row r="43" spans="1:2" x14ac:dyDescent="0.3">
      <c r="A43" s="5">
        <v>1871</v>
      </c>
      <c r="B43" s="6">
        <f>$I$2*(1-(A43-1830)*2/300)+$I$3*(1-(A43-1840)*2/300)+$I$4*(1-(A43-1848)*2/300)+$I$5*(1-(A43-1850)*2/300)+$I$6*(1-(A43-1855)*2/300)+$I$7*(1-(A43-1860)*2/300)+$I$8*(1-(A43-1870)*2/300)</f>
        <v>793944</v>
      </c>
    </row>
    <row r="44" spans="1:2" x14ac:dyDescent="0.3">
      <c r="A44" s="5">
        <v>1872</v>
      </c>
      <c r="B44" s="6">
        <f>$I$2*(1-(A44-1830)*2/300)+$I$3*(1-(A44-1840)*2/300)+$I$4*(1-(A44-1848)*2/300)+$I$5*(1-(A44-1850)*2/300)+$I$6*(1-(A44-1855)*2/300)+$I$7*(1-(A44-1860)*2/300)+$I$8*(1-(A44-1870)*2/300)+$I$9*(1-(A44-1872)*2/300)</f>
        <v>802272</v>
      </c>
    </row>
    <row r="45" spans="1:2" x14ac:dyDescent="0.3">
      <c r="A45" s="5">
        <v>1873</v>
      </c>
      <c r="B45" s="6">
        <f>$I$2*(1-(A45-1830)*2/300)+$I$3*(1-(A45-1840)*2/300)+$I$4*(1-(A45-1848)*2/300)+$I$5*(1-(A45-1850)*2/300)+$I$6*(1-(A45-1855)*2/300)+$I$7*(1-(A45-1860)*2/300)+$I$8*(1-(A45-1870)*2/300)+$I$9*(1-(A45-1872)*2/300)</f>
        <v>796104</v>
      </c>
    </row>
    <row r="46" spans="1:2" x14ac:dyDescent="0.3">
      <c r="A46" s="5">
        <v>1874</v>
      </c>
      <c r="B46" s="6">
        <f>$I$2*(1-(A46-1830)*2/300)+$I$3*(1-(A46-1840)*2/300)+$I$4*(1-(A46-1848)*2/300)+$I$5*(1-(A46-1850)*2/300)+$I$6*(1-(A46-1855)*2/300)+$I$7*(1-(A46-1860)*2/300)+$I$8*(1-(A46-1870)*2/300)+$I$9*(1-(A46-1872)*2/300)</f>
        <v>789936</v>
      </c>
    </row>
    <row r="47" spans="1:2" x14ac:dyDescent="0.3">
      <c r="A47" s="5">
        <v>1875</v>
      </c>
      <c r="B47" s="6">
        <f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spans="1:2" x14ac:dyDescent="0.3">
      <c r="A48" s="5">
        <v>1876</v>
      </c>
      <c r="B48" s="6">
        <f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spans="1:2" x14ac:dyDescent="0.3">
      <c r="A49" s="5">
        <v>1877</v>
      </c>
      <c r="B49" s="6">
        <f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spans="1:2" x14ac:dyDescent="0.3">
      <c r="A50" s="5">
        <v>1878</v>
      </c>
      <c r="B50" s="6">
        <f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spans="1:2" x14ac:dyDescent="0.3">
      <c r="A51" s="5">
        <v>1879</v>
      </c>
      <c r="B51" s="6">
        <f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spans="1:2" x14ac:dyDescent="0.3">
      <c r="A52" s="5">
        <v>1880</v>
      </c>
      <c r="B52" s="6">
        <f t="shared" ref="B52:B61" si="3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spans="1:2" x14ac:dyDescent="0.3">
      <c r="A53" s="5">
        <v>1881</v>
      </c>
      <c r="B53" s="6">
        <f t="shared" si="3"/>
        <v>810648</v>
      </c>
    </row>
    <row r="54" spans="1:2" x14ac:dyDescent="0.3">
      <c r="A54" s="5">
        <v>1882</v>
      </c>
      <c r="B54" s="6">
        <f t="shared" si="3"/>
        <v>804048</v>
      </c>
    </row>
    <row r="55" spans="1:2" x14ac:dyDescent="0.3">
      <c r="A55" s="5">
        <v>1883</v>
      </c>
      <c r="B55" s="6">
        <f t="shared" si="3"/>
        <v>797448</v>
      </c>
    </row>
    <row r="56" spans="1:2" x14ac:dyDescent="0.3">
      <c r="A56" s="5">
        <v>1884</v>
      </c>
      <c r="B56" s="6">
        <f t="shared" si="3"/>
        <v>790848</v>
      </c>
    </row>
    <row r="57" spans="1:2" x14ac:dyDescent="0.3">
      <c r="A57" s="5">
        <v>1885</v>
      </c>
      <c r="B57" s="6">
        <f t="shared" si="3"/>
        <v>784248</v>
      </c>
    </row>
    <row r="58" spans="1:2" x14ac:dyDescent="0.3">
      <c r="A58" s="5">
        <v>1886</v>
      </c>
      <c r="B58" s="6">
        <f t="shared" si="3"/>
        <v>777648</v>
      </c>
    </row>
    <row r="59" spans="1:2" x14ac:dyDescent="0.3">
      <c r="A59" s="5">
        <v>1887</v>
      </c>
      <c r="B59" s="6">
        <f t="shared" si="3"/>
        <v>771048</v>
      </c>
    </row>
    <row r="60" spans="1:2" x14ac:dyDescent="0.3">
      <c r="A60" s="5">
        <v>1888</v>
      </c>
      <c r="B60" s="6">
        <f t="shared" si="3"/>
        <v>764448</v>
      </c>
    </row>
    <row r="61" spans="1:2" x14ac:dyDescent="0.3">
      <c r="A61" s="5">
        <v>1889</v>
      </c>
      <c r="B61" s="6">
        <f t="shared" si="3"/>
        <v>757848</v>
      </c>
    </row>
    <row r="62" spans="1:2" x14ac:dyDescent="0.3">
      <c r="A62" s="5">
        <v>1890</v>
      </c>
      <c r="B62" s="6">
        <f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spans="1:2" x14ac:dyDescent="0.3">
      <c r="A63" s="5">
        <v>1891</v>
      </c>
      <c r="B63" s="6">
        <f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spans="1:2" x14ac:dyDescent="0.3">
      <c r="A64" s="5">
        <v>1892</v>
      </c>
      <c r="B64" s="6">
        <f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spans="1:2" x14ac:dyDescent="0.3">
      <c r="A65" s="5">
        <v>1893</v>
      </c>
      <c r="B65" s="6">
        <f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spans="1:2" x14ac:dyDescent="0.3">
      <c r="A66" s="5">
        <v>1894</v>
      </c>
      <c r="B66" s="6">
        <f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spans="1:2" x14ac:dyDescent="0.3">
      <c r="A67" s="5">
        <v>1895</v>
      </c>
      <c r="B67" s="6">
        <f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spans="1:2" x14ac:dyDescent="0.3">
      <c r="A68" s="5">
        <v>1896</v>
      </c>
      <c r="B68" s="6">
        <f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spans="1:2" x14ac:dyDescent="0.3">
      <c r="A69" s="5">
        <v>1897</v>
      </c>
      <c r="B69" s="6">
        <f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spans="1:2" x14ac:dyDescent="0.3">
      <c r="A70" s="5">
        <v>1898</v>
      </c>
      <c r="B70" s="6">
        <f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spans="1:2" x14ac:dyDescent="0.3">
      <c r="A71" s="5">
        <v>1899</v>
      </c>
      <c r="B71" s="6">
        <f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spans="1:2" x14ac:dyDescent="0.3">
      <c r="A72" s="5">
        <v>1900</v>
      </c>
      <c r="B72" s="6">
        <f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spans="1:2" x14ac:dyDescent="0.3">
      <c r="A73" s="5">
        <v>1901</v>
      </c>
      <c r="B73" s="6">
        <f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spans="1:2" x14ac:dyDescent="0.3">
      <c r="A74" s="5">
        <v>1902</v>
      </c>
      <c r="B74" s="6">
        <f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spans="1:2" x14ac:dyDescent="0.3">
      <c r="A75" s="5">
        <v>1903</v>
      </c>
      <c r="B75" s="6">
        <f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spans="1:2" x14ac:dyDescent="0.3">
      <c r="A76" s="5">
        <v>1904</v>
      </c>
      <c r="B76" s="6">
        <f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spans="1:2" x14ac:dyDescent="0.3">
      <c r="A77" s="5">
        <v>1905</v>
      </c>
      <c r="B77" s="6">
        <f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spans="1:2" x14ac:dyDescent="0.3">
      <c r="A78" s="5">
        <v>1906</v>
      </c>
      <c r="B78" s="6">
        <f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spans="1:2" x14ac:dyDescent="0.3">
      <c r="A79" s="5">
        <v>1907</v>
      </c>
      <c r="B79" s="6">
        <f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spans="1:2" x14ac:dyDescent="0.3">
      <c r="A80" s="5">
        <v>1908</v>
      </c>
      <c r="B80" s="6">
        <f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spans="1:2" x14ac:dyDescent="0.3">
      <c r="A81" s="5">
        <v>1909</v>
      </c>
      <c r="B81" s="6">
        <f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spans="1:2" x14ac:dyDescent="0.3">
      <c r="A82" s="5">
        <v>1910</v>
      </c>
      <c r="B82" s="6">
        <f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spans="1:2" x14ac:dyDescent="0.3">
      <c r="A83" s="5">
        <v>1911</v>
      </c>
      <c r="B83" s="6">
        <f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spans="1:2" x14ac:dyDescent="0.3">
      <c r="A84" s="5">
        <v>1912</v>
      </c>
      <c r="B84" s="6">
        <f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spans="1:2" x14ac:dyDescent="0.3">
      <c r="A85" s="5">
        <v>1913</v>
      </c>
      <c r="B85" s="6">
        <f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spans="1:2" x14ac:dyDescent="0.3">
      <c r="A86" s="5">
        <v>1914</v>
      </c>
      <c r="B86" s="6">
        <f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spans="1:2" x14ac:dyDescent="0.3">
      <c r="A87" s="5">
        <v>1915</v>
      </c>
      <c r="B87" s="6">
        <f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spans="1:2" x14ac:dyDescent="0.3">
      <c r="A88" s="5">
        <v>1916</v>
      </c>
      <c r="B88" s="6">
        <f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spans="1:2" x14ac:dyDescent="0.3">
      <c r="A89" s="5">
        <v>1917</v>
      </c>
      <c r="B89" s="6">
        <f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spans="1:2" x14ac:dyDescent="0.3">
      <c r="A90" s="5">
        <v>1918</v>
      </c>
      <c r="B90" s="6">
        <f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spans="1:2" x14ac:dyDescent="0.3">
      <c r="A91" s="5">
        <v>1919</v>
      </c>
      <c r="B91" s="6">
        <f t="shared" ref="B91:B108" si="4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spans="1:2" x14ac:dyDescent="0.3">
      <c r="A92" s="5">
        <v>1920</v>
      </c>
      <c r="B92" s="6">
        <f t="shared" si="4"/>
        <v>1143384</v>
      </c>
    </row>
    <row r="93" spans="1:2" x14ac:dyDescent="0.3">
      <c r="A93" s="5">
        <v>1921</v>
      </c>
      <c r="B93" s="6">
        <f t="shared" si="4"/>
        <v>1132464</v>
      </c>
    </row>
    <row r="94" spans="1:2" x14ac:dyDescent="0.3">
      <c r="A94" s="5">
        <v>1922</v>
      </c>
      <c r="B94" s="6">
        <f t="shared" si="4"/>
        <v>1121544</v>
      </c>
    </row>
    <row r="95" spans="1:2" x14ac:dyDescent="0.3">
      <c r="A95" s="5">
        <v>1923</v>
      </c>
      <c r="B95" s="6">
        <f t="shared" si="4"/>
        <v>1110624</v>
      </c>
    </row>
    <row r="96" spans="1:2" x14ac:dyDescent="0.3">
      <c r="A96" s="5">
        <v>1924</v>
      </c>
      <c r="B96" s="6">
        <f t="shared" si="4"/>
        <v>1099704</v>
      </c>
    </row>
    <row r="97" spans="1:3" x14ac:dyDescent="0.3">
      <c r="A97" s="5">
        <v>1925</v>
      </c>
      <c r="B97" s="6">
        <f t="shared" si="4"/>
        <v>1088784</v>
      </c>
    </row>
    <row r="98" spans="1:3" x14ac:dyDescent="0.3">
      <c r="A98" s="5">
        <v>1926</v>
      </c>
      <c r="B98" s="6">
        <f t="shared" si="4"/>
        <v>1077864</v>
      </c>
    </row>
    <row r="99" spans="1:3" x14ac:dyDescent="0.3">
      <c r="A99" s="5">
        <v>1927</v>
      </c>
      <c r="B99" s="6">
        <f t="shared" si="4"/>
        <v>1066944</v>
      </c>
    </row>
    <row r="100" spans="1:3" x14ac:dyDescent="0.3">
      <c r="A100" s="5">
        <v>1928</v>
      </c>
      <c r="B100" s="6">
        <f t="shared" si="4"/>
        <v>1056024</v>
      </c>
    </row>
    <row r="101" spans="1:3" x14ac:dyDescent="0.3">
      <c r="A101" s="5">
        <v>1929</v>
      </c>
      <c r="B101" s="6">
        <f t="shared" si="4"/>
        <v>1045104</v>
      </c>
    </row>
    <row r="102" spans="1:3" x14ac:dyDescent="0.3">
      <c r="A102" s="5">
        <v>1930</v>
      </c>
      <c r="B102" s="6">
        <f t="shared" si="4"/>
        <v>1034184</v>
      </c>
    </row>
    <row r="103" spans="1:3" x14ac:dyDescent="0.3">
      <c r="A103" s="5">
        <v>1931</v>
      </c>
      <c r="B103" s="6">
        <f t="shared" si="4"/>
        <v>1023264</v>
      </c>
    </row>
    <row r="104" spans="1:3" x14ac:dyDescent="0.3">
      <c r="A104" s="5">
        <v>1932</v>
      </c>
      <c r="B104" s="6">
        <f t="shared" si="4"/>
        <v>1012344</v>
      </c>
    </row>
    <row r="105" spans="1:3" x14ac:dyDescent="0.3">
      <c r="A105" s="5">
        <v>1933</v>
      </c>
      <c r="B105" s="6">
        <f t="shared" si="4"/>
        <v>1001424</v>
      </c>
    </row>
    <row r="106" spans="1:3" x14ac:dyDescent="0.3">
      <c r="A106" s="5">
        <v>1934</v>
      </c>
      <c r="B106" s="6">
        <f t="shared" si="4"/>
        <v>990504</v>
      </c>
    </row>
    <row r="107" spans="1:3" x14ac:dyDescent="0.3">
      <c r="A107" s="5">
        <v>1935</v>
      </c>
      <c r="B107" s="6">
        <f t="shared" si="4"/>
        <v>979584</v>
      </c>
    </row>
    <row r="108" spans="1:3" ht="14.5" x14ac:dyDescent="0.35">
      <c r="A108" s="5">
        <v>1936</v>
      </c>
      <c r="B108" s="6">
        <f t="shared" si="4"/>
        <v>968664</v>
      </c>
      <c r="C108"/>
    </row>
  </sheetData>
  <dataValidations count="1">
    <dataValidation type="list" operator="equal" allowBlank="1" showErrorMessage="1" sqref="H23" xr:uid="{00000000-0002-0000-0100-000000000000}">
      <formula1>"Yes,No"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7"/>
  <sheetViews>
    <sheetView topLeftCell="A97" zoomScale="110" zoomScaleNormal="110" workbookViewId="0">
      <selection activeCell="G51" sqref="G51"/>
    </sheetView>
  </sheetViews>
  <sheetFormatPr defaultColWidth="8.81640625" defaultRowHeight="14" x14ac:dyDescent="0.3"/>
  <cols>
    <col min="1" max="1" width="7.54296875" style="1" customWidth="1"/>
    <col min="2" max="2" width="28" style="1" customWidth="1"/>
    <col min="3" max="3" width="10" style="1" customWidth="1"/>
    <col min="4" max="4" width="15.90625" style="1" customWidth="1"/>
    <col min="5" max="5" width="10.54296875" style="1" customWidth="1"/>
    <col min="6" max="6" width="17.90625" style="1" customWidth="1"/>
    <col min="7" max="7" width="12.453125" style="1" customWidth="1"/>
    <col min="8" max="16384" width="8.81640625" style="1"/>
  </cols>
  <sheetData>
    <row r="1" spans="1:6" x14ac:dyDescent="0.3">
      <c r="A1" s="5" t="s">
        <v>0</v>
      </c>
      <c r="B1" s="5" t="s">
        <v>66</v>
      </c>
      <c r="C1" s="5" t="s">
        <v>67</v>
      </c>
      <c r="D1" s="5" t="s">
        <v>1</v>
      </c>
      <c r="E1" s="5" t="s">
        <v>3</v>
      </c>
      <c r="F1" s="5" t="s">
        <v>68</v>
      </c>
    </row>
    <row r="2" spans="1:6" x14ac:dyDescent="0.3">
      <c r="A2" s="5">
        <v>1830</v>
      </c>
      <c r="B2" s="12">
        <v>0.1</v>
      </c>
      <c r="C2" s="12">
        <v>-0.1</v>
      </c>
      <c r="D2" s="13">
        <v>0.01</v>
      </c>
      <c r="E2" s="14">
        <v>0.51200000000000001</v>
      </c>
      <c r="F2" s="13">
        <f t="shared" ref="F2:F12" si="0">(D2-0.005)*0.1/0.035*(1+B2+C2)*0.01*120</f>
        <v>1.7142857142857144E-2</v>
      </c>
    </row>
    <row r="3" spans="1:6" x14ac:dyDescent="0.3">
      <c r="A3" s="5">
        <v>1840</v>
      </c>
      <c r="B3" s="12">
        <v>0.2</v>
      </c>
      <c r="C3" s="12">
        <v>-0.03</v>
      </c>
      <c r="D3" s="13">
        <v>0.02</v>
      </c>
      <c r="E3" s="14">
        <f t="shared" ref="E3:E12" si="1">MIN(1,E2+F2)</f>
        <v>0.52914285714285714</v>
      </c>
      <c r="F3" s="13">
        <f t="shared" si="0"/>
        <v>6.017142857142857E-2</v>
      </c>
    </row>
    <row r="4" spans="1:6" x14ac:dyDescent="0.3">
      <c r="A4" s="5">
        <v>1850</v>
      </c>
      <c r="B4" s="12">
        <v>0.7</v>
      </c>
      <c r="C4" s="12">
        <v>0.02</v>
      </c>
      <c r="D4" s="13">
        <v>2.5000000000000001E-2</v>
      </c>
      <c r="E4" s="14">
        <f t="shared" si="1"/>
        <v>0.58931428571428568</v>
      </c>
      <c r="F4" s="13">
        <f t="shared" si="0"/>
        <v>0.11794285714285713</v>
      </c>
    </row>
    <row r="5" spans="1:6" x14ac:dyDescent="0.3">
      <c r="A5" s="5">
        <v>1860</v>
      </c>
      <c r="B5" s="12">
        <v>0.7</v>
      </c>
      <c r="C5" s="12">
        <v>0.17</v>
      </c>
      <c r="D5" s="13">
        <v>0.03</v>
      </c>
      <c r="E5" s="14">
        <f t="shared" si="1"/>
        <v>0.70725714285714281</v>
      </c>
      <c r="F5" s="13">
        <f t="shared" si="0"/>
        <v>0.16028571428571425</v>
      </c>
    </row>
    <row r="6" spans="1:6" x14ac:dyDescent="0.3">
      <c r="A6" s="5">
        <v>1870</v>
      </c>
      <c r="B6" s="12">
        <v>0.9</v>
      </c>
      <c r="C6" s="12">
        <v>0.32</v>
      </c>
      <c r="D6" s="13">
        <v>0.04</v>
      </c>
      <c r="E6" s="14">
        <f t="shared" si="1"/>
        <v>0.86754285714285706</v>
      </c>
      <c r="F6" s="13">
        <f t="shared" si="0"/>
        <v>0.26639999999999997</v>
      </c>
    </row>
    <row r="7" spans="1:6" x14ac:dyDescent="0.3">
      <c r="A7" s="5">
        <v>1880</v>
      </c>
      <c r="B7" s="12">
        <v>0.9</v>
      </c>
      <c r="C7" s="12">
        <v>0.32</v>
      </c>
      <c r="D7" s="13">
        <v>0.04</v>
      </c>
      <c r="E7" s="14">
        <f t="shared" si="1"/>
        <v>1</v>
      </c>
      <c r="F7" s="13">
        <f t="shared" si="0"/>
        <v>0.26639999999999997</v>
      </c>
    </row>
    <row r="8" spans="1:6" x14ac:dyDescent="0.3">
      <c r="A8" s="5">
        <v>1890</v>
      </c>
      <c r="B8" s="12">
        <v>1.1499999999999999</v>
      </c>
      <c r="C8" s="12">
        <v>0.32</v>
      </c>
      <c r="D8" s="13">
        <v>0.04</v>
      </c>
      <c r="E8" s="14">
        <f t="shared" si="1"/>
        <v>1</v>
      </c>
      <c r="F8" s="13">
        <f t="shared" si="0"/>
        <v>0.2964</v>
      </c>
    </row>
    <row r="9" spans="1:6" x14ac:dyDescent="0.3">
      <c r="A9" s="5">
        <v>1900</v>
      </c>
      <c r="B9" s="12">
        <v>1.35</v>
      </c>
      <c r="C9" s="12">
        <v>0.32</v>
      </c>
      <c r="D9" s="13">
        <v>0.04</v>
      </c>
      <c r="E9" s="14">
        <f t="shared" si="1"/>
        <v>1</v>
      </c>
      <c r="F9" s="13">
        <f t="shared" si="0"/>
        <v>0.32040000000000002</v>
      </c>
    </row>
    <row r="10" spans="1:6" x14ac:dyDescent="0.3">
      <c r="A10" s="5">
        <v>1910</v>
      </c>
      <c r="B10" s="12">
        <v>1.35</v>
      </c>
      <c r="C10" s="12">
        <v>0.32</v>
      </c>
      <c r="D10" s="13">
        <v>0.04</v>
      </c>
      <c r="E10" s="14">
        <f t="shared" si="1"/>
        <v>1</v>
      </c>
      <c r="F10" s="13">
        <f t="shared" si="0"/>
        <v>0.32040000000000002</v>
      </c>
    </row>
    <row r="11" spans="1:6" x14ac:dyDescent="0.3">
      <c r="A11" s="5">
        <v>1920</v>
      </c>
      <c r="B11" s="12">
        <v>1.35</v>
      </c>
      <c r="C11" s="12">
        <v>0.32</v>
      </c>
      <c r="D11" s="13">
        <v>0.04</v>
      </c>
      <c r="E11" s="14">
        <f t="shared" si="1"/>
        <v>1</v>
      </c>
      <c r="F11" s="13">
        <f t="shared" si="0"/>
        <v>0.32040000000000002</v>
      </c>
    </row>
    <row r="12" spans="1:6" x14ac:dyDescent="0.3">
      <c r="A12" s="5">
        <v>1930</v>
      </c>
      <c r="B12" s="12">
        <v>1.35</v>
      </c>
      <c r="C12" s="12">
        <v>0.32</v>
      </c>
      <c r="D12" s="13">
        <v>0.04</v>
      </c>
      <c r="E12" s="14">
        <f t="shared" si="1"/>
        <v>1</v>
      </c>
      <c r="F12" s="13">
        <f t="shared" si="0"/>
        <v>0.32040000000000002</v>
      </c>
    </row>
    <row r="13" spans="1:6" x14ac:dyDescent="0.3">
      <c r="A13" s="5"/>
      <c r="B13" s="12"/>
      <c r="C13" s="12"/>
      <c r="D13" s="13"/>
      <c r="E13" s="14"/>
      <c r="F13" s="13"/>
    </row>
    <row r="14" spans="1:6" x14ac:dyDescent="0.3">
      <c r="A14" s="5" t="s">
        <v>69</v>
      </c>
      <c r="B14" s="12">
        <v>0</v>
      </c>
      <c r="C14" s="12">
        <v>0</v>
      </c>
      <c r="D14" s="13">
        <v>0.04</v>
      </c>
      <c r="E14" s="14">
        <v>0.01</v>
      </c>
      <c r="F14" s="13">
        <f>(D14-0.005)*0.1/0.035*(1+B14+C14)*0.01*120</f>
        <v>0.12</v>
      </c>
    </row>
    <row r="15" spans="1:6" x14ac:dyDescent="0.3">
      <c r="A15" s="5" t="s">
        <v>69</v>
      </c>
      <c r="B15" s="12">
        <v>0</v>
      </c>
      <c r="C15" s="12">
        <v>0</v>
      </c>
      <c r="D15" s="13">
        <v>0.04</v>
      </c>
      <c r="E15" s="14">
        <f>SUM(E14,F14)</f>
        <v>0.13</v>
      </c>
      <c r="F15" s="13">
        <f>(D15-0.005)*0.1/0.035*(1+B15+C15)*0.01*120</f>
        <v>0.12</v>
      </c>
    </row>
    <row r="16" spans="1:6" x14ac:dyDescent="0.3">
      <c r="D16" s="10"/>
      <c r="E16" s="15"/>
    </row>
    <row r="17" spans="1:6" x14ac:dyDescent="0.3">
      <c r="A17" s="5" t="s">
        <v>69</v>
      </c>
      <c r="B17" s="12">
        <v>1</v>
      </c>
      <c r="C17" s="12">
        <v>0</v>
      </c>
      <c r="D17" s="13">
        <v>0.01</v>
      </c>
      <c r="E17" s="14">
        <v>0.01</v>
      </c>
      <c r="F17" s="13">
        <f>(D17-0.005)*0.1/0.035*(1+B17+C17)*0.01*120</f>
        <v>3.4285714285714287E-2</v>
      </c>
    </row>
    <row r="18" spans="1:6" x14ac:dyDescent="0.3">
      <c r="A18" s="5" t="s">
        <v>69</v>
      </c>
      <c r="B18" s="12">
        <v>1</v>
      </c>
      <c r="C18" s="12">
        <v>0</v>
      </c>
      <c r="D18" s="13">
        <v>0.04</v>
      </c>
      <c r="E18" s="14">
        <f>SUM(E17,F17)</f>
        <v>4.4285714285714289E-2</v>
      </c>
      <c r="F18" s="13">
        <f>(D18-0.005)*0.1/0.035*(1+B18+C18)*0.01*120</f>
        <v>0.24</v>
      </c>
    </row>
    <row r="20" spans="1:6" x14ac:dyDescent="0.3">
      <c r="A20" s="5" t="s">
        <v>0</v>
      </c>
      <c r="B20" s="5" t="s">
        <v>66</v>
      </c>
      <c r="C20" s="5" t="s">
        <v>67</v>
      </c>
      <c r="D20" s="5" t="s">
        <v>1</v>
      </c>
      <c r="E20" s="5" t="s">
        <v>3</v>
      </c>
      <c r="F20" s="5" t="s">
        <v>68</v>
      </c>
    </row>
    <row r="21" spans="1:6" x14ac:dyDescent="0.3">
      <c r="A21" s="5">
        <v>1830</v>
      </c>
      <c r="B21" s="12">
        <v>0.1</v>
      </c>
      <c r="C21" s="12">
        <v>-0.1</v>
      </c>
      <c r="D21" s="13">
        <v>0.01</v>
      </c>
      <c r="E21" s="14">
        <v>0.1</v>
      </c>
      <c r="F21" s="13">
        <f t="shared" ref="F21:F52" si="2">(D21-0.005)*0.1/0.035*(1+B21+C21)*0.01*12</f>
        <v>1.7142857142857144E-3</v>
      </c>
    </row>
    <row r="22" spans="1:6" x14ac:dyDescent="0.3">
      <c r="A22" s="5">
        <v>1831</v>
      </c>
      <c r="B22" s="12">
        <v>0.1</v>
      </c>
      <c r="C22" s="12">
        <v>-0.1</v>
      </c>
      <c r="D22" s="13">
        <v>1.0500000000000001E-2</v>
      </c>
      <c r="E22" s="14">
        <f t="shared" ref="E22:E53" si="3">MIN(1,E21+F21)</f>
        <v>0.10171428571428572</v>
      </c>
      <c r="F22" s="13">
        <f t="shared" si="2"/>
        <v>1.8857142857142859E-3</v>
      </c>
    </row>
    <row r="23" spans="1:6" x14ac:dyDescent="0.3">
      <c r="A23" s="5">
        <v>1832</v>
      </c>
      <c r="B23" s="12">
        <v>0.1</v>
      </c>
      <c r="C23" s="12">
        <v>-0.1</v>
      </c>
      <c r="D23" s="13">
        <v>1.0999999999999999E-2</v>
      </c>
      <c r="E23" s="14">
        <f t="shared" si="3"/>
        <v>0.1036</v>
      </c>
      <c r="F23" s="13">
        <f t="shared" si="2"/>
        <v>2.0571428571428568E-3</v>
      </c>
    </row>
    <row r="24" spans="1:6" x14ac:dyDescent="0.3">
      <c r="A24" s="5">
        <v>1833</v>
      </c>
      <c r="B24" s="12">
        <v>0.1</v>
      </c>
      <c r="C24" s="12">
        <v>-0.1</v>
      </c>
      <c r="D24" s="13">
        <v>1.15E-2</v>
      </c>
      <c r="E24" s="14">
        <f t="shared" si="3"/>
        <v>0.10565714285714285</v>
      </c>
      <c r="F24" s="13">
        <f t="shared" si="2"/>
        <v>2.2285714285714283E-3</v>
      </c>
    </row>
    <row r="25" spans="1:6" x14ac:dyDescent="0.3">
      <c r="A25" s="5">
        <v>1834</v>
      </c>
      <c r="B25" s="12">
        <v>0.1</v>
      </c>
      <c r="C25" s="12">
        <v>-0.1</v>
      </c>
      <c r="D25" s="13">
        <v>1.2E-2</v>
      </c>
      <c r="E25" s="14">
        <f t="shared" si="3"/>
        <v>0.10788571428571428</v>
      </c>
      <c r="F25" s="13">
        <f t="shared" si="2"/>
        <v>2.4000000000000002E-3</v>
      </c>
    </row>
    <row r="26" spans="1:6" x14ac:dyDescent="0.3">
      <c r="A26" s="5">
        <v>1835</v>
      </c>
      <c r="B26" s="12">
        <v>0.1</v>
      </c>
      <c r="C26" s="12">
        <v>-0.1</v>
      </c>
      <c r="D26" s="13">
        <v>1.2500000000000001E-2</v>
      </c>
      <c r="E26" s="14">
        <f t="shared" si="3"/>
        <v>0.11028571428571428</v>
      </c>
      <c r="F26" s="13">
        <f t="shared" si="2"/>
        <v>2.5714285714285717E-3</v>
      </c>
    </row>
    <row r="27" spans="1:6" x14ac:dyDescent="0.3">
      <c r="A27" s="5">
        <v>1836</v>
      </c>
      <c r="B27" s="12">
        <v>0.1</v>
      </c>
      <c r="C27" s="12">
        <v>-0.1</v>
      </c>
      <c r="D27" s="13">
        <v>1.2999999999999999E-2</v>
      </c>
      <c r="E27" s="14">
        <f t="shared" si="3"/>
        <v>0.11285714285714285</v>
      </c>
      <c r="F27" s="13">
        <f t="shared" si="2"/>
        <v>2.7428571428571428E-3</v>
      </c>
    </row>
    <row r="28" spans="1:6" x14ac:dyDescent="0.3">
      <c r="A28" s="5">
        <v>1837</v>
      </c>
      <c r="B28" s="12">
        <v>0.1</v>
      </c>
      <c r="C28" s="12">
        <v>-0.1</v>
      </c>
      <c r="D28" s="13">
        <v>1.35E-2</v>
      </c>
      <c r="E28" s="14">
        <f t="shared" si="3"/>
        <v>0.11559999999999999</v>
      </c>
      <c r="F28" s="13">
        <f t="shared" si="2"/>
        <v>2.9142857142857143E-3</v>
      </c>
    </row>
    <row r="29" spans="1:6" x14ac:dyDescent="0.3">
      <c r="A29" s="5">
        <v>1838</v>
      </c>
      <c r="B29" s="12">
        <v>0.1</v>
      </c>
      <c r="C29" s="12">
        <v>-0.1</v>
      </c>
      <c r="D29" s="13">
        <v>1.4E-2</v>
      </c>
      <c r="E29" s="14">
        <f t="shared" si="3"/>
        <v>0.11851428571428571</v>
      </c>
      <c r="F29" s="13">
        <f t="shared" si="2"/>
        <v>3.0857142857142858E-3</v>
      </c>
    </row>
    <row r="30" spans="1:6" x14ac:dyDescent="0.3">
      <c r="A30" s="5">
        <v>1839</v>
      </c>
      <c r="B30" s="12">
        <v>0.1</v>
      </c>
      <c r="C30" s="12">
        <v>-0.1</v>
      </c>
      <c r="D30" s="13">
        <v>1.4500000000000001E-2</v>
      </c>
      <c r="E30" s="14">
        <f t="shared" si="3"/>
        <v>0.1216</v>
      </c>
      <c r="F30" s="13">
        <f t="shared" si="2"/>
        <v>3.2571428571428573E-3</v>
      </c>
    </row>
    <row r="31" spans="1:6" x14ac:dyDescent="0.3">
      <c r="A31" s="5">
        <v>1840</v>
      </c>
      <c r="B31" s="12">
        <v>0.1</v>
      </c>
      <c r="C31" s="12">
        <v>-0.1</v>
      </c>
      <c r="D31" s="13">
        <v>1.4999999999999999E-2</v>
      </c>
      <c r="E31" s="14">
        <f t="shared" si="3"/>
        <v>0.12485714285714286</v>
      </c>
      <c r="F31" s="13">
        <f t="shared" si="2"/>
        <v>3.4285714285714275E-3</v>
      </c>
    </row>
    <row r="32" spans="1:6" x14ac:dyDescent="0.3">
      <c r="A32" s="5">
        <v>1841</v>
      </c>
      <c r="B32" s="12">
        <v>0.1</v>
      </c>
      <c r="C32" s="12">
        <v>-0.1</v>
      </c>
      <c r="D32" s="13">
        <v>1.55E-2</v>
      </c>
      <c r="E32" s="14">
        <f t="shared" si="3"/>
        <v>0.12828571428571428</v>
      </c>
      <c r="F32" s="13">
        <f t="shared" si="2"/>
        <v>3.5999999999999999E-3</v>
      </c>
    </row>
    <row r="33" spans="1:6" x14ac:dyDescent="0.3">
      <c r="A33" s="5">
        <v>1842</v>
      </c>
      <c r="B33" s="12">
        <v>0.1</v>
      </c>
      <c r="C33" s="12">
        <v>-0.1</v>
      </c>
      <c r="D33" s="13">
        <v>1.6E-2</v>
      </c>
      <c r="E33" s="14">
        <f t="shared" si="3"/>
        <v>0.13188571428571427</v>
      </c>
      <c r="F33" s="13">
        <f t="shared" si="2"/>
        <v>3.7714285714285718E-3</v>
      </c>
    </row>
    <row r="34" spans="1:6" x14ac:dyDescent="0.3">
      <c r="A34" s="5">
        <v>1843</v>
      </c>
      <c r="B34" s="12">
        <v>0.1</v>
      </c>
      <c r="C34" s="12">
        <v>-0.03</v>
      </c>
      <c r="D34" s="13">
        <v>1.6500000000000001E-2</v>
      </c>
      <c r="E34" s="14">
        <f t="shared" si="3"/>
        <v>0.13565714285714284</v>
      </c>
      <c r="F34" s="13">
        <f t="shared" si="2"/>
        <v>4.2188571428571431E-3</v>
      </c>
    </row>
    <row r="35" spans="1:6" x14ac:dyDescent="0.3">
      <c r="A35" s="5">
        <v>1844</v>
      </c>
      <c r="B35" s="12">
        <v>0.2</v>
      </c>
      <c r="C35" s="12">
        <v>-0.03</v>
      </c>
      <c r="D35" s="13">
        <v>1.7000000000000001E-2</v>
      </c>
      <c r="E35" s="14">
        <f t="shared" si="3"/>
        <v>0.13987599999999997</v>
      </c>
      <c r="F35" s="13">
        <f t="shared" si="2"/>
        <v>4.8137142857142858E-3</v>
      </c>
    </row>
    <row r="36" spans="1:6" x14ac:dyDescent="0.3">
      <c r="A36" s="5">
        <v>1845</v>
      </c>
      <c r="B36" s="12">
        <v>0.2</v>
      </c>
      <c r="C36" s="12">
        <v>-0.03</v>
      </c>
      <c r="D36" s="13">
        <v>1.7500000000000002E-2</v>
      </c>
      <c r="E36" s="14">
        <f t="shared" si="3"/>
        <v>0.14468971428571425</v>
      </c>
      <c r="F36" s="13">
        <f t="shared" si="2"/>
        <v>5.0142857142857142E-3</v>
      </c>
    </row>
    <row r="37" spans="1:6" x14ac:dyDescent="0.3">
      <c r="A37" s="5">
        <v>1846</v>
      </c>
      <c r="B37" s="12">
        <v>0.2</v>
      </c>
      <c r="C37" s="12">
        <v>-0.03</v>
      </c>
      <c r="D37" s="13">
        <v>1.7999999999999999E-2</v>
      </c>
      <c r="E37" s="14">
        <f t="shared" si="3"/>
        <v>0.14970399999999998</v>
      </c>
      <c r="F37" s="13">
        <f t="shared" si="2"/>
        <v>5.2148571428571417E-3</v>
      </c>
    </row>
    <row r="38" spans="1:6" x14ac:dyDescent="0.3">
      <c r="A38" s="5">
        <v>1847</v>
      </c>
      <c r="B38" s="12">
        <v>0.2</v>
      </c>
      <c r="C38" s="12">
        <v>-0.03</v>
      </c>
      <c r="D38" s="13">
        <v>1.8499999999999999E-2</v>
      </c>
      <c r="E38" s="14">
        <f t="shared" si="3"/>
        <v>0.15491885714285711</v>
      </c>
      <c r="F38" s="13">
        <f t="shared" si="2"/>
        <v>5.4154285714285693E-3</v>
      </c>
    </row>
    <row r="39" spans="1:6" x14ac:dyDescent="0.3">
      <c r="A39" s="5">
        <v>1848</v>
      </c>
      <c r="B39" s="12">
        <v>0.2</v>
      </c>
      <c r="C39" s="12">
        <v>-0.03</v>
      </c>
      <c r="D39" s="13">
        <v>1.9E-2</v>
      </c>
      <c r="E39" s="14">
        <f t="shared" si="3"/>
        <v>0.16033428571428568</v>
      </c>
      <c r="F39" s="13">
        <f t="shared" si="2"/>
        <v>5.6159999999999986E-3</v>
      </c>
    </row>
    <row r="40" spans="1:6" x14ac:dyDescent="0.3">
      <c r="A40" s="5">
        <v>1849</v>
      </c>
      <c r="B40" s="12">
        <v>0.2</v>
      </c>
      <c r="C40" s="12">
        <v>-0.03</v>
      </c>
      <c r="D40" s="13">
        <v>1.95E-2</v>
      </c>
      <c r="E40" s="14">
        <f t="shared" si="3"/>
        <v>0.16595028571428569</v>
      </c>
      <c r="F40" s="13">
        <f t="shared" si="2"/>
        <v>5.8165714285714262E-3</v>
      </c>
    </row>
    <row r="41" spans="1:6" x14ac:dyDescent="0.3">
      <c r="A41" s="5">
        <v>1850</v>
      </c>
      <c r="B41" s="12">
        <v>0.2</v>
      </c>
      <c r="C41" s="12">
        <v>-0.03</v>
      </c>
      <c r="D41" s="13">
        <v>0.02</v>
      </c>
      <c r="E41" s="14">
        <f t="shared" si="3"/>
        <v>0.17176685714285711</v>
      </c>
      <c r="F41" s="13">
        <f t="shared" si="2"/>
        <v>6.0171428571428563E-3</v>
      </c>
    </row>
    <row r="42" spans="1:6" x14ac:dyDescent="0.3">
      <c r="A42" s="5">
        <v>1851</v>
      </c>
      <c r="B42" s="12">
        <v>0.3</v>
      </c>
      <c r="C42" s="12">
        <v>-0.03</v>
      </c>
      <c r="D42" s="13">
        <v>2.0500000000000001E-2</v>
      </c>
      <c r="E42" s="14">
        <f t="shared" si="3"/>
        <v>0.17778399999999997</v>
      </c>
      <c r="F42" s="13">
        <f t="shared" si="2"/>
        <v>6.7491428571428581E-3</v>
      </c>
    </row>
    <row r="43" spans="1:6" x14ac:dyDescent="0.3">
      <c r="A43" s="5">
        <v>1852</v>
      </c>
      <c r="B43" s="12">
        <v>0.3</v>
      </c>
      <c r="C43" s="12">
        <v>-0.03</v>
      </c>
      <c r="D43" s="13">
        <v>2.1000000000000001E-2</v>
      </c>
      <c r="E43" s="14">
        <f t="shared" si="3"/>
        <v>0.18453314285714284</v>
      </c>
      <c r="F43" s="13">
        <f t="shared" si="2"/>
        <v>6.9668571428571427E-3</v>
      </c>
    </row>
    <row r="44" spans="1:6" x14ac:dyDescent="0.3">
      <c r="A44" s="5">
        <v>1853</v>
      </c>
      <c r="B44" s="12">
        <v>0.4</v>
      </c>
      <c r="C44" s="12">
        <v>-0.03</v>
      </c>
      <c r="D44" s="13">
        <v>2.1499999999999998E-2</v>
      </c>
      <c r="E44" s="14">
        <f t="shared" si="3"/>
        <v>0.19149999999999998</v>
      </c>
      <c r="F44" s="13">
        <f t="shared" si="2"/>
        <v>7.7502857142857113E-3</v>
      </c>
    </row>
    <row r="45" spans="1:6" x14ac:dyDescent="0.3">
      <c r="A45" s="5">
        <v>1854</v>
      </c>
      <c r="B45" s="12">
        <v>0.4</v>
      </c>
      <c r="C45" s="12">
        <v>-0.03</v>
      </c>
      <c r="D45" s="13">
        <v>2.1999999999999999E-2</v>
      </c>
      <c r="E45" s="14">
        <f t="shared" si="3"/>
        <v>0.19925028571428569</v>
      </c>
      <c r="F45" s="13">
        <f t="shared" si="2"/>
        <v>7.9851428571428556E-3</v>
      </c>
    </row>
    <row r="46" spans="1:6" x14ac:dyDescent="0.3">
      <c r="A46" s="5">
        <v>1855</v>
      </c>
      <c r="B46" s="12">
        <v>0.4</v>
      </c>
      <c r="C46" s="12">
        <v>0.02</v>
      </c>
      <c r="D46" s="13">
        <v>2.2499999999999999E-2</v>
      </c>
      <c r="E46" s="14">
        <f t="shared" si="3"/>
        <v>0.20723542857142854</v>
      </c>
      <c r="F46" s="13">
        <f t="shared" si="2"/>
        <v>8.5199999999999981E-3</v>
      </c>
    </row>
    <row r="47" spans="1:6" x14ac:dyDescent="0.3">
      <c r="A47" s="5">
        <v>1856</v>
      </c>
      <c r="B47" s="12">
        <v>0.7</v>
      </c>
      <c r="C47" s="12">
        <v>0.02</v>
      </c>
      <c r="D47" s="13">
        <v>2.3E-2</v>
      </c>
      <c r="E47" s="14">
        <f t="shared" si="3"/>
        <v>0.21575542857142854</v>
      </c>
      <c r="F47" s="13">
        <f t="shared" si="2"/>
        <v>1.0614857142857141E-2</v>
      </c>
    </row>
    <row r="48" spans="1:6" x14ac:dyDescent="0.3">
      <c r="A48" s="5">
        <v>1857</v>
      </c>
      <c r="B48" s="12">
        <v>0.7</v>
      </c>
      <c r="C48" s="12">
        <v>0.02</v>
      </c>
      <c r="D48" s="13">
        <v>2.35E-2</v>
      </c>
      <c r="E48" s="14">
        <f t="shared" si="3"/>
        <v>0.22637028571428569</v>
      </c>
      <c r="F48" s="13">
        <f t="shared" si="2"/>
        <v>1.0909714285714286E-2</v>
      </c>
    </row>
    <row r="49" spans="1:6" x14ac:dyDescent="0.3">
      <c r="A49" s="5">
        <v>1858</v>
      </c>
      <c r="B49" s="12">
        <v>0.7</v>
      </c>
      <c r="C49" s="12">
        <v>0.02</v>
      </c>
      <c r="D49" s="13">
        <v>2.4E-2</v>
      </c>
      <c r="E49" s="14">
        <f t="shared" si="3"/>
        <v>0.23727999999999999</v>
      </c>
      <c r="F49" s="13">
        <f t="shared" si="2"/>
        <v>1.1204571428571427E-2</v>
      </c>
    </row>
    <row r="50" spans="1:6" x14ac:dyDescent="0.3">
      <c r="A50" s="5">
        <v>1859</v>
      </c>
      <c r="B50" s="12">
        <v>0.7</v>
      </c>
      <c r="C50" s="12">
        <v>0.02</v>
      </c>
      <c r="D50" s="13">
        <v>2.4500000000000001E-2</v>
      </c>
      <c r="E50" s="14">
        <f t="shared" si="3"/>
        <v>0.24848457142857142</v>
      </c>
      <c r="F50" s="13">
        <f t="shared" si="2"/>
        <v>1.149942857142857E-2</v>
      </c>
    </row>
    <row r="51" spans="1:6" x14ac:dyDescent="0.3">
      <c r="A51" s="5">
        <v>1860</v>
      </c>
      <c r="B51" s="12">
        <v>0.7</v>
      </c>
      <c r="C51" s="12">
        <v>0.02</v>
      </c>
      <c r="D51" s="13">
        <v>2.5000000000000001E-2</v>
      </c>
      <c r="E51" s="14">
        <f t="shared" si="3"/>
        <v>0.25998399999999999</v>
      </c>
      <c r="F51" s="13">
        <f t="shared" si="2"/>
        <v>1.1794285714285712E-2</v>
      </c>
    </row>
    <row r="52" spans="1:6" x14ac:dyDescent="0.3">
      <c r="A52" s="5">
        <v>1861</v>
      </c>
      <c r="B52" s="12">
        <v>0.7</v>
      </c>
      <c r="C52" s="12">
        <v>0.02</v>
      </c>
      <c r="D52" s="13">
        <v>2.5499999999999998E-2</v>
      </c>
      <c r="E52" s="14">
        <f t="shared" si="3"/>
        <v>0.27177828571428569</v>
      </c>
      <c r="F52" s="13">
        <f t="shared" si="2"/>
        <v>1.2089142857142854E-2</v>
      </c>
    </row>
    <row r="53" spans="1:6" x14ac:dyDescent="0.3">
      <c r="A53" s="5">
        <v>1862</v>
      </c>
      <c r="B53" s="12">
        <v>0.7</v>
      </c>
      <c r="C53" s="12">
        <v>0.02</v>
      </c>
      <c r="D53" s="13">
        <v>2.5999999999999999E-2</v>
      </c>
      <c r="E53" s="14">
        <f t="shared" si="3"/>
        <v>0.28386742857142855</v>
      </c>
      <c r="F53" s="13">
        <f t="shared" ref="F53:F84" si="4">(D53-0.005)*0.1/0.035*(1+B53+C53)*0.01*12</f>
        <v>1.2383999999999999E-2</v>
      </c>
    </row>
    <row r="54" spans="1:6" x14ac:dyDescent="0.3">
      <c r="A54" s="5">
        <v>1863</v>
      </c>
      <c r="B54" s="12">
        <v>0.7</v>
      </c>
      <c r="C54" s="12">
        <v>0.12</v>
      </c>
      <c r="D54" s="13">
        <v>2.6499999999999999E-2</v>
      </c>
      <c r="E54" s="14">
        <f t="shared" ref="E54:E85" si="5">MIN(1,E53+F53)</f>
        <v>0.29625142857142855</v>
      </c>
      <c r="F54" s="13">
        <f t="shared" si="4"/>
        <v>1.3415999999999997E-2</v>
      </c>
    </row>
    <row r="55" spans="1:6" x14ac:dyDescent="0.3">
      <c r="A55" s="5">
        <v>1864</v>
      </c>
      <c r="B55" s="12">
        <v>0.7</v>
      </c>
      <c r="C55" s="12">
        <v>0.12</v>
      </c>
      <c r="D55" s="13">
        <v>2.7E-2</v>
      </c>
      <c r="E55" s="14">
        <f t="shared" si="5"/>
        <v>0.30966742857142854</v>
      </c>
      <c r="F55" s="13">
        <f t="shared" si="4"/>
        <v>1.3728000000000001E-2</v>
      </c>
    </row>
    <row r="56" spans="1:6" x14ac:dyDescent="0.3">
      <c r="A56" s="5">
        <v>1865</v>
      </c>
      <c r="B56" s="12">
        <v>0.7</v>
      </c>
      <c r="C56" s="12">
        <v>0.12</v>
      </c>
      <c r="D56" s="13">
        <v>2.75E-2</v>
      </c>
      <c r="E56" s="14">
        <f t="shared" si="5"/>
        <v>0.32339542857142856</v>
      </c>
      <c r="F56" s="13">
        <f t="shared" si="4"/>
        <v>1.4039999999999997E-2</v>
      </c>
    </row>
    <row r="57" spans="1:6" x14ac:dyDescent="0.3">
      <c r="A57" s="5">
        <v>1866</v>
      </c>
      <c r="B57" s="12">
        <v>0.7</v>
      </c>
      <c r="C57" s="12">
        <v>0.12</v>
      </c>
      <c r="D57" s="13">
        <v>2.8000000000000001E-2</v>
      </c>
      <c r="E57" s="14">
        <f t="shared" si="5"/>
        <v>0.33743542857142855</v>
      </c>
      <c r="F57" s="13">
        <f t="shared" si="4"/>
        <v>1.4351999999999997E-2</v>
      </c>
    </row>
    <row r="58" spans="1:6" x14ac:dyDescent="0.3">
      <c r="A58" s="5">
        <v>1867</v>
      </c>
      <c r="B58" s="12">
        <v>0.7</v>
      </c>
      <c r="C58" s="12">
        <v>0.12</v>
      </c>
      <c r="D58" s="13">
        <v>2.8500000000000001E-2</v>
      </c>
      <c r="E58" s="14">
        <f t="shared" si="5"/>
        <v>0.35178742857142853</v>
      </c>
      <c r="F58" s="13">
        <f t="shared" si="4"/>
        <v>1.4664E-2</v>
      </c>
    </row>
    <row r="59" spans="1:6" x14ac:dyDescent="0.3">
      <c r="A59" s="5">
        <v>1868</v>
      </c>
      <c r="B59" s="12">
        <v>0.7</v>
      </c>
      <c r="C59" s="12">
        <v>0.12</v>
      </c>
      <c r="D59" s="13">
        <v>2.9000000000000001E-2</v>
      </c>
      <c r="E59" s="14">
        <f t="shared" si="5"/>
        <v>0.36645142857142854</v>
      </c>
      <c r="F59" s="13">
        <f t="shared" si="4"/>
        <v>1.4976E-2</v>
      </c>
    </row>
    <row r="60" spans="1:6" x14ac:dyDescent="0.3">
      <c r="A60" s="5">
        <v>1869</v>
      </c>
      <c r="B60" s="12">
        <v>0.7</v>
      </c>
      <c r="C60" s="12">
        <v>0.12</v>
      </c>
      <c r="D60" s="13">
        <v>2.9499999999999998E-2</v>
      </c>
      <c r="E60" s="14">
        <f t="shared" si="5"/>
        <v>0.38142742857142853</v>
      </c>
      <c r="F60" s="13">
        <f t="shared" si="4"/>
        <v>1.5288E-2</v>
      </c>
    </row>
    <row r="61" spans="1:6" x14ac:dyDescent="0.3">
      <c r="A61" s="5">
        <v>1870</v>
      </c>
      <c r="B61" s="12">
        <v>0.7</v>
      </c>
      <c r="C61" s="12">
        <v>0.17</v>
      </c>
      <c r="D61" s="13">
        <v>0.03</v>
      </c>
      <c r="E61" s="14">
        <f t="shared" si="5"/>
        <v>0.39671542857142855</v>
      </c>
      <c r="F61" s="13">
        <f t="shared" si="4"/>
        <v>1.6028571428571427E-2</v>
      </c>
    </row>
    <row r="62" spans="1:6" x14ac:dyDescent="0.3">
      <c r="A62" s="5">
        <v>1871</v>
      </c>
      <c r="B62" s="12">
        <v>0.7</v>
      </c>
      <c r="C62" s="12">
        <v>0.17</v>
      </c>
      <c r="D62" s="13">
        <v>3.0499999999999999E-2</v>
      </c>
      <c r="E62" s="14">
        <f t="shared" si="5"/>
        <v>0.412744</v>
      </c>
      <c r="F62" s="13">
        <f t="shared" si="4"/>
        <v>1.6349142857142857E-2</v>
      </c>
    </row>
    <row r="63" spans="1:6" x14ac:dyDescent="0.3">
      <c r="A63" s="5">
        <v>1872</v>
      </c>
      <c r="B63" s="12">
        <v>0.7</v>
      </c>
      <c r="C63" s="12">
        <v>0.17</v>
      </c>
      <c r="D63" s="13">
        <v>3.1E-2</v>
      </c>
      <c r="E63" s="14">
        <f t="shared" si="5"/>
        <v>0.42909314285714284</v>
      </c>
      <c r="F63" s="13">
        <f t="shared" si="4"/>
        <v>1.6669714285714281E-2</v>
      </c>
    </row>
    <row r="64" spans="1:6" x14ac:dyDescent="0.3">
      <c r="A64" s="5">
        <v>1873</v>
      </c>
      <c r="B64" s="12">
        <v>0.7</v>
      </c>
      <c r="C64" s="12">
        <v>0.17</v>
      </c>
      <c r="D64" s="13">
        <v>3.15E-2</v>
      </c>
      <c r="E64" s="14">
        <f t="shared" si="5"/>
        <v>0.44576285714285713</v>
      </c>
      <c r="F64" s="13">
        <f t="shared" si="4"/>
        <v>1.6990285714285711E-2</v>
      </c>
    </row>
    <row r="65" spans="1:6" x14ac:dyDescent="0.3">
      <c r="A65" s="5">
        <v>1874</v>
      </c>
      <c r="B65" s="12">
        <v>0.7</v>
      </c>
      <c r="C65" s="12">
        <v>0.17</v>
      </c>
      <c r="D65" s="13">
        <v>3.2000000000000001E-2</v>
      </c>
      <c r="E65" s="14">
        <f t="shared" si="5"/>
        <v>0.46275314285714286</v>
      </c>
      <c r="F65" s="13">
        <f t="shared" si="4"/>
        <v>1.7310857142857138E-2</v>
      </c>
    </row>
    <row r="66" spans="1:6" x14ac:dyDescent="0.3">
      <c r="A66" s="5">
        <v>1875</v>
      </c>
      <c r="B66" s="12">
        <v>0.7</v>
      </c>
      <c r="C66" s="12">
        <v>0.17</v>
      </c>
      <c r="D66" s="13">
        <v>3.2500000000000001E-2</v>
      </c>
      <c r="E66" s="14">
        <f t="shared" si="5"/>
        <v>0.48006399999999999</v>
      </c>
      <c r="F66" s="13">
        <f t="shared" si="4"/>
        <v>1.7631428571428569E-2</v>
      </c>
    </row>
    <row r="67" spans="1:6" x14ac:dyDescent="0.3">
      <c r="A67" s="5">
        <v>1876</v>
      </c>
      <c r="B67" s="12">
        <v>0.7</v>
      </c>
      <c r="C67" s="12">
        <v>0.17</v>
      </c>
      <c r="D67" s="13">
        <v>3.3000000000000002E-2</v>
      </c>
      <c r="E67" s="14">
        <f t="shared" si="5"/>
        <v>0.49769542857142857</v>
      </c>
      <c r="F67" s="13">
        <f t="shared" si="4"/>
        <v>1.7951999999999999E-2</v>
      </c>
    </row>
    <row r="68" spans="1:6" x14ac:dyDescent="0.3">
      <c r="A68" s="5">
        <v>1877</v>
      </c>
      <c r="B68" s="12">
        <v>0.7</v>
      </c>
      <c r="C68" s="12">
        <v>0.17</v>
      </c>
      <c r="D68" s="13">
        <v>3.3500000000000002E-2</v>
      </c>
      <c r="E68" s="14">
        <f t="shared" si="5"/>
        <v>0.51564742857142853</v>
      </c>
      <c r="F68" s="13">
        <f t="shared" si="4"/>
        <v>1.827257142857143E-2</v>
      </c>
    </row>
    <row r="69" spans="1:6" x14ac:dyDescent="0.3">
      <c r="A69" s="5">
        <v>1878</v>
      </c>
      <c r="B69" s="12">
        <v>0.7</v>
      </c>
      <c r="C69" s="12">
        <v>0.17</v>
      </c>
      <c r="D69" s="13">
        <v>3.4000000000000002E-2</v>
      </c>
      <c r="E69" s="14">
        <f t="shared" si="5"/>
        <v>0.53391999999999995</v>
      </c>
      <c r="F69" s="13">
        <f t="shared" si="4"/>
        <v>1.8593142857142857E-2</v>
      </c>
    </row>
    <row r="70" spans="1:6" x14ac:dyDescent="0.3">
      <c r="A70" s="5">
        <v>1879</v>
      </c>
      <c r="B70" s="12">
        <v>0.7</v>
      </c>
      <c r="C70" s="12">
        <v>0.17</v>
      </c>
      <c r="D70" s="13">
        <v>3.4500000000000003E-2</v>
      </c>
      <c r="E70" s="14">
        <f t="shared" si="5"/>
        <v>0.55251314285714281</v>
      </c>
      <c r="F70" s="13">
        <f t="shared" si="4"/>
        <v>1.8913714285714284E-2</v>
      </c>
    </row>
    <row r="71" spans="1:6" x14ac:dyDescent="0.3">
      <c r="A71" s="5">
        <v>1880</v>
      </c>
      <c r="B71" s="12">
        <v>0.7</v>
      </c>
      <c r="C71" s="12">
        <v>0.17</v>
      </c>
      <c r="D71" s="13">
        <v>3.5000000000000003E-2</v>
      </c>
      <c r="E71" s="14">
        <f t="shared" si="5"/>
        <v>0.57142685714285713</v>
      </c>
      <c r="F71" s="13">
        <f t="shared" si="4"/>
        <v>1.9234285714285714E-2</v>
      </c>
    </row>
    <row r="72" spans="1:6" x14ac:dyDescent="0.3">
      <c r="A72" s="5">
        <v>1881</v>
      </c>
      <c r="B72" s="12">
        <v>0.7</v>
      </c>
      <c r="C72" s="12">
        <v>0.17</v>
      </c>
      <c r="D72" s="13">
        <v>3.5499999999999997E-2</v>
      </c>
      <c r="E72" s="14">
        <f t="shared" si="5"/>
        <v>0.59066114285714288</v>
      </c>
      <c r="F72" s="13">
        <f t="shared" si="4"/>
        <v>1.9554857142857141E-2</v>
      </c>
    </row>
    <row r="73" spans="1:6" x14ac:dyDescent="0.3">
      <c r="A73" s="5">
        <v>1882</v>
      </c>
      <c r="B73" s="12">
        <v>0.7</v>
      </c>
      <c r="C73" s="12">
        <v>0.17</v>
      </c>
      <c r="D73" s="13">
        <v>3.5999999999999997E-2</v>
      </c>
      <c r="E73" s="14">
        <f t="shared" si="5"/>
        <v>0.61021599999999998</v>
      </c>
      <c r="F73" s="13">
        <f t="shared" si="4"/>
        <v>1.9875428571428568E-2</v>
      </c>
    </row>
    <row r="74" spans="1:6" x14ac:dyDescent="0.3">
      <c r="A74" s="5">
        <v>1883</v>
      </c>
      <c r="B74" s="12">
        <v>0.7</v>
      </c>
      <c r="C74" s="12">
        <v>0.32</v>
      </c>
      <c r="D74" s="13">
        <v>3.6499999999999998E-2</v>
      </c>
      <c r="E74" s="14">
        <f t="shared" si="5"/>
        <v>0.63009142857142852</v>
      </c>
      <c r="F74" s="13">
        <f t="shared" si="4"/>
        <v>2.1815999999999999E-2</v>
      </c>
    </row>
    <row r="75" spans="1:6" x14ac:dyDescent="0.3">
      <c r="A75" s="5">
        <v>1884</v>
      </c>
      <c r="B75" s="12">
        <v>0.7</v>
      </c>
      <c r="C75" s="12">
        <v>0.32</v>
      </c>
      <c r="D75" s="13">
        <v>3.6999999999999998E-2</v>
      </c>
      <c r="E75" s="14">
        <f t="shared" si="5"/>
        <v>0.65190742857142847</v>
      </c>
      <c r="F75" s="13">
        <f t="shared" si="4"/>
        <v>2.2162285714285714E-2</v>
      </c>
    </row>
    <row r="76" spans="1:6" x14ac:dyDescent="0.3">
      <c r="A76" s="5">
        <v>1885</v>
      </c>
      <c r="B76" s="12">
        <v>0.7</v>
      </c>
      <c r="C76" s="12">
        <v>0.32</v>
      </c>
      <c r="D76" s="13">
        <v>3.7499999999999999E-2</v>
      </c>
      <c r="E76" s="14">
        <f t="shared" si="5"/>
        <v>0.67406971428571416</v>
      </c>
      <c r="F76" s="13">
        <f t="shared" si="4"/>
        <v>2.250857142857143E-2</v>
      </c>
    </row>
    <row r="77" spans="1:6" x14ac:dyDescent="0.3">
      <c r="A77" s="5">
        <v>1886</v>
      </c>
      <c r="B77" s="12">
        <v>0.7</v>
      </c>
      <c r="C77" s="12">
        <v>0.32</v>
      </c>
      <c r="D77" s="13">
        <v>3.7999999999999999E-2</v>
      </c>
      <c r="E77" s="14">
        <f t="shared" si="5"/>
        <v>0.69657828571428559</v>
      </c>
      <c r="F77" s="13">
        <f t="shared" si="4"/>
        <v>2.2854857142857146E-2</v>
      </c>
    </row>
    <row r="78" spans="1:6" x14ac:dyDescent="0.3">
      <c r="A78" s="5">
        <v>1887</v>
      </c>
      <c r="B78" s="12">
        <v>0.7</v>
      </c>
      <c r="C78" s="12">
        <v>0.32</v>
      </c>
      <c r="D78" s="13">
        <v>3.85E-2</v>
      </c>
      <c r="E78" s="14">
        <f t="shared" si="5"/>
        <v>0.71943314285714277</v>
      </c>
      <c r="F78" s="13">
        <f t="shared" si="4"/>
        <v>2.3201142857142861E-2</v>
      </c>
    </row>
    <row r="79" spans="1:6" x14ac:dyDescent="0.3">
      <c r="A79" s="5">
        <v>1888</v>
      </c>
      <c r="B79" s="12">
        <v>0.7</v>
      </c>
      <c r="C79" s="12">
        <v>0.32</v>
      </c>
      <c r="D79" s="13">
        <v>3.9E-2</v>
      </c>
      <c r="E79" s="14">
        <f t="shared" si="5"/>
        <v>0.74263428571428558</v>
      </c>
      <c r="F79" s="13">
        <f t="shared" si="4"/>
        <v>2.354742857142857E-2</v>
      </c>
    </row>
    <row r="80" spans="1:6" x14ac:dyDescent="0.3">
      <c r="A80" s="5">
        <v>1889</v>
      </c>
      <c r="B80" s="12">
        <v>0.7</v>
      </c>
      <c r="C80" s="12">
        <v>0.32</v>
      </c>
      <c r="D80" s="13">
        <v>3.95E-2</v>
      </c>
      <c r="E80" s="14">
        <f t="shared" si="5"/>
        <v>0.76618171428571413</v>
      </c>
      <c r="F80" s="13">
        <f t="shared" si="4"/>
        <v>2.3893714285714285E-2</v>
      </c>
    </row>
    <row r="81" spans="1:6" x14ac:dyDescent="0.3">
      <c r="A81" s="5">
        <v>1890</v>
      </c>
      <c r="B81" s="12">
        <v>0.7</v>
      </c>
      <c r="C81" s="12">
        <v>0.32</v>
      </c>
      <c r="D81" s="13">
        <v>0.04</v>
      </c>
      <c r="E81" s="14">
        <f t="shared" si="5"/>
        <v>0.79007542857142843</v>
      </c>
      <c r="F81" s="13">
        <f t="shared" si="4"/>
        <v>2.4240000000000001E-2</v>
      </c>
    </row>
    <row r="82" spans="1:6" x14ac:dyDescent="0.3">
      <c r="A82" s="5">
        <v>1891</v>
      </c>
      <c r="B82" s="12">
        <v>0.7</v>
      </c>
      <c r="C82" s="12">
        <v>0.32</v>
      </c>
      <c r="D82" s="13">
        <v>0.04</v>
      </c>
      <c r="E82" s="14">
        <f t="shared" si="5"/>
        <v>0.81431542857142847</v>
      </c>
      <c r="F82" s="13">
        <f t="shared" si="4"/>
        <v>2.4240000000000001E-2</v>
      </c>
    </row>
    <row r="83" spans="1:6" x14ac:dyDescent="0.3">
      <c r="A83" s="5">
        <v>1892</v>
      </c>
      <c r="B83" s="12">
        <v>0.7</v>
      </c>
      <c r="C83" s="12">
        <v>0.32</v>
      </c>
      <c r="D83" s="13">
        <v>0.04</v>
      </c>
      <c r="E83" s="14">
        <f t="shared" si="5"/>
        <v>0.83855542857142851</v>
      </c>
      <c r="F83" s="13">
        <f t="shared" si="4"/>
        <v>2.4240000000000001E-2</v>
      </c>
    </row>
    <row r="84" spans="1:6" x14ac:dyDescent="0.3">
      <c r="A84" s="5">
        <v>1893</v>
      </c>
      <c r="B84" s="12">
        <v>0.7</v>
      </c>
      <c r="C84" s="12">
        <v>0.32</v>
      </c>
      <c r="D84" s="13">
        <v>0.04</v>
      </c>
      <c r="E84" s="14">
        <f t="shared" si="5"/>
        <v>0.86279542857142855</v>
      </c>
      <c r="F84" s="13">
        <f t="shared" si="4"/>
        <v>2.4240000000000001E-2</v>
      </c>
    </row>
    <row r="85" spans="1:6" x14ac:dyDescent="0.3">
      <c r="A85" s="5">
        <v>1894</v>
      </c>
      <c r="B85" s="12">
        <v>0.7</v>
      </c>
      <c r="C85" s="12">
        <v>0.32</v>
      </c>
      <c r="D85" s="13">
        <v>0.04</v>
      </c>
      <c r="E85" s="14">
        <f t="shared" si="5"/>
        <v>0.88703542857142859</v>
      </c>
      <c r="F85" s="13">
        <f t="shared" ref="F85:F116" si="6">(D85-0.005)*0.1/0.035*(1+B85+C85)*0.01*12</f>
        <v>2.4240000000000001E-2</v>
      </c>
    </row>
    <row r="86" spans="1:6" x14ac:dyDescent="0.3">
      <c r="A86" s="5">
        <v>1895</v>
      </c>
      <c r="B86" s="12">
        <v>0.7</v>
      </c>
      <c r="C86" s="12">
        <v>0.32</v>
      </c>
      <c r="D86" s="13">
        <v>0.04</v>
      </c>
      <c r="E86" s="14">
        <f t="shared" ref="E86:E117" si="7">MIN(1,E85+F85)</f>
        <v>0.91127542857142863</v>
      </c>
      <c r="F86" s="13">
        <f t="shared" si="6"/>
        <v>2.4240000000000001E-2</v>
      </c>
    </row>
    <row r="87" spans="1:6" x14ac:dyDescent="0.3">
      <c r="A87" s="5">
        <v>1896</v>
      </c>
      <c r="B87" s="12">
        <v>0.7</v>
      </c>
      <c r="C87" s="12">
        <v>0.32</v>
      </c>
      <c r="D87" s="13">
        <v>0.04</v>
      </c>
      <c r="E87" s="14">
        <f t="shared" si="7"/>
        <v>0.93551542857142866</v>
      </c>
      <c r="F87" s="13">
        <f t="shared" si="6"/>
        <v>2.4240000000000001E-2</v>
      </c>
    </row>
    <row r="88" spans="1:6" x14ac:dyDescent="0.3">
      <c r="A88" s="5">
        <v>1897</v>
      </c>
      <c r="B88" s="12">
        <v>0.7</v>
      </c>
      <c r="C88" s="12">
        <v>0.32</v>
      </c>
      <c r="D88" s="13">
        <v>0.04</v>
      </c>
      <c r="E88" s="14">
        <f t="shared" si="7"/>
        <v>0.9597554285714287</v>
      </c>
      <c r="F88" s="13">
        <f t="shared" si="6"/>
        <v>2.4240000000000001E-2</v>
      </c>
    </row>
    <row r="89" spans="1:6" x14ac:dyDescent="0.3">
      <c r="A89" s="5">
        <v>1898</v>
      </c>
      <c r="B89" s="12">
        <v>0.7</v>
      </c>
      <c r="C89" s="12">
        <v>0.32</v>
      </c>
      <c r="D89" s="13">
        <v>0.04</v>
      </c>
      <c r="E89" s="14">
        <f t="shared" si="7"/>
        <v>0.98399542857142874</v>
      </c>
      <c r="F89" s="13">
        <f t="shared" si="6"/>
        <v>2.4240000000000001E-2</v>
      </c>
    </row>
    <row r="90" spans="1:6" x14ac:dyDescent="0.3">
      <c r="A90" s="5">
        <v>1899</v>
      </c>
      <c r="B90" s="12">
        <v>0.7</v>
      </c>
      <c r="C90" s="12">
        <v>0.32</v>
      </c>
      <c r="D90" s="13">
        <v>0.04</v>
      </c>
      <c r="E90" s="14">
        <f t="shared" si="7"/>
        <v>1</v>
      </c>
      <c r="F90" s="13">
        <f t="shared" si="6"/>
        <v>2.4240000000000001E-2</v>
      </c>
    </row>
    <row r="91" spans="1:6" x14ac:dyDescent="0.3">
      <c r="A91" s="5">
        <v>1900</v>
      </c>
      <c r="B91" s="12">
        <v>0.7</v>
      </c>
      <c r="C91" s="12">
        <v>0.32</v>
      </c>
      <c r="D91" s="13">
        <v>0.04</v>
      </c>
      <c r="E91" s="14">
        <f t="shared" si="7"/>
        <v>1</v>
      </c>
      <c r="F91" s="13">
        <f t="shared" si="6"/>
        <v>2.4240000000000001E-2</v>
      </c>
    </row>
    <row r="92" spans="1:6" x14ac:dyDescent="0.3">
      <c r="A92" s="5">
        <v>1901</v>
      </c>
      <c r="B92" s="12">
        <v>0.7</v>
      </c>
      <c r="C92" s="12">
        <v>0.32</v>
      </c>
      <c r="D92" s="13">
        <v>0.04</v>
      </c>
      <c r="E92" s="14">
        <f t="shared" si="7"/>
        <v>1</v>
      </c>
      <c r="F92" s="13">
        <f t="shared" si="6"/>
        <v>2.4240000000000001E-2</v>
      </c>
    </row>
    <row r="93" spans="1:6" x14ac:dyDescent="0.3">
      <c r="A93" s="5">
        <v>1902</v>
      </c>
      <c r="B93" s="12">
        <v>1.35</v>
      </c>
      <c r="C93" s="12">
        <v>0.32</v>
      </c>
      <c r="D93" s="13">
        <v>0.04</v>
      </c>
      <c r="E93" s="14">
        <f t="shared" si="7"/>
        <v>1</v>
      </c>
      <c r="F93" s="13">
        <f t="shared" si="6"/>
        <v>3.2039999999999999E-2</v>
      </c>
    </row>
    <row r="94" spans="1:6" x14ac:dyDescent="0.3">
      <c r="A94" s="5">
        <v>1903</v>
      </c>
      <c r="B94" s="12">
        <v>1.35</v>
      </c>
      <c r="C94" s="12">
        <v>0.32</v>
      </c>
      <c r="D94" s="13">
        <v>0.04</v>
      </c>
      <c r="E94" s="14">
        <f t="shared" si="7"/>
        <v>1</v>
      </c>
      <c r="F94" s="13">
        <f t="shared" si="6"/>
        <v>3.2039999999999999E-2</v>
      </c>
    </row>
    <row r="95" spans="1:6" x14ac:dyDescent="0.3">
      <c r="A95" s="5">
        <v>1904</v>
      </c>
      <c r="B95" s="12">
        <v>1.35</v>
      </c>
      <c r="C95" s="12">
        <v>0.32</v>
      </c>
      <c r="D95" s="13">
        <v>0.04</v>
      </c>
      <c r="E95" s="14">
        <f t="shared" si="7"/>
        <v>1</v>
      </c>
      <c r="F95" s="13">
        <f t="shared" si="6"/>
        <v>3.2039999999999999E-2</v>
      </c>
    </row>
    <row r="96" spans="1:6" x14ac:dyDescent="0.3">
      <c r="A96" s="5">
        <v>1905</v>
      </c>
      <c r="B96" s="12">
        <v>1.35</v>
      </c>
      <c r="C96" s="12">
        <v>0.32</v>
      </c>
      <c r="D96" s="13">
        <v>0.04</v>
      </c>
      <c r="E96" s="14">
        <f t="shared" si="7"/>
        <v>1</v>
      </c>
      <c r="F96" s="13">
        <f t="shared" si="6"/>
        <v>3.2039999999999999E-2</v>
      </c>
    </row>
    <row r="97" spans="1:6" x14ac:dyDescent="0.3">
      <c r="A97" s="5">
        <v>1906</v>
      </c>
      <c r="B97" s="12">
        <v>1.35</v>
      </c>
      <c r="C97" s="12">
        <v>0.32</v>
      </c>
      <c r="D97" s="13">
        <v>0.04</v>
      </c>
      <c r="E97" s="14">
        <f t="shared" si="7"/>
        <v>1</v>
      </c>
      <c r="F97" s="13">
        <f t="shared" si="6"/>
        <v>3.2039999999999999E-2</v>
      </c>
    </row>
    <row r="98" spans="1:6" x14ac:dyDescent="0.3">
      <c r="A98" s="5">
        <v>1907</v>
      </c>
      <c r="B98" s="12">
        <v>1.35</v>
      </c>
      <c r="C98" s="12">
        <v>0.32</v>
      </c>
      <c r="D98" s="13">
        <v>0.04</v>
      </c>
      <c r="E98" s="14">
        <f t="shared" si="7"/>
        <v>1</v>
      </c>
      <c r="F98" s="13">
        <f t="shared" si="6"/>
        <v>3.2039999999999999E-2</v>
      </c>
    </row>
    <row r="99" spans="1:6" x14ac:dyDescent="0.3">
      <c r="A99" s="5">
        <v>1908</v>
      </c>
      <c r="B99" s="12">
        <v>1.35</v>
      </c>
      <c r="C99" s="12">
        <v>0.32</v>
      </c>
      <c r="D99" s="13">
        <v>0.04</v>
      </c>
      <c r="E99" s="14">
        <f t="shared" si="7"/>
        <v>1</v>
      </c>
      <c r="F99" s="13">
        <f t="shared" si="6"/>
        <v>3.2039999999999999E-2</v>
      </c>
    </row>
    <row r="100" spans="1:6" x14ac:dyDescent="0.3">
      <c r="A100" s="5">
        <v>1909</v>
      </c>
      <c r="B100" s="12">
        <v>1.35</v>
      </c>
      <c r="C100" s="12">
        <v>0.32</v>
      </c>
      <c r="D100" s="13">
        <v>0.04</v>
      </c>
      <c r="E100" s="14">
        <f t="shared" si="7"/>
        <v>1</v>
      </c>
      <c r="F100" s="13">
        <f t="shared" si="6"/>
        <v>3.2039999999999999E-2</v>
      </c>
    </row>
    <row r="101" spans="1:6" x14ac:dyDescent="0.3">
      <c r="A101" s="5">
        <v>1910</v>
      </c>
      <c r="B101" s="12">
        <v>1.35</v>
      </c>
      <c r="C101" s="12">
        <v>0.32</v>
      </c>
      <c r="D101" s="13">
        <v>0.04</v>
      </c>
      <c r="E101" s="14">
        <f t="shared" si="7"/>
        <v>1</v>
      </c>
      <c r="F101" s="13">
        <f t="shared" si="6"/>
        <v>3.2039999999999999E-2</v>
      </c>
    </row>
    <row r="102" spans="1:6" x14ac:dyDescent="0.3">
      <c r="A102" s="5">
        <v>1911</v>
      </c>
      <c r="B102" s="12">
        <v>1.35</v>
      </c>
      <c r="C102" s="12">
        <v>0.32</v>
      </c>
      <c r="D102" s="13">
        <v>0.04</v>
      </c>
      <c r="E102" s="14">
        <f t="shared" si="7"/>
        <v>1</v>
      </c>
      <c r="F102" s="13">
        <f t="shared" si="6"/>
        <v>3.2039999999999999E-2</v>
      </c>
    </row>
    <row r="103" spans="1:6" x14ac:dyDescent="0.3">
      <c r="A103" s="5">
        <v>1912</v>
      </c>
      <c r="B103" s="12">
        <v>1.35</v>
      </c>
      <c r="C103" s="12">
        <v>0.32</v>
      </c>
      <c r="D103" s="13">
        <v>0.04</v>
      </c>
      <c r="E103" s="14">
        <f t="shared" si="7"/>
        <v>1</v>
      </c>
      <c r="F103" s="13">
        <f t="shared" si="6"/>
        <v>3.2039999999999999E-2</v>
      </c>
    </row>
    <row r="104" spans="1:6" x14ac:dyDescent="0.3">
      <c r="A104" s="5">
        <v>1913</v>
      </c>
      <c r="B104" s="12">
        <v>1.35</v>
      </c>
      <c r="C104" s="12">
        <v>0.32</v>
      </c>
      <c r="D104" s="13">
        <v>0.04</v>
      </c>
      <c r="E104" s="14">
        <f t="shared" si="7"/>
        <v>1</v>
      </c>
      <c r="F104" s="13">
        <f t="shared" si="6"/>
        <v>3.2039999999999999E-2</v>
      </c>
    </row>
    <row r="105" spans="1:6" x14ac:dyDescent="0.3">
      <c r="A105" s="5">
        <v>1914</v>
      </c>
      <c r="B105" s="12">
        <v>1.35</v>
      </c>
      <c r="C105" s="12">
        <v>0.32</v>
      </c>
      <c r="D105" s="13">
        <v>0.04</v>
      </c>
      <c r="E105" s="14">
        <f t="shared" si="7"/>
        <v>1</v>
      </c>
      <c r="F105" s="13">
        <f t="shared" si="6"/>
        <v>3.2039999999999999E-2</v>
      </c>
    </row>
    <row r="106" spans="1:6" x14ac:dyDescent="0.3">
      <c r="A106" s="5">
        <v>1915</v>
      </c>
      <c r="B106" s="12">
        <v>1.35</v>
      </c>
      <c r="C106" s="12">
        <v>0.32</v>
      </c>
      <c r="D106" s="13">
        <v>0.04</v>
      </c>
      <c r="E106" s="14">
        <f t="shared" si="7"/>
        <v>1</v>
      </c>
      <c r="F106" s="13">
        <f t="shared" si="6"/>
        <v>3.2039999999999999E-2</v>
      </c>
    </row>
    <row r="107" spans="1:6" x14ac:dyDescent="0.3">
      <c r="A107" s="5">
        <v>1916</v>
      </c>
      <c r="B107" s="12">
        <v>1.35</v>
      </c>
      <c r="C107" s="12">
        <v>0.32</v>
      </c>
      <c r="D107" s="13">
        <v>0.04</v>
      </c>
      <c r="E107" s="14">
        <f t="shared" si="7"/>
        <v>1</v>
      </c>
      <c r="F107" s="13">
        <f t="shared" si="6"/>
        <v>3.2039999999999999E-2</v>
      </c>
    </row>
    <row r="108" spans="1:6" x14ac:dyDescent="0.3">
      <c r="A108" s="5">
        <v>1917</v>
      </c>
      <c r="B108" s="12">
        <v>1.35</v>
      </c>
      <c r="C108" s="12">
        <v>0.32</v>
      </c>
      <c r="D108" s="13">
        <v>0.04</v>
      </c>
      <c r="E108" s="14">
        <f t="shared" si="7"/>
        <v>1</v>
      </c>
      <c r="F108" s="13">
        <f t="shared" si="6"/>
        <v>3.2039999999999999E-2</v>
      </c>
    </row>
    <row r="109" spans="1:6" x14ac:dyDescent="0.3">
      <c r="A109" s="5">
        <v>1918</v>
      </c>
      <c r="B109" s="12">
        <v>1.35</v>
      </c>
      <c r="C109" s="12">
        <v>0.32</v>
      </c>
      <c r="D109" s="13">
        <v>0.04</v>
      </c>
      <c r="E109" s="14">
        <f t="shared" si="7"/>
        <v>1</v>
      </c>
      <c r="F109" s="13">
        <f t="shared" si="6"/>
        <v>3.2039999999999999E-2</v>
      </c>
    </row>
    <row r="110" spans="1:6" x14ac:dyDescent="0.3">
      <c r="A110" s="5">
        <v>1919</v>
      </c>
      <c r="B110" s="12">
        <v>1.35</v>
      </c>
      <c r="C110" s="12">
        <v>0.32</v>
      </c>
      <c r="D110" s="13">
        <v>0.04</v>
      </c>
      <c r="E110" s="14">
        <f t="shared" si="7"/>
        <v>1</v>
      </c>
      <c r="F110" s="13">
        <f t="shared" si="6"/>
        <v>3.2039999999999999E-2</v>
      </c>
    </row>
    <row r="111" spans="1:6" x14ac:dyDescent="0.3">
      <c r="A111" s="5">
        <v>1920</v>
      </c>
      <c r="B111" s="12">
        <v>1.35</v>
      </c>
      <c r="C111" s="12">
        <v>0.32</v>
      </c>
      <c r="D111" s="13">
        <v>0.04</v>
      </c>
      <c r="E111" s="14">
        <f t="shared" si="7"/>
        <v>1</v>
      </c>
      <c r="F111" s="13">
        <f t="shared" si="6"/>
        <v>3.2039999999999999E-2</v>
      </c>
    </row>
    <row r="112" spans="1:6" x14ac:dyDescent="0.3">
      <c r="A112" s="5">
        <v>1921</v>
      </c>
      <c r="B112" s="12">
        <v>1.35</v>
      </c>
      <c r="C112" s="12">
        <v>0.32</v>
      </c>
      <c r="D112" s="13">
        <v>0.04</v>
      </c>
      <c r="E112" s="14">
        <f t="shared" si="7"/>
        <v>1</v>
      </c>
      <c r="F112" s="13">
        <f t="shared" si="6"/>
        <v>3.2039999999999999E-2</v>
      </c>
    </row>
    <row r="113" spans="1:6" x14ac:dyDescent="0.3">
      <c r="A113" s="5">
        <v>1922</v>
      </c>
      <c r="B113" s="12">
        <v>1.35</v>
      </c>
      <c r="C113" s="12">
        <v>0.32</v>
      </c>
      <c r="D113" s="13">
        <v>0.04</v>
      </c>
      <c r="E113" s="14">
        <f t="shared" si="7"/>
        <v>1</v>
      </c>
      <c r="F113" s="13">
        <f t="shared" si="6"/>
        <v>3.2039999999999999E-2</v>
      </c>
    </row>
    <row r="114" spans="1:6" x14ac:dyDescent="0.3">
      <c r="A114" s="5">
        <v>1923</v>
      </c>
      <c r="B114" s="12">
        <v>1.35</v>
      </c>
      <c r="C114" s="12">
        <v>0.32</v>
      </c>
      <c r="D114" s="13">
        <v>0.04</v>
      </c>
      <c r="E114" s="14">
        <f t="shared" si="7"/>
        <v>1</v>
      </c>
      <c r="F114" s="13">
        <f t="shared" si="6"/>
        <v>3.2039999999999999E-2</v>
      </c>
    </row>
    <row r="115" spans="1:6" x14ac:dyDescent="0.3">
      <c r="A115" s="5">
        <v>1924</v>
      </c>
      <c r="B115" s="12">
        <v>1.35</v>
      </c>
      <c r="C115" s="12">
        <v>0.32</v>
      </c>
      <c r="D115" s="13">
        <v>0.04</v>
      </c>
      <c r="E115" s="14">
        <f t="shared" si="7"/>
        <v>1</v>
      </c>
      <c r="F115" s="13">
        <f t="shared" si="6"/>
        <v>3.2039999999999999E-2</v>
      </c>
    </row>
    <row r="116" spans="1:6" x14ac:dyDescent="0.3">
      <c r="A116" s="5">
        <v>1925</v>
      </c>
      <c r="B116" s="12">
        <v>1.35</v>
      </c>
      <c r="C116" s="12">
        <v>0.32</v>
      </c>
      <c r="D116" s="13">
        <v>0.04</v>
      </c>
      <c r="E116" s="14">
        <f t="shared" si="7"/>
        <v>1</v>
      </c>
      <c r="F116" s="13">
        <f t="shared" si="6"/>
        <v>3.2039999999999999E-2</v>
      </c>
    </row>
    <row r="117" spans="1:6" x14ac:dyDescent="0.3">
      <c r="A117" s="5">
        <v>1926</v>
      </c>
      <c r="B117" s="12">
        <v>1.35</v>
      </c>
      <c r="C117" s="12">
        <v>0.32</v>
      </c>
      <c r="D117" s="13">
        <v>0.04</v>
      </c>
      <c r="E117" s="14">
        <f t="shared" si="7"/>
        <v>1</v>
      </c>
      <c r="F117" s="13">
        <f t="shared" ref="F117:F127" si="8">(D117-0.005)*0.1/0.035*(1+B117+C117)*0.01*12</f>
        <v>3.2039999999999999E-2</v>
      </c>
    </row>
    <row r="118" spans="1:6" x14ac:dyDescent="0.3">
      <c r="A118" s="5">
        <v>1927</v>
      </c>
      <c r="B118" s="12">
        <v>1.35</v>
      </c>
      <c r="C118" s="12">
        <v>0.32</v>
      </c>
      <c r="D118" s="13">
        <v>0.04</v>
      </c>
      <c r="E118" s="14">
        <f t="shared" ref="E118:E127" si="9">MIN(1,E117+F117)</f>
        <v>1</v>
      </c>
      <c r="F118" s="13">
        <f t="shared" si="8"/>
        <v>3.2039999999999999E-2</v>
      </c>
    </row>
    <row r="119" spans="1:6" x14ac:dyDescent="0.3">
      <c r="A119" s="5">
        <v>1928</v>
      </c>
      <c r="B119" s="12">
        <v>1.35</v>
      </c>
      <c r="C119" s="12">
        <v>0.32</v>
      </c>
      <c r="D119" s="13">
        <v>0.04</v>
      </c>
      <c r="E119" s="14">
        <f t="shared" si="9"/>
        <v>1</v>
      </c>
      <c r="F119" s="13">
        <f t="shared" si="8"/>
        <v>3.2039999999999999E-2</v>
      </c>
    </row>
    <row r="120" spans="1:6" x14ac:dyDescent="0.3">
      <c r="A120" s="5">
        <v>1929</v>
      </c>
      <c r="B120" s="12">
        <v>1.35</v>
      </c>
      <c r="C120" s="12">
        <v>0.32</v>
      </c>
      <c r="D120" s="13">
        <v>0.04</v>
      </c>
      <c r="E120" s="14">
        <f t="shared" si="9"/>
        <v>1</v>
      </c>
      <c r="F120" s="13">
        <f t="shared" si="8"/>
        <v>3.2039999999999999E-2</v>
      </c>
    </row>
    <row r="121" spans="1:6" x14ac:dyDescent="0.3">
      <c r="A121" s="5">
        <v>1930</v>
      </c>
      <c r="B121" s="12">
        <v>1.35</v>
      </c>
      <c r="C121" s="12">
        <v>0.32</v>
      </c>
      <c r="D121" s="13">
        <v>0.04</v>
      </c>
      <c r="E121" s="14">
        <f t="shared" si="9"/>
        <v>1</v>
      </c>
      <c r="F121" s="13">
        <f t="shared" si="8"/>
        <v>3.2039999999999999E-2</v>
      </c>
    </row>
    <row r="122" spans="1:6" x14ac:dyDescent="0.3">
      <c r="A122" s="5">
        <v>1931</v>
      </c>
      <c r="B122" s="12">
        <v>1.35</v>
      </c>
      <c r="C122" s="12">
        <v>0.32</v>
      </c>
      <c r="D122" s="13">
        <v>0.04</v>
      </c>
      <c r="E122" s="14">
        <f t="shared" si="9"/>
        <v>1</v>
      </c>
      <c r="F122" s="13">
        <f t="shared" si="8"/>
        <v>3.2039999999999999E-2</v>
      </c>
    </row>
    <row r="123" spans="1:6" x14ac:dyDescent="0.3">
      <c r="A123" s="5">
        <v>1932</v>
      </c>
      <c r="B123" s="12">
        <v>1.35</v>
      </c>
      <c r="C123" s="12">
        <v>0.32</v>
      </c>
      <c r="D123" s="13">
        <v>0.04</v>
      </c>
      <c r="E123" s="14">
        <f t="shared" si="9"/>
        <v>1</v>
      </c>
      <c r="F123" s="13">
        <f t="shared" si="8"/>
        <v>3.2039999999999999E-2</v>
      </c>
    </row>
    <row r="124" spans="1:6" x14ac:dyDescent="0.3">
      <c r="A124" s="5">
        <v>1933</v>
      </c>
      <c r="B124" s="12">
        <v>1.35</v>
      </c>
      <c r="C124" s="12">
        <v>0.32</v>
      </c>
      <c r="D124" s="13">
        <v>0.04</v>
      </c>
      <c r="E124" s="14">
        <f t="shared" si="9"/>
        <v>1</v>
      </c>
      <c r="F124" s="13">
        <f t="shared" si="8"/>
        <v>3.2039999999999999E-2</v>
      </c>
    </row>
    <row r="125" spans="1:6" x14ac:dyDescent="0.3">
      <c r="A125" s="5">
        <v>1934</v>
      </c>
      <c r="B125" s="12">
        <v>1.35</v>
      </c>
      <c r="C125" s="12">
        <v>0.32</v>
      </c>
      <c r="D125" s="13">
        <v>0.04</v>
      </c>
      <c r="E125" s="14">
        <f t="shared" si="9"/>
        <v>1</v>
      </c>
      <c r="F125" s="13">
        <f t="shared" si="8"/>
        <v>3.2039999999999999E-2</v>
      </c>
    </row>
    <row r="126" spans="1:6" x14ac:dyDescent="0.3">
      <c r="A126" s="5">
        <v>1935</v>
      </c>
      <c r="B126" s="12">
        <v>1.35</v>
      </c>
      <c r="C126" s="12">
        <v>0.32</v>
      </c>
      <c r="D126" s="13">
        <v>0.04</v>
      </c>
      <c r="E126" s="14">
        <f t="shared" si="9"/>
        <v>1</v>
      </c>
      <c r="F126" s="13">
        <f t="shared" si="8"/>
        <v>3.2039999999999999E-2</v>
      </c>
    </row>
    <row r="127" spans="1:6" x14ac:dyDescent="0.3">
      <c r="A127" s="5">
        <v>1936</v>
      </c>
      <c r="B127" s="12">
        <v>1.35</v>
      </c>
      <c r="C127" s="12">
        <v>0.32</v>
      </c>
      <c r="D127" s="13">
        <v>0.04</v>
      </c>
      <c r="E127" s="14">
        <f t="shared" si="9"/>
        <v>1</v>
      </c>
      <c r="F127" s="13">
        <f t="shared" si="8"/>
        <v>3.2039999999999999E-2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DF177-0B47-471A-94E0-54019EE5E2C5}">
  <dimension ref="A1:X37"/>
  <sheetViews>
    <sheetView tabSelected="1" zoomScale="85" zoomScaleNormal="85" workbookViewId="0">
      <selection activeCell="J8" sqref="J8"/>
    </sheetView>
  </sheetViews>
  <sheetFormatPr defaultRowHeight="14.5" x14ac:dyDescent="0.35"/>
  <cols>
    <col min="1" max="1" width="5.453125" customWidth="1"/>
    <col min="2" max="2" width="13.453125" bestFit="1" customWidth="1"/>
    <col min="3" max="3" width="17.36328125" bestFit="1" customWidth="1"/>
    <col min="4" max="4" width="14.81640625" bestFit="1" customWidth="1"/>
    <col min="5" max="5" width="7.36328125" bestFit="1" customWidth="1"/>
    <col min="6" max="6" width="21.08984375" bestFit="1" customWidth="1"/>
    <col min="7" max="7" width="10.54296875" bestFit="1" customWidth="1"/>
    <col min="8" max="8" width="15.08984375" bestFit="1" customWidth="1"/>
    <col min="9" max="9" width="14.36328125" bestFit="1" customWidth="1"/>
    <col min="10" max="10" width="15.6328125" bestFit="1" customWidth="1"/>
    <col min="11" max="11" width="12.26953125" bestFit="1" customWidth="1"/>
    <col min="12" max="12" width="13" bestFit="1" customWidth="1"/>
    <col min="13" max="13" width="12.26953125" bestFit="1" customWidth="1"/>
    <col min="14" max="14" width="14.453125" bestFit="1" customWidth="1"/>
    <col min="15" max="15" width="9.54296875" bestFit="1" customWidth="1"/>
    <col min="16" max="16" width="10.90625" bestFit="1" customWidth="1"/>
    <col min="18" max="18" width="7.36328125" bestFit="1" customWidth="1"/>
    <col min="19" max="19" width="10.6328125" bestFit="1" customWidth="1"/>
    <col min="20" max="20" width="7.36328125" bestFit="1" customWidth="1"/>
    <col min="21" max="21" width="10.6328125" customWidth="1"/>
    <col min="22" max="22" width="7.36328125" bestFit="1" customWidth="1"/>
    <col min="23" max="23" width="10.6328125" customWidth="1"/>
    <col min="24" max="24" width="6.1796875" bestFit="1" customWidth="1"/>
  </cols>
  <sheetData>
    <row r="1" spans="1:24" x14ac:dyDescent="0.35">
      <c r="A1" s="16" t="s">
        <v>0</v>
      </c>
      <c r="B1" s="16" t="s">
        <v>77</v>
      </c>
      <c r="C1" s="16" t="s">
        <v>74</v>
      </c>
      <c r="D1" s="16" t="s">
        <v>70</v>
      </c>
      <c r="E1" s="16" t="s">
        <v>3</v>
      </c>
      <c r="F1" s="16" t="s">
        <v>81</v>
      </c>
      <c r="G1" s="16" t="s">
        <v>82</v>
      </c>
      <c r="H1" s="16" t="s">
        <v>78</v>
      </c>
      <c r="I1" s="16" t="s">
        <v>76</v>
      </c>
      <c r="J1" s="16" t="s">
        <v>87</v>
      </c>
      <c r="K1" s="16" t="s">
        <v>88</v>
      </c>
      <c r="L1" s="16" t="s">
        <v>71</v>
      </c>
      <c r="M1" s="16" t="s">
        <v>73</v>
      </c>
      <c r="N1" s="16" t="s">
        <v>72</v>
      </c>
      <c r="O1" s="16" t="s">
        <v>79</v>
      </c>
      <c r="P1" s="16" t="s">
        <v>80</v>
      </c>
      <c r="T1" s="25" t="s">
        <v>83</v>
      </c>
      <c r="U1" s="25"/>
      <c r="V1" s="25"/>
    </row>
    <row r="2" spans="1:24" x14ac:dyDescent="0.35">
      <c r="A2" s="16">
        <v>1830</v>
      </c>
      <c r="B2" s="17">
        <v>100000</v>
      </c>
      <c r="C2" s="17">
        <v>100</v>
      </c>
      <c r="D2" s="23">
        <v>100</v>
      </c>
      <c r="E2" s="20">
        <v>0.65</v>
      </c>
      <c r="F2" s="24">
        <f>MIN((D2/B2)/(0.01+(H2*0.001))+G2,1)</f>
        <v>0.5</v>
      </c>
      <c r="G2" s="22">
        <v>0.4</v>
      </c>
      <c r="H2" s="23">
        <v>0</v>
      </c>
      <c r="I2" s="17">
        <f>B2/500/4*(0.3-IF($L$2="Yes",0.1,0)+VLOOKUP(E2,$T$3:$U$11,2,TRUE))*F2*12</f>
        <v>131.69999999999999</v>
      </c>
      <c r="J2" s="24">
        <f>VLOOKUP(E2,$R$15:$S$21,2,TRUE)+VLOOKUP(M2,$R$26:$S$36,2,TRUE)-0.12</f>
        <v>0.15249999999999997</v>
      </c>
      <c r="K2" s="24">
        <f>VLOOKUP(E2,$V$15:$W$22,2,TRUE)+VLOOKUP(N2,$V$26:$W$37,2,TRUE)</f>
        <v>0.27</v>
      </c>
      <c r="L2" s="16" t="s">
        <v>58</v>
      </c>
      <c r="M2" s="20">
        <v>1</v>
      </c>
      <c r="N2" s="20">
        <v>1</v>
      </c>
      <c r="O2" s="23">
        <v>35</v>
      </c>
      <c r="P2" s="24">
        <v>4.0000000000000002E-4</v>
      </c>
      <c r="T2" s="16" t="s">
        <v>3</v>
      </c>
      <c r="U2" s="16" t="s">
        <v>91</v>
      </c>
      <c r="V2" s="16" t="s">
        <v>75</v>
      </c>
    </row>
    <row r="3" spans="1:24" x14ac:dyDescent="0.35">
      <c r="A3" s="16">
        <v>1831</v>
      </c>
      <c r="B3" s="17">
        <f>B2*(1+MAX(($O$2-30)*0.0001+0.0001+$P$2,0))</f>
        <v>100099.99999999999</v>
      </c>
      <c r="C3" s="17">
        <f>C2*(1+MAX(($O$2-30)*0.0001+0.0001+$P$2,0))</f>
        <v>100.1</v>
      </c>
      <c r="D3" s="23">
        <f>D2*(1+MAX(($O$2-30)*0.0001+0.0001+$P$2,0))</f>
        <v>100.1</v>
      </c>
      <c r="E3" s="20">
        <v>0.01</v>
      </c>
      <c r="F3" s="24">
        <f>MIN((D3/B3)/(0.01+(H3*0.001))+G3,1)</f>
        <v>0.5</v>
      </c>
      <c r="G3" s="22">
        <v>0.4</v>
      </c>
      <c r="H3" s="23">
        <v>0</v>
      </c>
      <c r="I3" s="17">
        <f>B3/500/4*(0.3-IF($L$2="Yes",0.1,0)+VLOOKUP(E3,$T$3:$U$11,2,TRUE))*F3*12</f>
        <v>90.089999999999975</v>
      </c>
      <c r="T3" s="18">
        <v>0</v>
      </c>
      <c r="U3" s="18">
        <f>SUM(V3)</f>
        <v>0</v>
      </c>
      <c r="V3" s="26">
        <v>0</v>
      </c>
    </row>
    <row r="4" spans="1:24" x14ac:dyDescent="0.35">
      <c r="A4" s="16">
        <v>1832</v>
      </c>
      <c r="B4" s="17">
        <f t="shared" ref="B4:B22" si="0">B3*(1+MAX(($O$2-30)*0.0001+0.0001+$P$2,0))</f>
        <v>100200.09999999998</v>
      </c>
      <c r="C4" s="17">
        <f t="shared" ref="C4:C22" si="1">C3*(1+MAX(($O$2-30)*0.0001+0.0001+$P$2,0))</f>
        <v>100.20009999999998</v>
      </c>
      <c r="D4" s="23">
        <f t="shared" ref="D4:D22" si="2">D3*(1+MAX(($O$2-30)*0.0001+0.0001+$P$2,0))</f>
        <v>100.20009999999998</v>
      </c>
      <c r="E4" s="20">
        <v>0.01</v>
      </c>
      <c r="F4" s="24">
        <f>MIN((D4/B4)/(0.01+(H4*0.001))+G4,1)</f>
        <v>0.5</v>
      </c>
      <c r="G4" s="22">
        <v>0.4</v>
      </c>
      <c r="H4" s="23">
        <v>0</v>
      </c>
      <c r="I4" s="17">
        <f>B4/500/4*(0.3-IF($L$2="Yes",0.1,0)+VLOOKUP(E4,$T$3:$U$11,2,TRUE))*F4*12</f>
        <v>90.180089999999979</v>
      </c>
      <c r="T4" s="19">
        <v>0.1</v>
      </c>
      <c r="U4" s="18">
        <f>SUM(V3:V4)</f>
        <v>3.2000000000000001E-2</v>
      </c>
      <c r="V4" s="24">
        <v>3.2000000000000001E-2</v>
      </c>
    </row>
    <row r="5" spans="1:24" x14ac:dyDescent="0.35">
      <c r="A5" s="16">
        <v>1833</v>
      </c>
      <c r="B5" s="17">
        <f t="shared" si="0"/>
        <v>100300.30009999996</v>
      </c>
      <c r="C5" s="17">
        <f t="shared" si="1"/>
        <v>100.30030009999997</v>
      </c>
      <c r="D5" s="23">
        <f t="shared" si="2"/>
        <v>100.30030009999997</v>
      </c>
      <c r="E5" s="20">
        <v>0.01</v>
      </c>
      <c r="F5" s="24">
        <f>MIN((D5/B5)/(0.01+(H5*0.001))+G5,1)</f>
        <v>0.5</v>
      </c>
      <c r="G5" s="22">
        <v>0.4</v>
      </c>
      <c r="H5" s="23">
        <v>0</v>
      </c>
      <c r="I5" s="17">
        <f>B5/500/4*(0.3-IF($L$2="Yes",0.1,0)+VLOOKUP(E5,$T$3:$U$11,2,TRUE))*F5*12</f>
        <v>90.270270089999954</v>
      </c>
      <c r="T5" s="19">
        <v>0.2</v>
      </c>
      <c r="U5" s="21">
        <f>SUM(V3:V5)</f>
        <v>5.5E-2</v>
      </c>
      <c r="V5" s="24">
        <v>2.3E-2</v>
      </c>
    </row>
    <row r="6" spans="1:24" x14ac:dyDescent="0.35">
      <c r="A6" s="16">
        <v>1834</v>
      </c>
      <c r="B6" s="17">
        <f t="shared" si="0"/>
        <v>100400.60040009995</v>
      </c>
      <c r="C6" s="17">
        <f t="shared" si="1"/>
        <v>100.40060040009996</v>
      </c>
      <c r="D6" s="23">
        <f t="shared" si="2"/>
        <v>100.40060040009996</v>
      </c>
      <c r="E6" s="20">
        <v>0.01</v>
      </c>
      <c r="F6" s="24">
        <f>MIN((D6/B6)/(0.01+(H6*0.001))+G6,1)</f>
        <v>0.5</v>
      </c>
      <c r="G6" s="22">
        <v>0.4</v>
      </c>
      <c r="H6" s="23">
        <v>0</v>
      </c>
      <c r="I6" s="17">
        <f>B6/500/4*(0.3-IF($L$2="Yes",0.1,0)+VLOOKUP(E6,$T$3:$U$11,2,TRUE))*F6*12</f>
        <v>90.360540360089942</v>
      </c>
      <c r="T6" s="19">
        <v>0.3</v>
      </c>
      <c r="U6" s="21">
        <f>SUM(V3:V6)</f>
        <v>7.5999999999999998E-2</v>
      </c>
      <c r="V6" s="24">
        <v>2.1000000000000001E-2</v>
      </c>
    </row>
    <row r="7" spans="1:24" x14ac:dyDescent="0.35">
      <c r="A7" s="16">
        <v>1835</v>
      </c>
      <c r="B7" s="17">
        <f t="shared" si="0"/>
        <v>100501.00100050004</v>
      </c>
      <c r="C7" s="17">
        <f t="shared" si="1"/>
        <v>100.50100100050005</v>
      </c>
      <c r="D7" s="23">
        <f t="shared" si="2"/>
        <v>100.50100100050005</v>
      </c>
      <c r="E7" s="20">
        <v>0.01</v>
      </c>
      <c r="F7" s="24">
        <f>MIN((D7/B7)/(0.01+(H7*0.001))+G7,1)</f>
        <v>0.5</v>
      </c>
      <c r="G7" s="22">
        <v>0.4</v>
      </c>
      <c r="H7" s="23">
        <v>0</v>
      </c>
      <c r="I7" s="17">
        <f>B7/500/4*(0.3-IF($L$2="Yes",0.1,0)+VLOOKUP(E7,$T$3:$U$11,2,TRUE))*F7*12</f>
        <v>90.450900900450037</v>
      </c>
      <c r="T7" s="19">
        <v>0.4</v>
      </c>
      <c r="U7" s="21">
        <f>SUM(V3:V7)</f>
        <v>9.6000000000000002E-2</v>
      </c>
      <c r="V7" s="24">
        <v>0.02</v>
      </c>
    </row>
    <row r="8" spans="1:24" x14ac:dyDescent="0.35">
      <c r="A8" s="16">
        <v>1836</v>
      </c>
      <c r="B8" s="17">
        <f t="shared" si="0"/>
        <v>100601.50200150053</v>
      </c>
      <c r="C8" s="17">
        <f t="shared" si="1"/>
        <v>100.60150200150055</v>
      </c>
      <c r="D8" s="23">
        <f t="shared" si="2"/>
        <v>100.60150200150055</v>
      </c>
      <c r="E8" s="20">
        <v>0.01</v>
      </c>
      <c r="F8" s="24">
        <f>MIN((D8/B8)/(0.01+(H8*0.001))+G8,1)</f>
        <v>0.5</v>
      </c>
      <c r="G8" s="22">
        <v>0.4</v>
      </c>
      <c r="H8" s="23">
        <v>0</v>
      </c>
      <c r="I8" s="17">
        <f>B8/500/4*(0.3-IF($L$2="Yes",0.1,0)+VLOOKUP(E8,$T$3:$U$11,2,TRUE))*F8*12</f>
        <v>90.541351801350473</v>
      </c>
      <c r="T8" s="19">
        <v>0.51</v>
      </c>
      <c r="U8" s="21">
        <f>SUM(V3:V8)</f>
        <v>0.11700000000000001</v>
      </c>
      <c r="V8" s="24">
        <v>2.1000000000000001E-2</v>
      </c>
    </row>
    <row r="9" spans="1:24" x14ac:dyDescent="0.35">
      <c r="A9" s="16">
        <v>1837</v>
      </c>
      <c r="B9" s="17">
        <f t="shared" si="0"/>
        <v>100702.10350350202</v>
      </c>
      <c r="C9" s="17">
        <f t="shared" si="1"/>
        <v>100.70210350350204</v>
      </c>
      <c r="D9" s="23">
        <f t="shared" si="2"/>
        <v>100.70210350350204</v>
      </c>
      <c r="E9" s="20">
        <v>0.01</v>
      </c>
      <c r="F9" s="24">
        <f>MIN((D9/B9)/(0.01+(H9*0.001))+G9,1)</f>
        <v>0.5</v>
      </c>
      <c r="G9" s="22">
        <v>0.4</v>
      </c>
      <c r="H9" s="23">
        <v>0</v>
      </c>
      <c r="I9" s="17">
        <f>B9/500/4*(0.3-IF($L$2="Yes",0.1,0)+VLOOKUP(E9,$T$3:$U$11,2,TRUE))*F9*12</f>
        <v>90.631893153151822</v>
      </c>
      <c r="T9" s="19">
        <v>0.62</v>
      </c>
      <c r="U9" s="21">
        <f>SUM(V3:V9)</f>
        <v>0.13900000000000001</v>
      </c>
      <c r="V9" s="24">
        <v>2.1999999999999999E-2</v>
      </c>
    </row>
    <row r="10" spans="1:24" x14ac:dyDescent="0.35">
      <c r="A10" s="16">
        <v>1838</v>
      </c>
      <c r="B10" s="17">
        <f t="shared" si="0"/>
        <v>100802.8056070055</v>
      </c>
      <c r="C10" s="17">
        <f t="shared" si="1"/>
        <v>100.80280560700554</v>
      </c>
      <c r="D10" s="23">
        <f t="shared" si="2"/>
        <v>100.80280560700554</v>
      </c>
      <c r="E10" s="20">
        <v>0.01</v>
      </c>
      <c r="F10" s="24">
        <f>MIN((D10/B10)/(0.01+(H10*0.001))+G10,1)</f>
        <v>0.50000000000000011</v>
      </c>
      <c r="G10" s="22">
        <v>0.4</v>
      </c>
      <c r="H10" s="23">
        <v>0</v>
      </c>
      <c r="I10" s="17">
        <f>B10/500/4*(0.3-IF($L$2="Yes",0.1,0)+VLOOKUP(E10,$T$3:$U$11,2,TRUE))*F10*12</f>
        <v>90.722525046304952</v>
      </c>
      <c r="T10" s="19">
        <v>0.75</v>
      </c>
      <c r="U10" s="21">
        <f>SUM(V3:V10)</f>
        <v>0.16200000000000001</v>
      </c>
      <c r="V10" s="24">
        <v>2.3E-2</v>
      </c>
    </row>
    <row r="11" spans="1:24" x14ac:dyDescent="0.35">
      <c r="A11" s="16">
        <v>1839</v>
      </c>
      <c r="B11" s="17">
        <f t="shared" si="0"/>
        <v>100903.60841261249</v>
      </c>
      <c r="C11" s="17">
        <f t="shared" si="1"/>
        <v>100.90360841261253</v>
      </c>
      <c r="D11" s="23">
        <f t="shared" si="2"/>
        <v>100.90360841261253</v>
      </c>
      <c r="E11" s="20">
        <v>0.01</v>
      </c>
      <c r="F11" s="24">
        <f>MIN((D11/B11)/(0.01+(H11*0.001))+G11,1)</f>
        <v>0.50000000000000011</v>
      </c>
      <c r="G11" s="22">
        <v>0.4</v>
      </c>
      <c r="H11" s="23">
        <v>0</v>
      </c>
      <c r="I11" s="17">
        <f>B11/500/4*(0.3-IF($L$2="Yes",0.1,0)+VLOOKUP(E11,$T$3:$U$11,2,TRUE))*F11*12</f>
        <v>90.813247571351255</v>
      </c>
      <c r="T11" s="19">
        <v>0.9</v>
      </c>
      <c r="U11" s="21">
        <f>SUM(V3:V11)</f>
        <v>0.186</v>
      </c>
      <c r="V11" s="24">
        <v>2.4E-2</v>
      </c>
    </row>
    <row r="12" spans="1:24" x14ac:dyDescent="0.35">
      <c r="A12" s="16">
        <v>1840</v>
      </c>
      <c r="B12" s="17">
        <f t="shared" si="0"/>
        <v>101004.51202102509</v>
      </c>
      <c r="C12" s="17">
        <f t="shared" si="1"/>
        <v>101.00451202102514</v>
      </c>
      <c r="D12" s="23">
        <f t="shared" si="2"/>
        <v>101.00451202102514</v>
      </c>
      <c r="E12" s="20">
        <v>0.01</v>
      </c>
      <c r="F12" s="24">
        <f>MIN((D12/B12)/(0.01+(H12*0.001))+G12,1)</f>
        <v>0.50000000000000011</v>
      </c>
      <c r="G12" s="22">
        <v>0.4</v>
      </c>
      <c r="H12" s="23">
        <v>0</v>
      </c>
      <c r="I12" s="17">
        <f>B12/500/4*(0.3-IF($L$2="Yes",0.1,0)+VLOOKUP(E12,$T$3:$U$11,2,TRUE))*F12*12</f>
        <v>90.904060818922602</v>
      </c>
    </row>
    <row r="13" spans="1:24" x14ac:dyDescent="0.35">
      <c r="A13" s="16">
        <v>1841</v>
      </c>
      <c r="B13" s="17">
        <f t="shared" si="0"/>
        <v>101105.5165330461</v>
      </c>
      <c r="C13" s="17">
        <f t="shared" si="1"/>
        <v>101.10551653304616</v>
      </c>
      <c r="D13" s="23">
        <f t="shared" si="2"/>
        <v>101.10551653304616</v>
      </c>
      <c r="E13" s="20">
        <v>0.01</v>
      </c>
      <c r="F13" s="24">
        <f>MIN((D13/B13)/(0.01+(H13*0.001))+G13,1)</f>
        <v>0.50000000000000011</v>
      </c>
      <c r="G13" s="22">
        <v>0.4</v>
      </c>
      <c r="H13" s="23">
        <v>0</v>
      </c>
      <c r="I13" s="17">
        <f>B13/500/4*(0.3-IF($L$2="Yes",0.1,0)+VLOOKUP(E13,$T$3:$U$11,2,TRUE))*F13*12</f>
        <v>90.994964879741502</v>
      </c>
      <c r="R13" s="25" t="s">
        <v>84</v>
      </c>
      <c r="S13" s="25"/>
      <c r="T13" s="25"/>
      <c r="V13" s="25" t="s">
        <v>89</v>
      </c>
      <c r="W13" s="25"/>
      <c r="X13" s="25"/>
    </row>
    <row r="14" spans="1:24" x14ac:dyDescent="0.35">
      <c r="A14" s="16">
        <v>1842</v>
      </c>
      <c r="B14" s="17">
        <f t="shared" si="0"/>
        <v>101206.62204957913</v>
      </c>
      <c r="C14" s="17">
        <f t="shared" si="1"/>
        <v>101.2066220495792</v>
      </c>
      <c r="D14" s="23">
        <f t="shared" si="2"/>
        <v>101.2066220495792</v>
      </c>
      <c r="E14" s="20">
        <v>0.01</v>
      </c>
      <c r="F14" s="24">
        <f>MIN((D14/B14)/(0.01+(H14*0.001))+G14,1)</f>
        <v>0.50000000000000011</v>
      </c>
      <c r="G14" s="22">
        <v>0.4</v>
      </c>
      <c r="H14" s="23">
        <v>0</v>
      </c>
      <c r="I14" s="17">
        <f>B14/500/4*(0.3-IF($L$2="Yes",0.1,0)+VLOOKUP(E14,$T$3:$U$11,2,TRUE))*F14*12</f>
        <v>91.085959844621243</v>
      </c>
      <c r="R14" s="16" t="s">
        <v>3</v>
      </c>
      <c r="S14" s="16" t="s">
        <v>91</v>
      </c>
      <c r="T14" s="16" t="s">
        <v>75</v>
      </c>
      <c r="V14" s="16" t="s">
        <v>3</v>
      </c>
      <c r="W14" s="16" t="s">
        <v>91</v>
      </c>
      <c r="X14" s="16" t="s">
        <v>75</v>
      </c>
    </row>
    <row r="15" spans="1:24" x14ac:dyDescent="0.35">
      <c r="A15" s="16">
        <v>1843</v>
      </c>
      <c r="B15" s="17">
        <f t="shared" si="0"/>
        <v>101307.8286716287</v>
      </c>
      <c r="C15" s="17">
        <f t="shared" si="1"/>
        <v>101.30782867162877</v>
      </c>
      <c r="D15" s="23">
        <f t="shared" si="2"/>
        <v>101.30782867162877</v>
      </c>
      <c r="E15" s="20">
        <v>0.01</v>
      </c>
      <c r="F15" s="24">
        <f>MIN((D15/B15)/(0.01+(H15*0.001))+G15,1)</f>
        <v>0.50000000000000011</v>
      </c>
      <c r="G15" s="22">
        <v>0.4</v>
      </c>
      <c r="H15" s="23">
        <v>0</v>
      </c>
      <c r="I15" s="17">
        <f>B15/500/4*(0.3-IF($L$2="Yes",0.1,0)+VLOOKUP(E15,$T$3:$U$11,2,TRUE))*F15*12</f>
        <v>91.177045804465848</v>
      </c>
      <c r="R15" s="18">
        <v>0</v>
      </c>
      <c r="S15" s="26">
        <f>SUM(T15)</f>
        <v>0</v>
      </c>
      <c r="T15" s="26">
        <v>0</v>
      </c>
      <c r="V15" s="18">
        <v>0</v>
      </c>
      <c r="W15" s="26">
        <f>SUM(X15)</f>
        <v>0</v>
      </c>
      <c r="X15" s="26">
        <v>0</v>
      </c>
    </row>
    <row r="16" spans="1:24" x14ac:dyDescent="0.35">
      <c r="A16" s="16">
        <v>1844</v>
      </c>
      <c r="B16" s="17">
        <f t="shared" si="0"/>
        <v>101409.13650030032</v>
      </c>
      <c r="C16" s="17">
        <f t="shared" si="1"/>
        <v>101.40913650030039</v>
      </c>
      <c r="D16" s="23">
        <f t="shared" si="2"/>
        <v>101.40913650030039</v>
      </c>
      <c r="E16" s="20">
        <v>0.01</v>
      </c>
      <c r="F16" s="24">
        <f>MIN((D16/B16)/(0.01+(H16*0.001))+G16,1)</f>
        <v>0.50000000000000011</v>
      </c>
      <c r="G16" s="22">
        <v>0.4</v>
      </c>
      <c r="H16" s="23">
        <v>0</v>
      </c>
      <c r="I16" s="17">
        <f>B16/500/4*(0.3-IF($L$2="Yes",0.1,0)+VLOOKUP(E16,$T$3:$U$11,2,TRUE))*F16*12</f>
        <v>91.268222850270305</v>
      </c>
      <c r="R16" s="19">
        <v>0.3</v>
      </c>
      <c r="S16" s="27">
        <f>SUM(T15:T16)</f>
        <v>5.0000000000000001E-3</v>
      </c>
      <c r="T16" s="24">
        <v>5.0000000000000001E-3</v>
      </c>
      <c r="V16" s="19">
        <v>0.4</v>
      </c>
      <c r="W16" s="27">
        <f>SUM(X15:X16)</f>
        <v>2.5000000000000001E-3</v>
      </c>
      <c r="X16" s="24">
        <v>2.5000000000000001E-3</v>
      </c>
    </row>
    <row r="17" spans="1:24" x14ac:dyDescent="0.35">
      <c r="A17" s="16">
        <v>1845</v>
      </c>
      <c r="B17" s="17">
        <f t="shared" si="0"/>
        <v>101510.5456368006</v>
      </c>
      <c r="C17" s="17">
        <f t="shared" si="1"/>
        <v>101.51054563680069</v>
      </c>
      <c r="D17" s="23">
        <f t="shared" si="2"/>
        <v>101.51054563680069</v>
      </c>
      <c r="E17" s="20">
        <v>0.01</v>
      </c>
      <c r="F17" s="24">
        <f>MIN((D17/B17)/(0.01+(H17*0.001))+G17,1)</f>
        <v>0.50000000000000011</v>
      </c>
      <c r="G17" s="22">
        <v>0.4</v>
      </c>
      <c r="H17" s="23">
        <v>0</v>
      </c>
      <c r="I17" s="17">
        <f>B17/500/4*(0.3-IF($L$2="Yes",0.1,0)+VLOOKUP(E17,$T$3:$U$11,2,TRUE))*F17*12</f>
        <v>91.359491073120552</v>
      </c>
      <c r="R17" s="19">
        <v>0.4</v>
      </c>
      <c r="S17" s="27">
        <f>SUM(T15:T17)</f>
        <v>7.4999999999999997E-3</v>
      </c>
      <c r="T17" s="24">
        <v>2.5000000000000001E-3</v>
      </c>
      <c r="V17" s="19">
        <v>0.5</v>
      </c>
      <c r="W17" s="27">
        <f>SUM(X15:X17)</f>
        <v>5.0000000000000001E-3</v>
      </c>
      <c r="X17" s="24">
        <v>2.5000000000000001E-3</v>
      </c>
    </row>
    <row r="18" spans="1:24" x14ac:dyDescent="0.35">
      <c r="A18" s="16">
        <v>1846</v>
      </c>
      <c r="B18" s="17">
        <f t="shared" si="0"/>
        <v>101612.05618243739</v>
      </c>
      <c r="C18" s="17">
        <f t="shared" si="1"/>
        <v>101.61205618243747</v>
      </c>
      <c r="D18" s="23">
        <f t="shared" si="2"/>
        <v>101.61205618243747</v>
      </c>
      <c r="E18" s="20">
        <v>0.01</v>
      </c>
      <c r="F18" s="24">
        <f>MIN((D18/B18)/(0.01+(H18*0.001))+G18,1)</f>
        <v>0.50000000000000011</v>
      </c>
      <c r="G18" s="22">
        <v>0.4</v>
      </c>
      <c r="H18" s="23">
        <v>0</v>
      </c>
      <c r="I18" s="17">
        <f>B18/500/4*(0.3-IF($L$2="Yes",0.1,0)+VLOOKUP(E18,$T$3:$U$11,2,TRUE))*F18*12</f>
        <v>91.450850564193658</v>
      </c>
      <c r="R18" s="19">
        <v>0.5</v>
      </c>
      <c r="S18" s="27">
        <f>SUM(T15:T18)</f>
        <v>0.01</v>
      </c>
      <c r="T18" s="24">
        <v>2.5000000000000001E-3</v>
      </c>
      <c r="V18" s="19">
        <v>0.6</v>
      </c>
      <c r="W18" s="27">
        <f>SUM(X15:X18)</f>
        <v>0.01</v>
      </c>
      <c r="X18" s="24">
        <v>5.0000000000000001E-3</v>
      </c>
    </row>
    <row r="19" spans="1:24" x14ac:dyDescent="0.35">
      <c r="A19" s="16">
        <v>1847</v>
      </c>
      <c r="B19" s="17">
        <f t="shared" si="0"/>
        <v>101713.66823861981</v>
      </c>
      <c r="C19" s="17">
        <f t="shared" si="1"/>
        <v>101.7136682386199</v>
      </c>
      <c r="D19" s="23">
        <f t="shared" si="2"/>
        <v>101.7136682386199</v>
      </c>
      <c r="E19" s="20">
        <v>0.01</v>
      </c>
      <c r="F19" s="24">
        <f>MIN((D19/B19)/(0.01+(H19*0.001))+G19,1)</f>
        <v>0.50000000000000011</v>
      </c>
      <c r="G19" s="22">
        <v>0.4</v>
      </c>
      <c r="H19" s="23">
        <v>0</v>
      </c>
      <c r="I19" s="17">
        <f>B19/500/4*(0.3-IF($L$2="Yes",0.1,0)+VLOOKUP(E19,$T$3:$U$11,2,TRUE))*F19*12</f>
        <v>91.542301414757844</v>
      </c>
      <c r="R19" s="19">
        <v>0.6</v>
      </c>
      <c r="S19" s="27">
        <f>SUM(T15:T19)</f>
        <v>1.2500000000000001E-2</v>
      </c>
      <c r="T19" s="24">
        <v>2.5000000000000001E-3</v>
      </c>
      <c r="V19" s="19">
        <v>0.7</v>
      </c>
      <c r="W19" s="27">
        <f>SUM(X15:X19)</f>
        <v>1.4999999999999999E-2</v>
      </c>
      <c r="X19" s="24">
        <v>5.0000000000000001E-3</v>
      </c>
    </row>
    <row r="20" spans="1:24" x14ac:dyDescent="0.35">
      <c r="A20" s="16">
        <v>1848</v>
      </c>
      <c r="B20" s="17">
        <f t="shared" si="0"/>
        <v>101815.38190685841</v>
      </c>
      <c r="C20" s="17">
        <f t="shared" si="1"/>
        <v>101.81538190685851</v>
      </c>
      <c r="D20" s="23">
        <f t="shared" si="2"/>
        <v>101.81538190685851</v>
      </c>
      <c r="E20" s="20">
        <v>0.01</v>
      </c>
      <c r="F20" s="24">
        <f>MIN((D20/B20)/(0.01+(H20*0.001))+G20,1)</f>
        <v>0.50000000000000011</v>
      </c>
      <c r="G20" s="22">
        <v>0.4</v>
      </c>
      <c r="H20" s="23">
        <v>0</v>
      </c>
      <c r="I20" s="17">
        <f>B20/500/4*(0.3-IF($L$2="Yes",0.1,0)+VLOOKUP(E20,$T$3:$U$11,2,TRUE))*F20*12</f>
        <v>91.633843716172578</v>
      </c>
      <c r="R20" s="19">
        <v>0.7</v>
      </c>
      <c r="S20" s="27">
        <f>SUM(T15:T20)</f>
        <v>1.5000000000000001E-2</v>
      </c>
      <c r="T20" s="24">
        <v>2.5000000000000001E-3</v>
      </c>
      <c r="V20" s="19">
        <v>0.8</v>
      </c>
      <c r="W20" s="27">
        <f>SUM(X15:X20)</f>
        <v>2.5000000000000001E-2</v>
      </c>
      <c r="X20" s="24">
        <v>0.01</v>
      </c>
    </row>
    <row r="21" spans="1:24" x14ac:dyDescent="0.35">
      <c r="A21" s="16">
        <v>1849</v>
      </c>
      <c r="B21" s="17">
        <f t="shared" si="0"/>
        <v>101917.19728876527</v>
      </c>
      <c r="C21" s="17">
        <f t="shared" si="1"/>
        <v>101.91719728876535</v>
      </c>
      <c r="D21" s="23">
        <f t="shared" si="2"/>
        <v>101.91719728876535</v>
      </c>
      <c r="E21" s="20">
        <v>0.01</v>
      </c>
      <c r="F21" s="24">
        <f>MIN((D21/B21)/(0.01+(H21*0.001))+G21,1)</f>
        <v>0.50000000000000011</v>
      </c>
      <c r="G21" s="22">
        <v>0.4</v>
      </c>
      <c r="H21" s="23">
        <v>0</v>
      </c>
      <c r="I21" s="17">
        <f>B21/500/4*(0.3-IF($L$2="Yes",0.1,0)+VLOOKUP(E21,$T$3:$U$11,2,TRUE))*F21*12</f>
        <v>91.725477559888759</v>
      </c>
      <c r="R21" s="19">
        <v>0.8</v>
      </c>
      <c r="S21" s="27">
        <f>SUM(T15:T21)</f>
        <v>1.7500000000000002E-2</v>
      </c>
      <c r="T21" s="24">
        <v>2.5000000000000001E-3</v>
      </c>
      <c r="V21" s="19">
        <v>0.9</v>
      </c>
      <c r="W21" s="27">
        <f>SUM(X15:X21)</f>
        <v>3.5000000000000003E-2</v>
      </c>
      <c r="X21" s="24">
        <v>0.01</v>
      </c>
    </row>
    <row r="22" spans="1:24" x14ac:dyDescent="0.35">
      <c r="A22" s="16">
        <v>1850</v>
      </c>
      <c r="B22" s="17">
        <f t="shared" si="0"/>
        <v>102019.11448605402</v>
      </c>
      <c r="C22" s="17">
        <f t="shared" si="1"/>
        <v>102.01911448605411</v>
      </c>
      <c r="D22" s="23">
        <f t="shared" si="2"/>
        <v>102.01911448605411</v>
      </c>
      <c r="E22" s="20">
        <v>0.01</v>
      </c>
      <c r="F22" s="24">
        <f>MIN((D22/B22)/(0.01+(H22*0.001))+G22,1)</f>
        <v>0.50000000000000011</v>
      </c>
      <c r="G22" s="22">
        <v>0.4</v>
      </c>
      <c r="H22" s="23">
        <v>0</v>
      </c>
      <c r="I22" s="17">
        <f>B22/500/4*(0.3-IF($L$2="Yes",0.1,0)+VLOOKUP(E22,$T$3:$U$11,2,TRUE))*F22*12</f>
        <v>91.817203037448635</v>
      </c>
      <c r="R22" s="19"/>
      <c r="S22" s="21"/>
      <c r="T22" s="19"/>
      <c r="V22" s="19">
        <v>1</v>
      </c>
      <c r="W22" s="27">
        <f>SUM(X15:X22)</f>
        <v>5.5000000000000007E-2</v>
      </c>
      <c r="X22" s="24">
        <v>0.02</v>
      </c>
    </row>
    <row r="24" spans="1:24" x14ac:dyDescent="0.35">
      <c r="R24" s="25" t="s">
        <v>85</v>
      </c>
      <c r="S24" s="25"/>
      <c r="T24" s="25"/>
      <c r="V24" s="25" t="s">
        <v>90</v>
      </c>
      <c r="W24" s="25"/>
      <c r="X24" s="25"/>
    </row>
    <row r="25" spans="1:24" x14ac:dyDescent="0.35">
      <c r="R25" s="16" t="s">
        <v>86</v>
      </c>
      <c r="S25" s="16" t="s">
        <v>91</v>
      </c>
      <c r="T25" s="16" t="s">
        <v>75</v>
      </c>
      <c r="V25" s="16" t="s">
        <v>86</v>
      </c>
      <c r="W25" s="16" t="s">
        <v>91</v>
      </c>
      <c r="X25" s="16" t="s">
        <v>75</v>
      </c>
    </row>
    <row r="26" spans="1:24" x14ac:dyDescent="0.35">
      <c r="R26" s="18">
        <v>0</v>
      </c>
      <c r="S26" s="26">
        <f>SUM(T26)</f>
        <v>0</v>
      </c>
      <c r="T26" s="26">
        <v>0</v>
      </c>
      <c r="V26" s="18">
        <v>0</v>
      </c>
      <c r="W26" s="26">
        <f>SUM(X26)</f>
        <v>0</v>
      </c>
      <c r="X26" s="26">
        <v>0</v>
      </c>
    </row>
    <row r="27" spans="1:24" x14ac:dyDescent="0.35">
      <c r="R27" s="19">
        <v>0.1</v>
      </c>
      <c r="S27" s="27">
        <f>SUM(T26:T27)</f>
        <v>0.02</v>
      </c>
      <c r="T27" s="24">
        <v>0.02</v>
      </c>
      <c r="V27" s="19">
        <v>0.1</v>
      </c>
      <c r="W27" s="27">
        <f>SUM(X26:X27)</f>
        <v>0.02</v>
      </c>
      <c r="X27" s="24">
        <v>0.02</v>
      </c>
    </row>
    <row r="28" spans="1:24" x14ac:dyDescent="0.35">
      <c r="R28" s="19">
        <v>0.2</v>
      </c>
      <c r="S28" s="27">
        <f>SUM(T26:T28)</f>
        <v>0.04</v>
      </c>
      <c r="T28" s="24">
        <v>0.02</v>
      </c>
      <c r="V28" s="19">
        <v>0.2</v>
      </c>
      <c r="W28" s="27">
        <f>SUM(X26:X28)</f>
        <v>0.04</v>
      </c>
      <c r="X28" s="24">
        <v>0.02</v>
      </c>
    </row>
    <row r="29" spans="1:24" x14ac:dyDescent="0.35">
      <c r="R29" s="19">
        <v>0.3</v>
      </c>
      <c r="S29" s="27">
        <f>SUM(T26:T29)</f>
        <v>0.06</v>
      </c>
      <c r="T29" s="24">
        <v>0.02</v>
      </c>
      <c r="V29" s="19">
        <v>0.3</v>
      </c>
      <c r="W29" s="27">
        <f>SUM(X26:X29)</f>
        <v>0.06</v>
      </c>
      <c r="X29" s="24">
        <v>0.02</v>
      </c>
    </row>
    <row r="30" spans="1:24" x14ac:dyDescent="0.35">
      <c r="R30" s="19">
        <v>0.4</v>
      </c>
      <c r="S30" s="27">
        <f>SUM(T26:T30)</f>
        <v>8.199999999999999E-2</v>
      </c>
      <c r="T30" s="24">
        <v>2.1999999999999999E-2</v>
      </c>
      <c r="V30" s="19">
        <v>0.4</v>
      </c>
      <c r="W30" s="27">
        <f>SUM(X26:X30)</f>
        <v>0.08</v>
      </c>
      <c r="X30" s="24">
        <v>0.02</v>
      </c>
    </row>
    <row r="31" spans="1:24" x14ac:dyDescent="0.35">
      <c r="R31" s="19">
        <v>0.5</v>
      </c>
      <c r="S31" s="27">
        <f>SUM(T26:T31)</f>
        <v>0.10499999999999998</v>
      </c>
      <c r="T31" s="24">
        <v>2.3E-2</v>
      </c>
      <c r="V31" s="19">
        <v>0.5</v>
      </c>
      <c r="W31" s="27">
        <f>SUM(X26:X31)</f>
        <v>0.1</v>
      </c>
      <c r="X31" s="24">
        <v>0.02</v>
      </c>
    </row>
    <row r="32" spans="1:24" x14ac:dyDescent="0.35">
      <c r="R32" s="19">
        <v>0.6</v>
      </c>
      <c r="S32" s="27">
        <f>SUM(T26:T32)</f>
        <v>0.12999999999999998</v>
      </c>
      <c r="T32" s="24">
        <v>2.5000000000000001E-2</v>
      </c>
      <c r="V32" s="19">
        <v>0.6</v>
      </c>
      <c r="W32" s="27">
        <f>SUM(X26:X32)</f>
        <v>0.12000000000000001</v>
      </c>
      <c r="X32" s="24">
        <v>0.02</v>
      </c>
    </row>
    <row r="33" spans="18:24" x14ac:dyDescent="0.35">
      <c r="R33" s="19">
        <v>0.75</v>
      </c>
      <c r="S33" s="27">
        <f>SUM(T26:T33)</f>
        <v>0.19999999999999998</v>
      </c>
      <c r="T33" s="24">
        <v>7.0000000000000007E-2</v>
      </c>
      <c r="V33" s="19">
        <v>0.7</v>
      </c>
      <c r="W33" s="27">
        <f>SUM(X26:X33)</f>
        <v>0.14000000000000001</v>
      </c>
      <c r="X33" s="24">
        <v>0.02</v>
      </c>
    </row>
    <row r="34" spans="18:24" x14ac:dyDescent="0.35">
      <c r="R34" s="19">
        <v>0.8</v>
      </c>
      <c r="S34" s="27">
        <f>SUM(T26:T34)</f>
        <v>0.21999999999999997</v>
      </c>
      <c r="T34" s="24">
        <v>0.02</v>
      </c>
      <c r="V34" s="19">
        <v>0.75</v>
      </c>
      <c r="W34" s="27">
        <f>SUM(X26:X34)</f>
        <v>0.2</v>
      </c>
      <c r="X34" s="24">
        <v>0.06</v>
      </c>
    </row>
    <row r="35" spans="18:24" x14ac:dyDescent="0.35">
      <c r="R35" s="19">
        <v>0.9</v>
      </c>
      <c r="S35" s="27">
        <f>SUM(T26:T35)</f>
        <v>0.23999999999999996</v>
      </c>
      <c r="T35" s="24">
        <v>0.02</v>
      </c>
      <c r="V35" s="19">
        <v>0.8</v>
      </c>
      <c r="W35" s="27">
        <f>SUM(X26:X35)</f>
        <v>0.22</v>
      </c>
      <c r="X35" s="24">
        <v>0.02</v>
      </c>
    </row>
    <row r="36" spans="18:24" x14ac:dyDescent="0.35">
      <c r="R36" s="19">
        <v>1</v>
      </c>
      <c r="S36" s="27">
        <f>SUM(T26:T36)</f>
        <v>0.25999999999999995</v>
      </c>
      <c r="T36" s="24">
        <v>0.02</v>
      </c>
      <c r="V36" s="19">
        <v>0.9</v>
      </c>
      <c r="W36" s="27">
        <f>SUM(X26:X36)</f>
        <v>0.24</v>
      </c>
      <c r="X36" s="24">
        <v>0.02</v>
      </c>
    </row>
    <row r="37" spans="18:24" x14ac:dyDescent="0.35">
      <c r="V37" s="19">
        <v>1</v>
      </c>
      <c r="W37" s="27">
        <f>SUM(X27:X37)</f>
        <v>0.26</v>
      </c>
      <c r="X37" s="24">
        <v>0.02</v>
      </c>
    </row>
  </sheetData>
  <mergeCells count="5">
    <mergeCell ref="R13:T13"/>
    <mergeCell ref="R24:T24"/>
    <mergeCell ref="V13:X13"/>
    <mergeCell ref="V24:X24"/>
    <mergeCell ref="T1:V1"/>
  </mergeCells>
  <dataValidations disablePrompts="1" count="1">
    <dataValidation type="list" allowBlank="1" showInputMessage="1" showErrorMessage="1" sqref="L2" xr:uid="{C90092D7-13DF-423E-BE03-3AC1E591084E}">
      <formula1>"No,Yes"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344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Tech Graph</vt:lpstr>
      <vt:lpstr>Tech Cost</vt:lpstr>
      <vt:lpstr>Education Efficiency</vt:lpstr>
      <vt:lpstr>State Sim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Debski Franciszek</dc:creator>
  <dc:description/>
  <cp:lastModifiedBy>Debski Franciszek</cp:lastModifiedBy>
  <cp:revision>85</cp:revision>
  <dcterms:created xsi:type="dcterms:W3CDTF">2026-08-26T05:40:12Z</dcterms:created>
  <dcterms:modified xsi:type="dcterms:W3CDTF">2026-08-27T12:46:39Z</dcterms:modified>
  <dc:language>pl-PL</dc:language>
</cp:coreProperties>
</file>