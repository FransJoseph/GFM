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Tech Graph" sheetId="1" state="visible" r:id="rId3"/>
    <sheet name="Tech Cost" sheetId="2" state="visible" r:id="rId4"/>
    <sheet name="Education Efficiency" sheetId="3" state="visible" r:id="rId5"/>
    <sheet name="State Sim" sheetId="4" state="visible" r:id="rId6"/>
    <sheet name="Treaty Ports" sheetId="5" state="visible" r:id="rId7"/>
    <sheet name="Goods values" sheetId="6" state="visible" r:id="rId8"/>
    <sheet name="POP Growth" sheetId="7" state="visible" r:id="rId9"/>
    <sheet name="Military" sheetId="8" state="visible" r:id="rId10"/>
    <sheet name="Navy" sheetId="9" state="visible" r:id="rId11"/>
    <sheet name="Stocks" sheetId="10" state="visible" r:id="rId12"/>
    <sheet name="Colonial RGOs" sheetId="11" state="visible" r:id="rId13"/>
  </sheets>
  <definedNames>
    <definedName function="false" hidden="true" localSheetId="4" name="_xlnm._FilterDatabase" vbProcedure="false">'Treaty Ports'!$A$1:$H$27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<sst xmlns="http://schemas.openxmlformats.org/spreadsheetml/2006/main" count="736" uniqueCount="339">
  <si>
    <t xml:space="preserve">Date</t>
  </si>
  <si>
    <t xml:space="preserve">Intellectualists</t>
  </si>
  <si>
    <t xml:space="preserve">Clerks</t>
  </si>
  <si>
    <t xml:space="preserve">Literacy</t>
  </si>
  <si>
    <t xml:space="preserve">Status</t>
  </si>
  <si>
    <t xml:space="preserve">Base Research Points</t>
  </si>
  <si>
    <t xml:space="preserve">Plurality</t>
  </si>
  <si>
    <t xml:space="preserve">Tech Modifier</t>
  </si>
  <si>
    <t xml:space="preserve">Total Research Points</t>
  </si>
  <si>
    <t xml:space="preserve">Yearly Research Points</t>
  </si>
  <si>
    <t xml:space="preserve">New Costs</t>
  </si>
  <si>
    <t xml:space="preserve">Leftover Tech Cost</t>
  </si>
  <si>
    <t xml:space="preserve">Great Power</t>
  </si>
  <si>
    <t xml:space="preserve">Total Tech Cost</t>
  </si>
  <si>
    <t xml:space="preserve">Name of period</t>
  </si>
  <si>
    <t xml:space="preserve">Amount</t>
  </si>
  <si>
    <t xml:space="preserve">Total Cost</t>
  </si>
  <si>
    <t xml:space="preserve">Total Technology Cost</t>
  </si>
  <si>
    <t xml:space="preserve">1830 first</t>
  </si>
  <si>
    <t xml:space="preserve">25 x 3600</t>
  </si>
  <si>
    <t xml:space="preserve">1830 second</t>
  </si>
  <si>
    <t xml:space="preserve">22 x 7200</t>
  </si>
  <si>
    <t xml:space="preserve">1830 third</t>
  </si>
  <si>
    <t xml:space="preserve">8 x 10800</t>
  </si>
  <si>
    <t xml:space="preserve">1840 second</t>
  </si>
  <si>
    <t xml:space="preserve">3 x 7200</t>
  </si>
  <si>
    <t xml:space="preserve">1840 third</t>
  </si>
  <si>
    <t xml:space="preserve">1 x 10800</t>
  </si>
  <si>
    <t xml:space="preserve">1848 third</t>
  </si>
  <si>
    <t xml:space="preserve">1850 third</t>
  </si>
  <si>
    <t xml:space="preserve">12 x 10800</t>
  </si>
  <si>
    <t xml:space="preserve">1850 fourth</t>
  </si>
  <si>
    <t xml:space="preserve">9 x 14400</t>
  </si>
  <si>
    <t xml:space="preserve">1855 third</t>
  </si>
  <si>
    <t xml:space="preserve">2 x 10800</t>
  </si>
  <si>
    <t xml:space="preserve">1860 third</t>
  </si>
  <si>
    <t xml:space="preserve">1870 fourth</t>
  </si>
  <si>
    <t xml:space="preserve">13 x 14400</t>
  </si>
  <si>
    <t xml:space="preserve">1870 fifth</t>
  </si>
  <si>
    <t xml:space="preserve">8 x 18000</t>
  </si>
  <si>
    <t xml:space="preserve">1872 fourth</t>
  </si>
  <si>
    <t xml:space="preserve">1 x 14400</t>
  </si>
  <si>
    <t xml:space="preserve">1875 fourth</t>
  </si>
  <si>
    <t xml:space="preserve">1880 fourth</t>
  </si>
  <si>
    <t xml:space="preserve">1880 fifth</t>
  </si>
  <si>
    <t xml:space="preserve">2 x 18000</t>
  </si>
  <si>
    <t xml:space="preserve">1890 fifth</t>
  </si>
  <si>
    <t xml:space="preserve">3 x 18000</t>
  </si>
  <si>
    <t xml:space="preserve">1895 fifth</t>
  </si>
  <si>
    <t xml:space="preserve">1 x 18000</t>
  </si>
  <si>
    <t xml:space="preserve">1898 fifth</t>
  </si>
  <si>
    <t xml:space="preserve">1900 fifth</t>
  </si>
  <si>
    <t xml:space="preserve">10 x 1800</t>
  </si>
  <si>
    <t xml:space="preserve">SUM</t>
  </si>
  <si>
    <t xml:space="preserve">1900 sixth</t>
  </si>
  <si>
    <t xml:space="preserve">11 x 21600</t>
  </si>
  <si>
    <t xml:space="preserve">1905 sixth</t>
  </si>
  <si>
    <t xml:space="preserve">1 x 21600</t>
  </si>
  <si>
    <t xml:space="preserve">No</t>
  </si>
  <si>
    <t xml:space="preserve">Inc. base techs?</t>
  </si>
  <si>
    <t xml:space="preserve">1910 sixth</t>
  </si>
  <si>
    <t xml:space="preserve">1914 sixth</t>
  </si>
  <si>
    <t xml:space="preserve">2 x 21600</t>
  </si>
  <si>
    <t xml:space="preserve">1915 sixth</t>
  </si>
  <si>
    <t xml:space="preserve">1919 sixth</t>
  </si>
  <si>
    <t xml:space="preserve">9 x 21600</t>
  </si>
  <si>
    <t xml:space="preserve">Tech Education Efficiency</t>
  </si>
  <si>
    <t xml:space="preserve">Reforms</t>
  </si>
  <si>
    <t xml:space="preserve">Literacy Change</t>
  </si>
  <si>
    <t xml:space="preserve">TEST</t>
  </si>
  <si>
    <t xml:space="preserve">POPs</t>
  </si>
  <si>
    <t xml:space="preserve">Intellectuals</t>
  </si>
  <si>
    <t xml:space="preserve">Bureaucrats</t>
  </si>
  <si>
    <t xml:space="preserve">Intellectuals %</t>
  </si>
  <si>
    <t xml:space="preserve">Bureaucrats %</t>
  </si>
  <si>
    <t xml:space="preserve">Administrative Efficiency</t>
  </si>
  <si>
    <t xml:space="preserve">Admin Eff. Bonus</t>
  </si>
  <si>
    <t xml:space="preserve">Reforms Taken</t>
  </si>
  <si>
    <t xml:space="preserve">Promotions</t>
  </si>
  <si>
    <t xml:space="preserve">To Intellectualists</t>
  </si>
  <si>
    <t xml:space="preserve">To Bureaucrats</t>
  </si>
  <si>
    <t xml:space="preserve">Slave State?</t>
  </si>
  <si>
    <t xml:space="preserve">Edu Spending</t>
  </si>
  <si>
    <t xml:space="preserve">Admin Spending</t>
  </si>
  <si>
    <t xml:space="preserve">Life Rating</t>
  </si>
  <si>
    <t xml:space="preserve">POP Growth</t>
  </si>
  <si>
    <t xml:space="preserve">Promotion - General</t>
  </si>
  <si>
    <t xml:space="preserve">Total Bonus</t>
  </si>
  <si>
    <t xml:space="preserve">Bonus</t>
  </si>
  <si>
    <t xml:space="preserve">Promotion - Intellectualists</t>
  </si>
  <si>
    <t xml:space="preserve">Promotion – Bureaucrats</t>
  </si>
  <si>
    <t xml:space="preserve">Intellectualists - MONEY</t>
  </si>
  <si>
    <t xml:space="preserve">Bureaucrats - MONEY</t>
  </si>
  <si>
    <t xml:space="preserve">Cash</t>
  </si>
  <si>
    <t xml:space="preserve">Treaty Port</t>
  </si>
  <si>
    <t xml:space="preserve">Provinces in state</t>
  </si>
  <si>
    <t xml:space="preserve">Terrain</t>
  </si>
  <si>
    <t xml:space="preserve">Infrastructure</t>
  </si>
  <si>
    <t xml:space="preserve">Naval Base</t>
  </si>
  <si>
    <t xml:space="preserve">Output</t>
  </si>
  <si>
    <t xml:space="preserve">Base Income</t>
  </si>
  <si>
    <t xml:space="preserve">Max Infrastructure</t>
  </si>
  <si>
    <t xml:space="preserve">Good Output</t>
  </si>
  <si>
    <t xml:space="preserve">Admin Efficiency</t>
  </si>
  <si>
    <t xml:space="preserve">Tax Efficiency</t>
  </si>
  <si>
    <t xml:space="preserve">Ningpo</t>
  </si>
  <si>
    <t xml:space="preserve">Shanghai</t>
  </si>
  <si>
    <t xml:space="preserve">Kashing</t>
  </si>
  <si>
    <t xml:space="preserve">Sanmen</t>
  </si>
  <si>
    <t xml:space="preserve">Cheju</t>
  </si>
  <si>
    <t xml:space="preserve">Zanzibar</t>
  </si>
  <si>
    <t xml:space="preserve">Old Tientsin</t>
  </si>
  <si>
    <t xml:space="preserve">Kwangchowan</t>
  </si>
  <si>
    <t xml:space="preserve">Lushun</t>
  </si>
  <si>
    <t xml:space="preserve">Muqdisho</t>
  </si>
  <si>
    <t xml:space="preserve">Sado</t>
  </si>
  <si>
    <t xml:space="preserve">Chusan Islands</t>
  </si>
  <si>
    <t xml:space="preserve">Macao</t>
  </si>
  <si>
    <t xml:space="preserve">Socotra</t>
  </si>
  <si>
    <t xml:space="preserve">Weihaiwei</t>
  </si>
  <si>
    <t xml:space="preserve">Tsingtao</t>
  </si>
  <si>
    <t xml:space="preserve">Brunei</t>
  </si>
  <si>
    <t xml:space="preserve">Barbara</t>
  </si>
  <si>
    <t xml:space="preserve">Sidi Infi</t>
  </si>
  <si>
    <t xml:space="preserve">Hong Kong</t>
  </si>
  <si>
    <t xml:space="preserve">Tsushima</t>
  </si>
  <si>
    <t xml:space="preserve">Oki Islands</t>
  </si>
  <si>
    <t xml:space="preserve">Gwadar</t>
  </si>
  <si>
    <t xml:space="preserve">Qeshm</t>
  </si>
  <si>
    <t xml:space="preserve">Tarfaya</t>
  </si>
  <si>
    <t xml:space="preserve">Juzur Khuriya Muriya</t>
  </si>
  <si>
    <t xml:space="preserve">Hainan</t>
  </si>
  <si>
    <t xml:space="preserve">al-Jazair</t>
  </si>
  <si>
    <t xml:space="preserve">Wahran</t>
  </si>
  <si>
    <t xml:space="preserve">Ennab</t>
  </si>
  <si>
    <t xml:space="preserve">Bijaya</t>
  </si>
  <si>
    <t xml:space="preserve">Taiwan</t>
  </si>
  <si>
    <t xml:space="preserve">RGO Name</t>
  </si>
  <si>
    <t xml:space="preserve">Value</t>
  </si>
  <si>
    <t xml:space="preserve">Price</t>
  </si>
  <si>
    <t xml:space="preserve">Price per boi</t>
  </si>
  <si>
    <t xml:space="preserve">£ Output</t>
  </si>
  <si>
    <t xml:space="preserve">Farming Output</t>
  </si>
  <si>
    <t xml:space="preserve">Mining Output</t>
  </si>
  <si>
    <t xml:space="preserve">Goods Output</t>
  </si>
  <si>
    <t xml:space="preserve">Goods Throughput</t>
  </si>
  <si>
    <t xml:space="preserve">Railroad lvl</t>
  </si>
  <si>
    <t xml:space="preserve">Terrain Modifier</t>
  </si>
  <si>
    <t xml:space="preserve">Gold</t>
  </si>
  <si>
    <t xml:space="preserve">Bida</t>
  </si>
  <si>
    <t xml:space="preserve">Precious Goods</t>
  </si>
  <si>
    <t xml:space="preserve">Base</t>
  </si>
  <si>
    <t xml:space="preserve">Gems</t>
  </si>
  <si>
    <t xml:space="preserve">Pearls</t>
  </si>
  <si>
    <t xml:space="preserve">Mercury</t>
  </si>
  <si>
    <t xml:space="preserve">Precious Metal</t>
  </si>
  <si>
    <t xml:space="preserve">Slave Trade</t>
  </si>
  <si>
    <t xml:space="preserve">Ivory</t>
  </si>
  <si>
    <t xml:space="preserve">Tropical Wood</t>
  </si>
  <si>
    <t xml:space="preserve">Sulphur</t>
  </si>
  <si>
    <t xml:space="preserve">Oil</t>
  </si>
  <si>
    <t xml:space="preserve">Wood</t>
  </si>
  <si>
    <t xml:space="preserve">Iron</t>
  </si>
  <si>
    <t xml:space="preserve">Coal</t>
  </si>
  <si>
    <t xml:space="preserve">Rubber</t>
  </si>
  <si>
    <t xml:space="preserve">Fruit</t>
  </si>
  <si>
    <t xml:space="preserve">Tea</t>
  </si>
  <si>
    <t xml:space="preserve">Grain</t>
  </si>
  <si>
    <t xml:space="preserve">Cotton</t>
  </si>
  <si>
    <t xml:space="preserve">Cattle</t>
  </si>
  <si>
    <t xml:space="preserve">Wool</t>
  </si>
  <si>
    <t xml:space="preserve">Sugar</t>
  </si>
  <si>
    <t xml:space="preserve">Fish</t>
  </si>
  <si>
    <t xml:space="preserve">Coffee</t>
  </si>
  <si>
    <t xml:space="preserve">Tobacco</t>
  </si>
  <si>
    <t xml:space="preserve">Dye</t>
  </si>
  <si>
    <t xml:space="preserve">Silk</t>
  </si>
  <si>
    <t xml:space="preserve">Opium</t>
  </si>
  <si>
    <t xml:space="preserve">POP</t>
  </si>
  <si>
    <t xml:space="preserve">Starting POP</t>
  </si>
  <si>
    <t xml:space="preserve">Attacker</t>
  </si>
  <si>
    <t xml:space="preserve">Modifier</t>
  </si>
  <si>
    <t xml:space="preserve">Mil. Tac.</t>
  </si>
  <si>
    <t xml:space="preserve">Fort lvl</t>
  </si>
  <si>
    <t xml:space="preserve">Siege</t>
  </si>
  <si>
    <t xml:space="preserve">Exp</t>
  </si>
  <si>
    <t xml:space="preserve">Roll</t>
  </si>
  <si>
    <t xml:space="preserve">Attacker Damage</t>
  </si>
  <si>
    <t xml:space="preserve">Real Stats</t>
  </si>
  <si>
    <t xml:space="preserve">Casualties</t>
  </si>
  <si>
    <t xml:space="preserve">Frontline Unit</t>
  </si>
  <si>
    <t xml:space="preserve">Frontline</t>
  </si>
  <si>
    <t xml:space="preserve">Backline</t>
  </si>
  <si>
    <t xml:space="preserve">Frontline Attack</t>
  </si>
  <si>
    <t xml:space="preserve">Attack</t>
  </si>
  <si>
    <t xml:space="preserve">Discipline</t>
  </si>
  <si>
    <t xml:space="preserve">Backline Unit</t>
  </si>
  <si>
    <t xml:space="preserve">Backline Attack</t>
  </si>
  <si>
    <t xml:space="preserve">Support</t>
  </si>
  <si>
    <t xml:space="preserve">Defender</t>
  </si>
  <si>
    <t xml:space="preserve">Defender Damage</t>
  </si>
  <si>
    <t xml:space="preserve">Frontline Defence</t>
  </si>
  <si>
    <t xml:space="preserve">Defence</t>
  </si>
  <si>
    <t xml:space="preserve">Backline Defence</t>
  </si>
  <si>
    <t xml:space="preserve">Dice</t>
  </si>
  <si>
    <t xml:space="preserve">Hull</t>
  </si>
  <si>
    <t xml:space="preserve">Experience</t>
  </si>
  <si>
    <t xml:space="preserve">Evasion</t>
  </si>
  <si>
    <t xml:space="preserve">Strength</t>
  </si>
  <si>
    <t xml:space="preserve">Org Damage</t>
  </si>
  <si>
    <t xml:space="preserve">Str Damage</t>
  </si>
  <si>
    <t xml:space="preserve">Base Stats</t>
  </si>
  <si>
    <t xml:space="preserve">No reforms</t>
  </si>
  <si>
    <t xml:space="preserve">Unciv Reforms</t>
  </si>
  <si>
    <t xml:space="preserve">Base Techs</t>
  </si>
  <si>
    <t xml:space="preserve">2 row</t>
  </si>
  <si>
    <t xml:space="preserve">Tariff Efficiency</t>
  </si>
  <si>
    <t xml:space="preserve">RGO Output</t>
  </si>
  <si>
    <t xml:space="preserve">RGO Throughput</t>
  </si>
  <si>
    <t xml:space="preserve">Farm Size</t>
  </si>
  <si>
    <t xml:space="preserve">Mine Size</t>
  </si>
  <si>
    <t xml:space="preserve">Factory Input</t>
  </si>
  <si>
    <t xml:space="preserve">Factory Output</t>
  </si>
  <si>
    <t xml:space="preserve">Factory Throughput</t>
  </si>
  <si>
    <t xml:space="preserve">Factory Cost</t>
  </si>
  <si>
    <t xml:space="preserve">Mobilisation Impact</t>
  </si>
  <si>
    <t xml:space="preserve">Armies Supply Consumption</t>
  </si>
  <si>
    <t xml:space="preserve">Inventions</t>
  </si>
  <si>
    <t xml:space="preserve">Max Loan Amount</t>
  </si>
  <si>
    <t xml:space="preserve">Loan Interest</t>
  </si>
  <si>
    <t xml:space="preserve">Cotton Output</t>
  </si>
  <si>
    <t xml:space="preserve">Wool Output</t>
  </si>
  <si>
    <t xml:space="preserve">Silk Output</t>
  </si>
  <si>
    <t xml:space="preserve">Coal Output</t>
  </si>
  <si>
    <t xml:space="preserve">Coal Size</t>
  </si>
  <si>
    <t xml:space="preserve">Sulfur Output</t>
  </si>
  <si>
    <t xml:space="preserve">Sulfur Size</t>
  </si>
  <si>
    <t xml:space="preserve">Sulfur Throughput</t>
  </si>
  <si>
    <t xml:space="preserve">Iron Output</t>
  </si>
  <si>
    <t xml:space="preserve">Iron Size</t>
  </si>
  <si>
    <t xml:space="preserve">Wood Output</t>
  </si>
  <si>
    <t xml:space="preserve">Tropical Wood Output</t>
  </si>
  <si>
    <t xml:space="preserve">Sugar Output</t>
  </si>
  <si>
    <t xml:space="preserve">Rubber Output</t>
  </si>
  <si>
    <t xml:space="preserve">Oil Output</t>
  </si>
  <si>
    <t xml:space="preserve">Steel Output</t>
  </si>
  <si>
    <t xml:space="preserve">Cement Output</t>
  </si>
  <si>
    <t xml:space="preserve">Machine Parts Output</t>
  </si>
  <si>
    <t xml:space="preserve">Glass Output</t>
  </si>
  <si>
    <t xml:space="preserve">Fertilizer Output</t>
  </si>
  <si>
    <t xml:space="preserve">Explosives Output</t>
  </si>
  <si>
    <t xml:space="preserve">Clipper Convoys Throughput</t>
  </si>
  <si>
    <t xml:space="preserve">Streamer Convoys Throughput</t>
  </si>
  <si>
    <t xml:space="preserve">Fabric Output</t>
  </si>
  <si>
    <t xml:space="preserve">Fabric Throughput</t>
  </si>
  <si>
    <t xml:space="preserve">Lumber Output</t>
  </si>
  <si>
    <t xml:space="preserve">Fuel Output</t>
  </si>
  <si>
    <t xml:space="preserve">Electric Gear Output</t>
  </si>
  <si>
    <t xml:space="preserve">Paper Output</t>
  </si>
  <si>
    <t xml:space="preserve">Livestock Output</t>
  </si>
  <si>
    <t xml:space="preserve">Fish Output</t>
  </si>
  <si>
    <t xml:space="preserve">Fruit Output</t>
  </si>
  <si>
    <t xml:space="preserve">Grain Output</t>
  </si>
  <si>
    <t xml:space="preserve">Grain Throughput</t>
  </si>
  <si>
    <t xml:space="preserve">Tobacco Output</t>
  </si>
  <si>
    <t xml:space="preserve">Tea Output</t>
  </si>
  <si>
    <t xml:space="preserve">Coffee Output</t>
  </si>
  <si>
    <t xml:space="preserve">Opium Output</t>
  </si>
  <si>
    <t xml:space="preserve">Wine Output</t>
  </si>
  <si>
    <t xml:space="preserve">Beverages Output</t>
  </si>
  <si>
    <t xml:space="preserve">Beverages Throughput</t>
  </si>
  <si>
    <t xml:space="preserve">Regular Clothes Output</t>
  </si>
  <si>
    <t xml:space="preserve">Luxury Clothes Output</t>
  </si>
  <si>
    <t xml:space="preserve">Furniture Output</t>
  </si>
  <si>
    <t xml:space="preserve">Luxury Furniture</t>
  </si>
  <si>
    <t xml:space="preserve">Telephones Output</t>
  </si>
  <si>
    <t xml:space="preserve">Automobiles Output</t>
  </si>
  <si>
    <t xml:space="preserve">Radios Output</t>
  </si>
  <si>
    <t xml:space="preserve">Ammunition Output</t>
  </si>
  <si>
    <t xml:space="preserve">Small Arms Output</t>
  </si>
  <si>
    <t xml:space="preserve">Artillery Output</t>
  </si>
  <si>
    <t xml:space="preserve">Canned Food Output</t>
  </si>
  <si>
    <t xml:space="preserve">Aeroplanes Output</t>
  </si>
  <si>
    <t xml:space="preserve">Tanks Output</t>
  </si>
  <si>
    <t xml:space="preserve">Precious Goods Output</t>
  </si>
  <si>
    <t xml:space="preserve">Precious Goods Size</t>
  </si>
  <si>
    <t xml:space="preserve">Silver Output</t>
  </si>
  <si>
    <t xml:space="preserve">Gold Output</t>
  </si>
  <si>
    <t xml:space="preserve">Ivory Output</t>
  </si>
  <si>
    <t xml:space="preserve">Ivory Size</t>
  </si>
  <si>
    <t xml:space="preserve">Pearls Output</t>
  </si>
  <si>
    <t xml:space="preserve">Pearls Size</t>
  </si>
  <si>
    <t xml:space="preserve">Base Values</t>
  </si>
  <si>
    <t xml:space="preserve">No Reforms</t>
  </si>
  <si>
    <t xml:space="preserve">1830 2 row</t>
  </si>
  <si>
    <t xml:space="preserve">1830 all</t>
  </si>
  <si>
    <t xml:space="preserve">China</t>
  </si>
  <si>
    <t xml:space="preserve">Bavaria</t>
  </si>
  <si>
    <t xml:space="preserve">Darfur</t>
  </si>
  <si>
    <t xml:space="preserve">Egypt</t>
  </si>
  <si>
    <t xml:space="preserve">Nassau</t>
  </si>
  <si>
    <t xml:space="preserve">Russia</t>
  </si>
  <si>
    <t xml:space="preserve">France</t>
  </si>
  <si>
    <t xml:space="preserve">UK</t>
  </si>
  <si>
    <t xml:space="preserve">Soldier POPs</t>
  </si>
  <si>
    <t xml:space="preserve">Supply</t>
  </si>
  <si>
    <t xml:space="preserve">Score</t>
  </si>
  <si>
    <t xml:space="preserve">RGO</t>
  </si>
  <si>
    <t xml:space="preserve">Mobilization</t>
  </si>
  <si>
    <t xml:space="preserve">Mechanized Mining</t>
  </si>
  <si>
    <t xml:space="preserve">Distribution Channels</t>
  </si>
  <si>
    <t xml:space="preserve">Tractors</t>
  </si>
  <si>
    <t xml:space="preserve">RGO Size</t>
  </si>
  <si>
    <t xml:space="preserve">Type</t>
  </si>
  <si>
    <t xml:space="preserve">Mine</t>
  </si>
  <si>
    <t xml:space="preserve">Farm</t>
  </si>
  <si>
    <t xml:space="preserve">Sulfur</t>
  </si>
  <si>
    <t xml:space="preserve">Colony</t>
  </si>
  <si>
    <t xml:space="preserve">Total POPs</t>
  </si>
  <si>
    <t xml:space="preserve">%</t>
  </si>
  <si>
    <t xml:space="preserve">Income</t>
  </si>
  <si>
    <t xml:space="preserve">Icon</t>
  </si>
  <si>
    <t xml:space="preserve">Mean Good Value</t>
  </si>
  <si>
    <t xml:space="preserve">Base Price</t>
  </si>
  <si>
    <t xml:space="preserve">Min Price</t>
  </si>
  <si>
    <t xml:space="preserve">Max Price</t>
  </si>
  <si>
    <t xml:space="preserve">Niger</t>
  </si>
  <si>
    <t xml:space="preserve">Ayuru</t>
  </si>
  <si>
    <t xml:space="preserve">Gaweye</t>
  </si>
  <si>
    <t xml:space="preserve">Say</t>
  </si>
  <si>
    <t xml:space="preserve">Nakoni</t>
  </si>
  <si>
    <t xml:space="preserve">Tshibiri</t>
  </si>
  <si>
    <t xml:space="preserve">Zinder</t>
  </si>
  <si>
    <t xml:space="preserve">Kufe</t>
  </si>
  <si>
    <t xml:space="preserve">Agadez</t>
  </si>
  <si>
    <t xml:space="preserve">Njiekime</t>
  </si>
  <si>
    <t xml:space="preserve">Test</t>
  </si>
  <si>
    <t xml:space="preserve">Silver</t>
  </si>
  <si>
    <t xml:space="preserve">Timber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</si>
</sst>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%"/>
    <numFmt numFmtId="166" formatCode="#,##0"/>
    <numFmt numFmtId="167" formatCode="#,###"/>
    <numFmt numFmtId="168" formatCode="0.00%"/>
    <numFmt numFmtId="169" formatCode="0.00"/>
    <numFmt numFmtId="170" formatCode="0"/>
    <numFmt numFmtId="171" formatCode="0.0%"/>
    <numFmt numFmtId="172" formatCode="[$-415]#,##0"/>
    <numFmt numFmtId="173" formatCode="0.000"/>
    <numFmt numFmtId="174" formatCode="[$£-809]#,##0.00;[RED]\-[$£-809]#,##0.00"/>
    <numFmt numFmtId="175" formatCode="#,##0.00"/>
    <numFmt numFmtId="176" formatCode="0.0"/>
    <numFmt numFmtId="177" formatCode="[$-415]General"/>
    <numFmt numFmtId="178" formatCode="[$-415]#\ ##0"/>
    <numFmt numFmtId="179" formatCode="_-* #,##0.00_-;\-* #,##0.00_-;_-* \-??_-;_-@_-"/>
    <numFmt numFmtId="180" formatCode="_-* #,##0_-;\-* #,##0_-;_-* \-??_-;_-@_-"/>
    <numFmt numFmtId="181" formatCode="0.0000000"/>
    <numFmt numFmtId="182" formatCode="0.0000E+00"/>
    <numFmt numFmtId="183" formatCode="[$-415]0.00%"/>
  </numFmts>
  <fonts count="13">
    <font>
      <sz val="11"/>
      <color theme="1"/>
      <name val="Aptos Narrow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Times New Roman"/>
      <family val="1"/>
      <charset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3"/>
      <color rgb="FF000000"/>
      <name val="Arial"/>
      <family val="2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238"/>
    </font>
    <font>
      <sz val="11"/>
      <color rgb="FF92D050"/>
      <name val="Aptos Narrow"/>
      <family val="2"/>
      <charset val="238"/>
    </font>
    <font>
      <sz val="11"/>
      <color rgb="FFFF0000"/>
      <name val="Aptos Narrow"/>
      <family val="2"/>
      <charset val="238"/>
    </font>
    <font>
      <sz val="11"/>
      <color theme="1"/>
      <name val="Apatr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7F13D"/>
        <bgColor rgb="FFFFFF00"/>
      </patternFill>
    </fill>
    <fill>
      <patternFill patternType="solid">
        <fgColor rgb="FF00A933"/>
        <bgColor rgb="FF008000"/>
      </patternFill>
    </fill>
    <fill>
      <patternFill patternType="solid">
        <fgColor rgb="FF0070C0"/>
        <bgColor rgb="FF008080"/>
      </patternFill>
    </fill>
    <fill>
      <patternFill patternType="solid">
        <fgColor rgb="FF2A6099"/>
        <bgColor rgb="FF0070C0"/>
      </patternFill>
    </fill>
    <fill>
      <patternFill patternType="solid">
        <fgColor rgb="FF5983B0"/>
        <bgColor rgb="FF808080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9" fontId="1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4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" fillId="0" borderId="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0" fontId="1" fillId="0" borderId="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7F1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13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6099"/>
      <rgbColor rgb="FF33CCCC"/>
      <rgbColor rgb="FF92D050"/>
      <rgbColor rgb="FFFFCC00"/>
      <rgbColor rgb="FFFF9900"/>
      <rgbColor rgb="FFFF6600"/>
      <rgbColor rgb="FF5983B0"/>
      <rgbColor rgb="FFB3B3B3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'Tech Graph'!$M$1</c:f>
              <c:strCache>
                <c:ptCount val="1"/>
                <c:pt idx="0">
                  <c:v>Leftover Tech Cost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 Graph'!$L$2:$L$108</c:f>
              <c:strCache>
                <c:ptCount val="107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</c:strCache>
            </c:strRef>
          </c:cat>
          <c:val>
            <c:numRef>
              <c:f>'Tech Graph'!$M$2:$M$108</c:f>
              <c:numCache>
                <c:formatCode>#,##0</c:formatCode>
                <c:ptCount val="107"/>
                <c:pt idx="0">
                  <c:v>243103.6625</c:v>
                </c:pt>
                <c:pt idx="1">
                  <c:v>239922.76424744</c:v>
                </c:pt>
                <c:pt idx="2">
                  <c:v>236680.997818257</c:v>
                </c:pt>
                <c:pt idx="3">
                  <c:v>233377.332466843</c:v>
                </c:pt>
                <c:pt idx="4">
                  <c:v>230010.735670978</c:v>
                </c:pt>
                <c:pt idx="5">
                  <c:v>226580.173142486</c:v>
                </c:pt>
                <c:pt idx="6">
                  <c:v>223084.608837831</c:v>
                </c:pt>
                <c:pt idx="7">
                  <c:v>219523.004968652</c:v>
                </c:pt>
                <c:pt idx="8">
                  <c:v>215894.322012229</c:v>
                </c:pt>
                <c:pt idx="9">
                  <c:v>212197.518721892</c:v>
                </c:pt>
                <c:pt idx="10">
                  <c:v>239751.09237236</c:v>
                </c:pt>
                <c:pt idx="11">
                  <c:v>234814.87033362</c:v>
                </c:pt>
                <c:pt idx="12">
                  <c:v>229787.799383346</c:v>
                </c:pt>
                <c:pt idx="13">
                  <c:v>223704.180246462</c:v>
                </c:pt>
                <c:pt idx="14">
                  <c:v>217559.282534592</c:v>
                </c:pt>
                <c:pt idx="15">
                  <c:v>211404.228594023</c:v>
                </c:pt>
                <c:pt idx="16">
                  <c:v>205238.133776159</c:v>
                </c:pt>
                <c:pt idx="17">
                  <c:v>199060.109425824</c:v>
                </c:pt>
                <c:pt idx="18">
                  <c:v>203604.4629053</c:v>
                </c:pt>
                <c:pt idx="19">
                  <c:v>197335.486418221</c:v>
                </c:pt>
                <c:pt idx="20">
                  <c:v>448697.077100528</c:v>
                </c:pt>
                <c:pt idx="21">
                  <c:v>440852.859390873</c:v>
                </c:pt>
                <c:pt idx="22">
                  <c:v>432999.911854815</c:v>
                </c:pt>
                <c:pt idx="23">
                  <c:v>425137.1963073</c:v>
                </c:pt>
                <c:pt idx="24">
                  <c:v>417261.572238516</c:v>
                </c:pt>
                <c:pt idx="25">
                  <c:v>430842.324945461</c:v>
                </c:pt>
                <c:pt idx="26">
                  <c:v>422807.591007891</c:v>
                </c:pt>
                <c:pt idx="27">
                  <c:v>414749.254285261</c:v>
                </c:pt>
                <c:pt idx="28">
                  <c:v>406665.938369599</c:v>
                </c:pt>
                <c:pt idx="29">
                  <c:v>398556.261418309</c:v>
                </c:pt>
                <c:pt idx="30">
                  <c:v>401154.03618678</c:v>
                </c:pt>
                <c:pt idx="31">
                  <c:v>391816.105026116</c:v>
                </c:pt>
                <c:pt idx="32">
                  <c:v>382444.077035764</c:v>
                </c:pt>
                <c:pt idx="33">
                  <c:v>373036.356352424</c:v>
                </c:pt>
                <c:pt idx="34">
                  <c:v>363587.959665185</c:v>
                </c:pt>
                <c:pt idx="35">
                  <c:v>354097.201430409</c:v>
                </c:pt>
                <c:pt idx="36">
                  <c:v>344562.391728536</c:v>
                </c:pt>
                <c:pt idx="37">
                  <c:v>334981.836290345</c:v>
                </c:pt>
                <c:pt idx="38">
                  <c:v>325353.83652305</c:v>
                </c:pt>
                <c:pt idx="39">
                  <c:v>315676.689536241</c:v>
                </c:pt>
                <c:pt idx="40">
                  <c:v>635161.48816767</c:v>
                </c:pt>
                <c:pt idx="41">
                  <c:v>620948.866964483</c:v>
                </c:pt>
                <c:pt idx="42">
                  <c:v>620992.734873242</c:v>
                </c:pt>
                <c:pt idx="43">
                  <c:v>606577.788151033</c:v>
                </c:pt>
                <c:pt idx="44">
                  <c:v>592101.799990166</c:v>
                </c:pt>
                <c:pt idx="45">
                  <c:v>591876.142056565</c:v>
                </c:pt>
                <c:pt idx="46">
                  <c:v>577185.502898919</c:v>
                </c:pt>
                <c:pt idx="47">
                  <c:v>562427.648047394</c:v>
                </c:pt>
                <c:pt idx="48">
                  <c:v>547600.34155174</c:v>
                </c:pt>
                <c:pt idx="49">
                  <c:v>532701.345990173</c:v>
                </c:pt>
                <c:pt idx="50">
                  <c:v>567826.022478206</c:v>
                </c:pt>
                <c:pt idx="51">
                  <c:v>549727.099850462</c:v>
                </c:pt>
                <c:pt idx="52">
                  <c:v>531536.059244365</c:v>
                </c:pt>
                <c:pt idx="53">
                  <c:v>513250.274461119</c:v>
                </c:pt>
                <c:pt idx="54">
                  <c:v>494854.481148576</c:v>
                </c:pt>
                <c:pt idx="55">
                  <c:v>476345.879504449</c:v>
                </c:pt>
                <c:pt idx="56">
                  <c:v>457721.670443868</c:v>
                </c:pt>
                <c:pt idx="57">
                  <c:v>438979.055595075</c:v>
                </c:pt>
                <c:pt idx="58">
                  <c:v>420115.237295143</c:v>
                </c:pt>
                <c:pt idx="59">
                  <c:v>401127.418585726</c:v>
                </c:pt>
                <c:pt idx="60">
                  <c:v>435688.803208829</c:v>
                </c:pt>
                <c:pt idx="61">
                  <c:v>416122.539602609</c:v>
                </c:pt>
                <c:pt idx="62">
                  <c:v>396428.565791746</c:v>
                </c:pt>
                <c:pt idx="63">
                  <c:v>376606.820172773</c:v>
                </c:pt>
                <c:pt idx="64">
                  <c:v>356657.241511843</c:v>
                </c:pt>
                <c:pt idx="65">
                  <c:v>354471.768942511</c:v>
                </c:pt>
                <c:pt idx="66">
                  <c:v>334172.206495776</c:v>
                </c:pt>
                <c:pt idx="67">
                  <c:v>313781.007556922</c:v>
                </c:pt>
                <c:pt idx="68">
                  <c:v>311190.7219449</c:v>
                </c:pt>
                <c:pt idx="69">
                  <c:v>290576.277888231</c:v>
                </c:pt>
                <c:pt idx="70">
                  <c:v>524131.965945901</c:v>
                </c:pt>
                <c:pt idx="71">
                  <c:v>498784.109175226</c:v>
                </c:pt>
                <c:pt idx="72">
                  <c:v>473564.756895175</c:v>
                </c:pt>
                <c:pt idx="73">
                  <c:v>448473.138078804</c:v>
                </c:pt>
                <c:pt idx="74">
                  <c:v>423508.486325331</c:v>
                </c:pt>
                <c:pt idx="75">
                  <c:v>420140.439832379</c:v>
                </c:pt>
                <c:pt idx="76">
                  <c:v>395298.618968384</c:v>
                </c:pt>
                <c:pt idx="77">
                  <c:v>370582.266379574</c:v>
                </c:pt>
                <c:pt idx="78">
                  <c:v>345990.629256297</c:v>
                </c:pt>
                <c:pt idx="79">
                  <c:v>321522.959305759</c:v>
                </c:pt>
                <c:pt idx="80">
                  <c:v>318648.912724924</c:v>
                </c:pt>
                <c:pt idx="81">
                  <c:v>294298.127773575</c:v>
                </c:pt>
                <c:pt idx="82">
                  <c:v>270069.864881933</c:v>
                </c:pt>
                <c:pt idx="83">
                  <c:v>245963.388917642</c:v>
                </c:pt>
                <c:pt idx="84">
                  <c:v>264918.769159136</c:v>
                </c:pt>
                <c:pt idx="85">
                  <c:v>262266.434469181</c:v>
                </c:pt>
                <c:pt idx="86">
                  <c:v>238136.031137366</c:v>
                </c:pt>
                <c:pt idx="87">
                  <c:v>214126.827575542</c:v>
                </c:pt>
                <c:pt idx="88">
                  <c:v>190238.096585089</c:v>
                </c:pt>
                <c:pt idx="89">
                  <c:v>359702.715330578</c:v>
                </c:pt>
                <c:pt idx="90">
                  <c:v>334893.363713595</c:v>
                </c:pt>
                <c:pt idx="91">
                  <c:v>310209.285556313</c:v>
                </c:pt>
                <c:pt idx="92">
                  <c:v>285649.729217975</c:v>
                </c:pt>
                <c:pt idx="93">
                  <c:v>261213.947567667</c:v>
                </c:pt>
                <c:pt idx="94">
                  <c:v>236901.197957261</c:v>
                </c:pt>
                <c:pt idx="95">
                  <c:v>212710.742194518</c:v>
                </c:pt>
                <c:pt idx="96">
                  <c:v>188641.846516351</c:v>
                </c:pt>
                <c:pt idx="97">
                  <c:v>164693.781562252</c:v>
                </c:pt>
                <c:pt idx="98">
                  <c:v>140865.822347879</c:v>
                </c:pt>
                <c:pt idx="99">
                  <c:v>117157.248238792</c:v>
                </c:pt>
                <c:pt idx="100">
                  <c:v>93567.3429243589</c:v>
                </c:pt>
                <c:pt idx="101">
                  <c:v>70095.3943918127</c:v>
                </c:pt>
                <c:pt idx="102">
                  <c:v>46740.6949004618</c:v>
                </c:pt>
                <c:pt idx="103">
                  <c:v>23502.5409560591</c:v>
                </c:pt>
                <c:pt idx="104">
                  <c:v>380.233285322701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735877"/>
        <c:axId val="74063906"/>
      </c:lineChart>
      <c:catAx>
        <c:axId val="467358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pl-PL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lang="pl-PL" sz="900" spc="-1" strike="noStrike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4063906"/>
        <c:crosses val="autoZero"/>
        <c:auto val="1"/>
        <c:lblAlgn val="ctr"/>
        <c:lblOffset val="100"/>
        <c:noMultiLvlLbl val="0"/>
      </c:catAx>
      <c:valAx>
        <c:axId val="740639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lang="pl-PL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lang="pl-PL" sz="900" spc="-1" strike="noStrike">
                    <a:solidFill>
                      <a:srgbClr val="000000"/>
                    </a:solidFill>
                    <a:latin typeface="Arial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673587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l-PL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lang="pl-PL" sz="1300" spc="-1" strike="noStrike">
                <a:solidFill>
                  <a:srgbClr val="000000"/>
                </a:solidFill>
                <a:latin typeface="Arial"/>
              </a:rPr>
              <a:t>Total Tech Cost through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'Tech Cost'!$B$1</c:f>
              <c:strCache>
                <c:ptCount val="1"/>
                <c:pt idx="0">
                  <c:v>Total Tech Cost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 Cost'!$A$2:$A$108</c:f>
              <c:strCache>
                <c:ptCount val="107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</c:strCache>
            </c:strRef>
          </c:cat>
          <c:val>
            <c:numRef>
              <c:f>'Tech Cost'!$B$2:$B$108</c:f>
              <c:numCache>
                <c:formatCode>#,###</c:formatCode>
                <c:ptCount val="107"/>
                <c:pt idx="0">
                  <c:v>244800</c:v>
                </c:pt>
                <c:pt idx="1">
                  <c:v>243168</c:v>
                </c:pt>
                <c:pt idx="2">
                  <c:v>241536</c:v>
                </c:pt>
                <c:pt idx="3">
                  <c:v>239904</c:v>
                </c:pt>
                <c:pt idx="4">
                  <c:v>238272</c:v>
                </c:pt>
                <c:pt idx="5">
                  <c:v>236640</c:v>
                </c:pt>
                <c:pt idx="6">
                  <c:v>235008</c:v>
                </c:pt>
                <c:pt idx="7">
                  <c:v>233376</c:v>
                </c:pt>
                <c:pt idx="8">
                  <c:v>231744</c:v>
                </c:pt>
                <c:pt idx="9">
                  <c:v>230112</c:v>
                </c:pt>
                <c:pt idx="10">
                  <c:v>260880</c:v>
                </c:pt>
                <c:pt idx="11">
                  <c:v>259032</c:v>
                </c:pt>
                <c:pt idx="12">
                  <c:v>257184</c:v>
                </c:pt>
                <c:pt idx="13">
                  <c:v>255336</c:v>
                </c:pt>
                <c:pt idx="14">
                  <c:v>253488</c:v>
                </c:pt>
                <c:pt idx="15">
                  <c:v>251640</c:v>
                </c:pt>
                <c:pt idx="16">
                  <c:v>249792</c:v>
                </c:pt>
                <c:pt idx="17">
                  <c:v>247944</c:v>
                </c:pt>
                <c:pt idx="18">
                  <c:v>256896</c:v>
                </c:pt>
                <c:pt idx="19">
                  <c:v>254976</c:v>
                </c:pt>
                <c:pt idx="20">
                  <c:v>512256</c:v>
                </c:pt>
                <c:pt idx="21">
                  <c:v>508608</c:v>
                </c:pt>
                <c:pt idx="22">
                  <c:v>504960</c:v>
                </c:pt>
                <c:pt idx="23">
                  <c:v>501312</c:v>
                </c:pt>
                <c:pt idx="24">
                  <c:v>497664</c:v>
                </c:pt>
                <c:pt idx="25">
                  <c:v>515616</c:v>
                </c:pt>
                <c:pt idx="26">
                  <c:v>511824</c:v>
                </c:pt>
                <c:pt idx="27">
                  <c:v>508032</c:v>
                </c:pt>
                <c:pt idx="28">
                  <c:v>504240</c:v>
                </c:pt>
                <c:pt idx="29">
                  <c:v>500448</c:v>
                </c:pt>
                <c:pt idx="30">
                  <c:v>741456</c:v>
                </c:pt>
                <c:pt idx="31">
                  <c:v>736032</c:v>
                </c:pt>
                <c:pt idx="32">
                  <c:v>730608</c:v>
                </c:pt>
                <c:pt idx="33">
                  <c:v>725184</c:v>
                </c:pt>
                <c:pt idx="34">
                  <c:v>719760</c:v>
                </c:pt>
                <c:pt idx="35">
                  <c:v>714336</c:v>
                </c:pt>
                <c:pt idx="36">
                  <c:v>708912</c:v>
                </c:pt>
                <c:pt idx="37">
                  <c:v>703488</c:v>
                </c:pt>
                <c:pt idx="38">
                  <c:v>698064</c:v>
                </c:pt>
                <c:pt idx="39">
                  <c:v>692640</c:v>
                </c:pt>
                <c:pt idx="40">
                  <c:v>800016</c:v>
                </c:pt>
                <c:pt idx="41">
                  <c:v>793944</c:v>
                </c:pt>
                <c:pt idx="42">
                  <c:v>802272</c:v>
                </c:pt>
                <c:pt idx="43">
                  <c:v>796104</c:v>
                </c:pt>
                <c:pt idx="44">
                  <c:v>789936</c:v>
                </c:pt>
                <c:pt idx="45">
                  <c:v>798168</c:v>
                </c:pt>
                <c:pt idx="46">
                  <c:v>791904</c:v>
                </c:pt>
                <c:pt idx="47">
                  <c:v>785640</c:v>
                </c:pt>
                <c:pt idx="48">
                  <c:v>779376</c:v>
                </c:pt>
                <c:pt idx="49">
                  <c:v>773112</c:v>
                </c:pt>
                <c:pt idx="50">
                  <c:v>817248</c:v>
                </c:pt>
                <c:pt idx="51">
                  <c:v>810648</c:v>
                </c:pt>
                <c:pt idx="52">
                  <c:v>804048</c:v>
                </c:pt>
                <c:pt idx="53">
                  <c:v>797448</c:v>
                </c:pt>
                <c:pt idx="54">
                  <c:v>790848</c:v>
                </c:pt>
                <c:pt idx="55">
                  <c:v>784248</c:v>
                </c:pt>
                <c:pt idx="56">
                  <c:v>777648</c:v>
                </c:pt>
                <c:pt idx="57">
                  <c:v>771048</c:v>
                </c:pt>
                <c:pt idx="58">
                  <c:v>764448</c:v>
                </c:pt>
                <c:pt idx="59">
                  <c:v>757848</c:v>
                </c:pt>
                <c:pt idx="60">
                  <c:v>805248</c:v>
                </c:pt>
                <c:pt idx="61">
                  <c:v>798288</c:v>
                </c:pt>
                <c:pt idx="62">
                  <c:v>791328</c:v>
                </c:pt>
                <c:pt idx="63">
                  <c:v>784368</c:v>
                </c:pt>
                <c:pt idx="64">
                  <c:v>777408</c:v>
                </c:pt>
                <c:pt idx="65">
                  <c:v>788448</c:v>
                </c:pt>
                <c:pt idx="66">
                  <c:v>781368</c:v>
                </c:pt>
                <c:pt idx="67">
                  <c:v>774288</c:v>
                </c:pt>
                <c:pt idx="68">
                  <c:v>785208</c:v>
                </c:pt>
                <c:pt idx="69">
                  <c:v>778008</c:v>
                </c:pt>
                <c:pt idx="70">
                  <c:v>1026408</c:v>
                </c:pt>
                <c:pt idx="71">
                  <c:v>1017504</c:v>
                </c:pt>
                <c:pt idx="72">
                  <c:v>1008600</c:v>
                </c:pt>
                <c:pt idx="73">
                  <c:v>999696</c:v>
                </c:pt>
                <c:pt idx="74">
                  <c:v>990792</c:v>
                </c:pt>
                <c:pt idx="75">
                  <c:v>1003488</c:v>
                </c:pt>
                <c:pt idx="76">
                  <c:v>994440</c:v>
                </c:pt>
                <c:pt idx="77">
                  <c:v>985392</c:v>
                </c:pt>
                <c:pt idx="78">
                  <c:v>976344</c:v>
                </c:pt>
                <c:pt idx="79">
                  <c:v>967296</c:v>
                </c:pt>
                <c:pt idx="80">
                  <c:v>979848</c:v>
                </c:pt>
                <c:pt idx="81">
                  <c:v>970656</c:v>
                </c:pt>
                <c:pt idx="82">
                  <c:v>961464</c:v>
                </c:pt>
                <c:pt idx="83">
                  <c:v>952272</c:v>
                </c:pt>
                <c:pt idx="84">
                  <c:v>986280</c:v>
                </c:pt>
                <c:pt idx="85">
                  <c:v>998400</c:v>
                </c:pt>
                <c:pt idx="86">
                  <c:v>988776</c:v>
                </c:pt>
                <c:pt idx="87">
                  <c:v>979152</c:v>
                </c:pt>
                <c:pt idx="88">
                  <c:v>969528</c:v>
                </c:pt>
                <c:pt idx="89">
                  <c:v>1154304</c:v>
                </c:pt>
                <c:pt idx="90">
                  <c:v>1143384</c:v>
                </c:pt>
                <c:pt idx="91">
                  <c:v>1132464</c:v>
                </c:pt>
                <c:pt idx="92">
                  <c:v>1121544</c:v>
                </c:pt>
                <c:pt idx="93">
                  <c:v>1110624</c:v>
                </c:pt>
                <c:pt idx="94">
                  <c:v>1099704</c:v>
                </c:pt>
                <c:pt idx="95">
                  <c:v>1088784</c:v>
                </c:pt>
                <c:pt idx="96">
                  <c:v>1077864</c:v>
                </c:pt>
                <c:pt idx="97">
                  <c:v>1066944</c:v>
                </c:pt>
                <c:pt idx="98">
                  <c:v>1056024</c:v>
                </c:pt>
                <c:pt idx="99">
                  <c:v>1045104</c:v>
                </c:pt>
                <c:pt idx="100">
                  <c:v>1034184</c:v>
                </c:pt>
                <c:pt idx="101">
                  <c:v>1023264</c:v>
                </c:pt>
                <c:pt idx="102">
                  <c:v>1012344</c:v>
                </c:pt>
                <c:pt idx="103">
                  <c:v>1001424</c:v>
                </c:pt>
                <c:pt idx="104">
                  <c:v>990504</c:v>
                </c:pt>
                <c:pt idx="105">
                  <c:v>979584</c:v>
                </c:pt>
                <c:pt idx="106">
                  <c:v>968664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097077"/>
        <c:axId val="53499181"/>
      </c:lineChart>
      <c:catAx>
        <c:axId val="960970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pl-PL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lang="pl-PL" sz="900" spc="-1" strike="noStrike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3499181"/>
        <c:crosses val="autoZero"/>
        <c:auto val="1"/>
        <c:lblAlgn val="ctr"/>
        <c:lblOffset val="100"/>
        <c:noMultiLvlLbl val="0"/>
      </c:catAx>
      <c:valAx>
        <c:axId val="534991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lang="pl-PL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lang="pl-PL" sz="900" spc="-1" strike="noStrike">
                    <a:solidFill>
                      <a:srgbClr val="000000"/>
                    </a:solidFill>
                    <a:latin typeface="Arial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#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609707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'POP Growth'!$B$1</c:f>
              <c:strCache>
                <c:ptCount val="1"/>
                <c:pt idx="0">
                  <c:v>POP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'POP Growth'!$A$2:$A$108</c:f>
              <c:strCache>
                <c:ptCount val="107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</c:strCache>
            </c:strRef>
          </c:cat>
          <c:val>
            <c:numRef>
              <c:f>'POP Growth'!$B$2:$B$108</c:f>
              <c:numCache>
                <c:formatCode>[$-415]#,##0</c:formatCode>
                <c:ptCount val="107"/>
                <c:pt idx="0">
                  <c:v>452530</c:v>
                </c:pt>
                <c:pt idx="1">
                  <c:v>452575.253</c:v>
                </c:pt>
                <c:pt idx="2">
                  <c:v>452620.5105253</c:v>
                </c:pt>
                <c:pt idx="3">
                  <c:v>452665.772576352</c:v>
                </c:pt>
                <c:pt idx="4">
                  <c:v>452711.03915361</c:v>
                </c:pt>
                <c:pt idx="5">
                  <c:v>452801.581361441</c:v>
                </c:pt>
                <c:pt idx="6">
                  <c:v>452892.141677713</c:v>
                </c:pt>
                <c:pt idx="7">
                  <c:v>453028.009320216</c:v>
                </c:pt>
                <c:pt idx="8">
                  <c:v>453209.220523944</c:v>
                </c:pt>
                <c:pt idx="9">
                  <c:v>453435.825134206</c:v>
                </c:pt>
                <c:pt idx="10">
                  <c:v>453662.543046773</c:v>
                </c:pt>
                <c:pt idx="11">
                  <c:v>453934.740572602</c:v>
                </c:pt>
                <c:pt idx="12">
                  <c:v>454207.101416945</c:v>
                </c:pt>
                <c:pt idx="13">
                  <c:v>454479.625677795</c:v>
                </c:pt>
                <c:pt idx="14">
                  <c:v>454752.313453202</c:v>
                </c:pt>
                <c:pt idx="15">
                  <c:v>455025.164841274</c:v>
                </c:pt>
                <c:pt idx="16">
                  <c:v>455298.179940178</c:v>
                </c:pt>
                <c:pt idx="17">
                  <c:v>455571.358848143</c:v>
                </c:pt>
                <c:pt idx="18">
                  <c:v>455844.701663451</c:v>
                </c:pt>
                <c:pt idx="19">
                  <c:v>456118.208484449</c:v>
                </c:pt>
                <c:pt idx="20">
                  <c:v>456391.87940954</c:v>
                </c:pt>
                <c:pt idx="21">
                  <c:v>456665.714537186</c:v>
                </c:pt>
                <c:pt idx="22">
                  <c:v>456939.713965908</c:v>
                </c:pt>
                <c:pt idx="23">
                  <c:v>457213.877794288</c:v>
                </c:pt>
                <c:pt idx="24">
                  <c:v>457488.206120964</c:v>
                </c:pt>
                <c:pt idx="25">
                  <c:v>457762.699044637</c:v>
                </c:pt>
                <c:pt idx="26">
                  <c:v>458037.356664063</c:v>
                </c:pt>
                <c:pt idx="27">
                  <c:v>458312.179078062</c:v>
                </c:pt>
                <c:pt idx="28">
                  <c:v>458587.166385509</c:v>
                </c:pt>
                <c:pt idx="29">
                  <c:v>458862.31868534</c:v>
                </c:pt>
                <c:pt idx="30">
                  <c:v>459137.636076551</c:v>
                </c:pt>
                <c:pt idx="31">
                  <c:v>459413.118658197</c:v>
                </c:pt>
                <c:pt idx="32">
                  <c:v>459688.766529392</c:v>
                </c:pt>
                <c:pt idx="33">
                  <c:v>459964.57978931</c:v>
                </c:pt>
                <c:pt idx="34">
                  <c:v>460240.558537183</c:v>
                </c:pt>
                <c:pt idx="35">
                  <c:v>460516.702872305</c:v>
                </c:pt>
                <c:pt idx="36">
                  <c:v>460793.012894029</c:v>
                </c:pt>
                <c:pt idx="37">
                  <c:v>461069.488701765</c:v>
                </c:pt>
                <c:pt idx="38">
                  <c:v>461346.130394986</c:v>
                </c:pt>
                <c:pt idx="39">
                  <c:v>461622.938073223</c:v>
                </c:pt>
                <c:pt idx="40">
                  <c:v>461899.911836067</c:v>
                </c:pt>
                <c:pt idx="41">
                  <c:v>462177.051783169</c:v>
                </c:pt>
                <c:pt idx="42">
                  <c:v>462454.358014238</c:v>
                </c:pt>
                <c:pt idx="43">
                  <c:v>462731.830629047</c:v>
                </c:pt>
                <c:pt idx="44">
                  <c:v>463009.469727424</c:v>
                </c:pt>
                <c:pt idx="45">
                  <c:v>463333.576356233</c:v>
                </c:pt>
                <c:pt idx="46">
                  <c:v>463657.909859683</c:v>
                </c:pt>
                <c:pt idx="47">
                  <c:v>463982.470396585</c:v>
                </c:pt>
                <c:pt idx="48">
                  <c:v>464307.258125862</c:v>
                </c:pt>
                <c:pt idx="49">
                  <c:v>464632.27320655</c:v>
                </c:pt>
                <c:pt idx="50">
                  <c:v>464957.515797795</c:v>
                </c:pt>
                <c:pt idx="51">
                  <c:v>465282.986058853</c:v>
                </c:pt>
                <c:pt idx="52">
                  <c:v>465608.684149094</c:v>
                </c:pt>
                <c:pt idx="53">
                  <c:v>465934.610227999</c:v>
                </c:pt>
                <c:pt idx="54">
                  <c:v>466260.764455158</c:v>
                </c:pt>
                <c:pt idx="55">
                  <c:v>466587.146990277</c:v>
                </c:pt>
                <c:pt idx="56">
                  <c:v>466913.75799317</c:v>
                </c:pt>
                <c:pt idx="57">
                  <c:v>467240.597623765</c:v>
                </c:pt>
                <c:pt idx="58">
                  <c:v>467567.666042102</c:v>
                </c:pt>
                <c:pt idx="59">
                  <c:v>467894.963408331</c:v>
                </c:pt>
                <c:pt idx="60">
                  <c:v>468222.489882717</c:v>
                </c:pt>
                <c:pt idx="61">
                  <c:v>468550.245625635</c:v>
                </c:pt>
                <c:pt idx="62">
                  <c:v>468878.230797573</c:v>
                </c:pt>
                <c:pt idx="63">
                  <c:v>469206.445559131</c:v>
                </c:pt>
                <c:pt idx="64">
                  <c:v>469534.890071022</c:v>
                </c:pt>
                <c:pt idx="65">
                  <c:v>469863.564494072</c:v>
                </c:pt>
                <c:pt idx="66">
                  <c:v>470192.468989218</c:v>
                </c:pt>
                <c:pt idx="67">
                  <c:v>470521.60371751</c:v>
                </c:pt>
                <c:pt idx="68">
                  <c:v>470850.968840112</c:v>
                </c:pt>
                <c:pt idx="69">
                  <c:v>471180.5645183</c:v>
                </c:pt>
                <c:pt idx="70">
                  <c:v>471510.390913463</c:v>
                </c:pt>
                <c:pt idx="71">
                  <c:v>471840.448187103</c:v>
                </c:pt>
                <c:pt idx="72">
                  <c:v>472170.736500834</c:v>
                </c:pt>
                <c:pt idx="73">
                  <c:v>472501.256016384</c:v>
                </c:pt>
                <c:pt idx="74">
                  <c:v>472832.006895595</c:v>
                </c:pt>
                <c:pt idx="75">
                  <c:v>473162.989300422</c:v>
                </c:pt>
                <c:pt idx="76">
                  <c:v>473494.203392933</c:v>
                </c:pt>
                <c:pt idx="77">
                  <c:v>473825.649335308</c:v>
                </c:pt>
                <c:pt idx="78">
                  <c:v>474157.327289842</c:v>
                </c:pt>
                <c:pt idx="79">
                  <c:v>474536.653151674</c:v>
                </c:pt>
                <c:pt idx="80">
                  <c:v>474916.282474195</c:v>
                </c:pt>
                <c:pt idx="81">
                  <c:v>475296.215500175</c:v>
                </c:pt>
                <c:pt idx="82">
                  <c:v>475676.452472575</c:v>
                </c:pt>
                <c:pt idx="83">
                  <c:v>476104.5612798</c:v>
                </c:pt>
                <c:pt idx="84">
                  <c:v>476533.055384952</c:v>
                </c:pt>
                <c:pt idx="85">
                  <c:v>476961.935134798</c:v>
                </c:pt>
                <c:pt idx="86">
                  <c:v>477391.20087642</c:v>
                </c:pt>
                <c:pt idx="87">
                  <c:v>477820.852957208</c:v>
                </c:pt>
                <c:pt idx="88">
                  <c:v>478250.89172487</c:v>
                </c:pt>
                <c:pt idx="89">
                  <c:v>478681.317527422</c:v>
                </c:pt>
                <c:pt idx="90">
                  <c:v>479112.130713197</c:v>
                </c:pt>
                <c:pt idx="91">
                  <c:v>479543.331630838</c:v>
                </c:pt>
                <c:pt idx="92">
                  <c:v>479974.920629306</c:v>
                </c:pt>
                <c:pt idx="93">
                  <c:v>480406.898057873</c:v>
                </c:pt>
                <c:pt idx="94">
                  <c:v>480839.264266125</c:v>
                </c:pt>
                <c:pt idx="95">
                  <c:v>481272.019603964</c:v>
                </c:pt>
                <c:pt idx="96">
                  <c:v>481705.164421608</c:v>
                </c:pt>
                <c:pt idx="97">
                  <c:v>482138.699069587</c:v>
                </c:pt>
                <c:pt idx="98">
                  <c:v>482572.62389875</c:v>
                </c:pt>
                <c:pt idx="99">
                  <c:v>483006.939260258</c:v>
                </c:pt>
                <c:pt idx="100">
                  <c:v>483441.645505593</c:v>
                </c:pt>
                <c:pt idx="101">
                  <c:v>483876.742986548</c:v>
                </c:pt>
                <c:pt idx="102">
                  <c:v>484312.232055235</c:v>
                </c:pt>
                <c:pt idx="103">
                  <c:v>484748.113064085</c:v>
                </c:pt>
                <c:pt idx="104">
                  <c:v>485184.386365843</c:v>
                </c:pt>
                <c:pt idx="105">
                  <c:v>485621.052313572</c:v>
                </c:pt>
                <c:pt idx="106">
                  <c:v>486058.111260654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655861"/>
        <c:axId val="87808944"/>
      </c:lineChart>
      <c:catAx>
        <c:axId val="806558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7808944"/>
        <c:crosses val="autoZero"/>
        <c:auto val="1"/>
        <c:lblAlgn val="ctr"/>
        <c:lblOffset val="100"/>
        <c:noMultiLvlLbl val="0"/>
      </c:catAx>
      <c:valAx>
        <c:axId val="878089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15]#\ 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065586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10800</xdr:colOff>
      <xdr:row>109</xdr:row>
      <xdr:rowOff>0</xdr:rowOff>
    </xdr:from>
    <xdr:to>
      <xdr:col>19</xdr:col>
      <xdr:colOff>219600</xdr:colOff>
      <xdr:row>141</xdr:row>
      <xdr:rowOff>21240</xdr:rowOff>
    </xdr:to>
    <xdr:graphicFrame>
      <xdr:nvGraphicFramePr>
        <xdr:cNvPr id="0" name="Wykres 1"/>
        <xdr:cNvGraphicFramePr/>
      </xdr:nvGraphicFramePr>
      <xdr:xfrm>
        <a:off x="415800" y="20764440"/>
        <a:ext cx="14992920" cy="611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58680</xdr:colOff>
      <xdr:row>0</xdr:row>
      <xdr:rowOff>0</xdr:rowOff>
    </xdr:from>
    <xdr:to>
      <xdr:col>25</xdr:col>
      <xdr:colOff>473760</xdr:colOff>
      <xdr:row>26</xdr:row>
      <xdr:rowOff>137880</xdr:rowOff>
    </xdr:to>
    <xdr:graphicFrame>
      <xdr:nvGraphicFramePr>
        <xdr:cNvPr id="1" name="Wykres 1"/>
        <xdr:cNvGraphicFramePr/>
      </xdr:nvGraphicFramePr>
      <xdr:xfrm>
        <a:off x="9037080" y="0"/>
        <a:ext cx="7891560" cy="509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26280</xdr:colOff>
      <xdr:row>3</xdr:row>
      <xdr:rowOff>32040</xdr:rowOff>
    </xdr:from>
    <xdr:to>
      <xdr:col>13</xdr:col>
      <xdr:colOff>790560</xdr:colOff>
      <xdr:row>31</xdr:row>
      <xdr:rowOff>48960</xdr:rowOff>
    </xdr:to>
    <xdr:graphicFrame>
      <xdr:nvGraphicFramePr>
        <xdr:cNvPr id="2" name="Wykres 1"/>
        <xdr:cNvGraphicFramePr/>
      </xdr:nvGraphicFramePr>
      <xdr:xfrm>
        <a:off x="2679840" y="603720"/>
        <a:ext cx="8094960" cy="535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5400</xdr:colOff>
      <xdr:row>1</xdr:row>
      <xdr:rowOff>360</xdr:rowOff>
    </xdr:from>
    <xdr:to>
      <xdr:col>6</xdr:col>
      <xdr:colOff>222840</xdr:colOff>
      <xdr:row>1</xdr:row>
      <xdr:rowOff>167760</xdr:rowOff>
    </xdr:to>
    <xdr:pic>
      <xdr:nvPicPr>
        <xdr:cNvPr id="3" name="Obraz 1" descr=""/>
        <xdr:cNvPicPr/>
      </xdr:nvPicPr>
      <xdr:blipFill>
        <a:blip r:embed="rId1"/>
        <a:stretch/>
      </xdr:blipFill>
      <xdr:spPr>
        <a:xfrm>
          <a:off x="4863240" y="190800"/>
          <a:ext cx="217440" cy="16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245880</xdr:colOff>
      <xdr:row>9</xdr:row>
      <xdr:rowOff>173520</xdr:rowOff>
    </xdr:to>
    <xdr:pic>
      <xdr:nvPicPr>
        <xdr:cNvPr id="4" name="Obraz 6" descr=""/>
        <xdr:cNvPicPr/>
      </xdr:nvPicPr>
      <xdr:blipFill>
        <a:blip r:embed="rId2"/>
        <a:stretch/>
      </xdr:blipFill>
      <xdr:spPr>
        <a:xfrm>
          <a:off x="4857840" y="1714680"/>
          <a:ext cx="245880" cy="17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176400</xdr:colOff>
      <xdr:row>9</xdr:row>
      <xdr:rowOff>56520</xdr:rowOff>
    </xdr:to>
    <xdr:pic>
      <xdr:nvPicPr>
        <xdr:cNvPr id="5" name="Obraz 7" descr=""/>
        <xdr:cNvPicPr/>
      </xdr:nvPicPr>
      <xdr:blipFill>
        <a:blip r:embed="rId3"/>
        <a:stretch/>
      </xdr:blipFill>
      <xdr:spPr>
        <a:xfrm>
          <a:off x="4857840" y="1523880"/>
          <a:ext cx="17640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255960</xdr:colOff>
      <xdr:row>6</xdr:row>
      <xdr:rowOff>56520</xdr:rowOff>
    </xdr:to>
    <xdr:pic>
      <xdr:nvPicPr>
        <xdr:cNvPr id="6" name="Obraz 8" descr=""/>
        <xdr:cNvPicPr/>
      </xdr:nvPicPr>
      <xdr:blipFill>
        <a:blip r:embed="rId4"/>
        <a:stretch/>
      </xdr:blipFill>
      <xdr:spPr>
        <a:xfrm>
          <a:off x="4857840" y="952560"/>
          <a:ext cx="255960" cy="24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226080</xdr:colOff>
      <xdr:row>23</xdr:row>
      <xdr:rowOff>56520</xdr:rowOff>
    </xdr:to>
    <xdr:pic>
      <xdr:nvPicPr>
        <xdr:cNvPr id="7" name="Obraz 9" descr=""/>
        <xdr:cNvPicPr/>
      </xdr:nvPicPr>
      <xdr:blipFill>
        <a:blip r:embed="rId5"/>
        <a:stretch/>
      </xdr:blipFill>
      <xdr:spPr>
        <a:xfrm>
          <a:off x="4857840" y="4191120"/>
          <a:ext cx="226080" cy="246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20" activeCellId="0" sqref="I20"/>
    </sheetView>
  </sheetViews>
  <sheetFormatPr defaultColWidth="8.8554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5.85"/>
    <col collapsed="false" customWidth="true" hidden="false" outlineLevel="0" max="3" min="3" style="1" width="8"/>
    <col collapsed="false" customWidth="true" hidden="false" outlineLevel="0" max="4" min="4" style="1" width="10.57"/>
    <col collapsed="false" customWidth="true" hidden="false" outlineLevel="0" max="5" min="5" style="1" width="13.85"/>
    <col collapsed="false" customWidth="true" hidden="false" outlineLevel="0" max="6" min="6" style="1" width="22.57"/>
    <col collapsed="false" customWidth="true" hidden="false" outlineLevel="0" max="7" min="7" style="1" width="10.28"/>
    <col collapsed="false" customWidth="true" hidden="false" outlineLevel="0" max="8" min="8" style="2" width="15.85"/>
    <col collapsed="false" customWidth="true" hidden="false" outlineLevel="0" max="9" min="9" style="1" width="23.14"/>
    <col collapsed="false" customWidth="true" hidden="false" outlineLevel="0" max="10" min="10" style="3" width="24.57"/>
    <col collapsed="false" customWidth="true" hidden="false" outlineLevel="0" max="11" min="11" style="4" width="16.85"/>
    <col collapsed="false" customWidth="true" hidden="false" outlineLevel="0" max="12" min="12" style="1" width="6.42"/>
    <col collapsed="false" customWidth="true" hidden="false" outlineLevel="0" max="13" min="13" style="1" width="19.85"/>
    <col collapsed="false" customWidth="true" hidden="false" outlineLevel="0" max="14" min="14" style="0" width="13"/>
    <col collapsed="false" customWidth="false" hidden="false" outlineLevel="0" max="26" min="15" style="1" width="8.85"/>
    <col collapsed="false" customWidth="true" hidden="false" outlineLevel="0" max="27" min="27" style="1" width="11.14"/>
    <col collapsed="false" customWidth="true" hidden="false" outlineLevel="0" max="28" min="28" style="1" width="9.42"/>
    <col collapsed="false" customWidth="false" hidden="false" outlineLevel="0" max="16384" min="29" style="1" width="8.85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 t="s">
        <v>7</v>
      </c>
      <c r="I1" s="5" t="s">
        <v>8</v>
      </c>
      <c r="J1" s="6" t="s">
        <v>9</v>
      </c>
      <c r="K1" s="7" t="s">
        <v>10</v>
      </c>
      <c r="L1" s="5" t="s">
        <v>0</v>
      </c>
      <c r="M1" s="3" t="s">
        <v>11</v>
      </c>
    </row>
    <row r="2" customFormat="false" ht="15" hidden="false" customHeight="false" outlineLevel="0" collapsed="false">
      <c r="A2" s="5" t="n">
        <v>1830</v>
      </c>
      <c r="B2" s="8" t="n">
        <v>0.0098</v>
      </c>
      <c r="C2" s="8" t="n">
        <v>0.0041</v>
      </c>
      <c r="D2" s="8" t="n">
        <v>0.1</v>
      </c>
      <c r="E2" s="5" t="s">
        <v>12</v>
      </c>
      <c r="F2" s="9" t="n">
        <f aca="false">(MIN(B2,0.02)*150)+(MIN(C2,0.04)*50)+(MIN(D2,1)*4)+(IF(E2="Great Power",1.5,IF(E2="Secondary Power",1.25,IF(E2="Westernized Nation",1,0))))</f>
        <v>3.575</v>
      </c>
      <c r="G2" s="2" t="n">
        <v>0.3</v>
      </c>
      <c r="H2" s="2" t="n">
        <v>0</v>
      </c>
      <c r="I2" s="9" t="n">
        <f aca="false">F2*(1+H2+G2)</f>
        <v>4.6475</v>
      </c>
      <c r="J2" s="6" t="n">
        <f aca="false">I2*365</f>
        <v>1696.3375</v>
      </c>
      <c r="K2" s="7" t="n">
        <v>244800</v>
      </c>
      <c r="L2" s="5" t="n">
        <v>1830</v>
      </c>
      <c r="M2" s="6" t="n">
        <f aca="false">MAX(K2-J2,0)</f>
        <v>243103.6625</v>
      </c>
    </row>
    <row r="3" customFormat="false" ht="15" hidden="false" customHeight="false" outlineLevel="0" collapsed="false">
      <c r="A3" s="5" t="n">
        <v>1831</v>
      </c>
      <c r="B3" s="8" t="n">
        <v>0.01</v>
      </c>
      <c r="C3" s="8" t="n">
        <v>0.0043</v>
      </c>
      <c r="D3" s="8" t="n">
        <v>0.101714285714286</v>
      </c>
      <c r="E3" s="5" t="s">
        <v>12</v>
      </c>
      <c r="F3" s="9" t="n">
        <f aca="false">(MIN(B3,0.02)*150)+(MIN(C3,0.04)*50)+(MIN(D3,1)*4)+(IF(E3="Great Power",1.5,IF(E3="Secondary Power",1.25,IF(E3="Westernized Nation",1,0))))</f>
        <v>3.62185714285714</v>
      </c>
      <c r="G3" s="2" t="n">
        <f aca="false">MIN(G2+(4*2/90/100*12),1)</f>
        <v>0.310666666666667</v>
      </c>
      <c r="H3" s="2" t="n">
        <v>0</v>
      </c>
      <c r="I3" s="9" t="n">
        <f aca="false">F3*(1+H3+G3)</f>
        <v>4.74704742857143</v>
      </c>
      <c r="J3" s="6" t="n">
        <f aca="false">I3*365</f>
        <v>1732.67231142857</v>
      </c>
      <c r="K3" s="7"/>
      <c r="L3" s="5" t="n">
        <v>1831</v>
      </c>
      <c r="M3" s="6" t="n">
        <f aca="false">MAX((M2+K3-J3)*0.994,0)</f>
        <v>239922.76424744</v>
      </c>
    </row>
    <row r="4" customFormat="false" ht="15" hidden="false" customHeight="false" outlineLevel="0" collapsed="false">
      <c r="A4" s="5" t="n">
        <v>1832</v>
      </c>
      <c r="B4" s="8" t="n">
        <v>0.0108</v>
      </c>
      <c r="C4" s="8" t="n">
        <v>0.0045</v>
      </c>
      <c r="D4" s="8" t="n">
        <v>0.1036</v>
      </c>
      <c r="E4" s="5" t="s">
        <v>12</v>
      </c>
      <c r="F4" s="9" t="n">
        <f aca="false">(MIN(B4,0.02)*150)+(MIN(C4,0.04)*50)+(MIN(D4,1)*4)+(IF(E4="Great Power",1.5,IF(E4="Secondary Power",1.25,IF(E4="Westernized Nation",1,0))))</f>
        <v>3.7594</v>
      </c>
      <c r="G4" s="2" t="n">
        <f aca="false">MIN(G3+(4*2/90/100*12),1)</f>
        <v>0.321333333333333</v>
      </c>
      <c r="H4" s="2" t="n">
        <v>0</v>
      </c>
      <c r="I4" s="9" t="n">
        <f aca="false">F4*(1+H4+G4)</f>
        <v>4.96742053333333</v>
      </c>
      <c r="J4" s="6" t="n">
        <f aca="false">I4*365</f>
        <v>1813.10849466667</v>
      </c>
      <c r="K4" s="7"/>
      <c r="L4" s="5" t="n">
        <v>1832</v>
      </c>
      <c r="M4" s="6" t="n">
        <f aca="false">MAX((M3+K4-J4)*0.994,0)</f>
        <v>236680.997818257</v>
      </c>
    </row>
    <row r="5" customFormat="false" ht="15" hidden="false" customHeight="false" outlineLevel="0" collapsed="false">
      <c r="A5" s="5" t="n">
        <v>1833</v>
      </c>
      <c r="B5" s="8" t="n">
        <v>0.0116</v>
      </c>
      <c r="C5" s="8" t="n">
        <v>0.0047</v>
      </c>
      <c r="D5" s="8" t="n">
        <v>0.105657142857143</v>
      </c>
      <c r="E5" s="5" t="s">
        <v>12</v>
      </c>
      <c r="F5" s="9" t="n">
        <f aca="false">(MIN(B5,0.02)*150)+(MIN(C5,0.04)*50)+(MIN(D5,1)*4)+(IF(E5="Great Power",1.5,IF(E5="Secondary Power",1.25,IF(E5="Westernized Nation",1,0))))</f>
        <v>3.89762857142857</v>
      </c>
      <c r="G5" s="2" t="n">
        <f aca="false">MIN(G4+(4*2/90/100*12),1)</f>
        <v>0.332</v>
      </c>
      <c r="H5" s="2" t="n">
        <v>0</v>
      </c>
      <c r="I5" s="9" t="n">
        <f aca="false">F5*(1+H5+G5)</f>
        <v>5.19164125714286</v>
      </c>
      <c r="J5" s="6" t="n">
        <f aca="false">I5*365</f>
        <v>1894.94905885714</v>
      </c>
      <c r="K5" s="7"/>
      <c r="L5" s="5" t="n">
        <v>1833</v>
      </c>
      <c r="M5" s="6" t="n">
        <f aca="false">MAX((M4+K5-J5)*0.994,0)</f>
        <v>233377.332466843</v>
      </c>
    </row>
    <row r="6" customFormat="false" ht="15" hidden="false" customHeight="false" outlineLevel="0" collapsed="false">
      <c r="A6" s="5" t="n">
        <v>1834</v>
      </c>
      <c r="B6" s="8" t="n">
        <v>0.0124</v>
      </c>
      <c r="C6" s="8" t="n">
        <v>0.0049</v>
      </c>
      <c r="D6" s="8" t="n">
        <v>0.107885714285714</v>
      </c>
      <c r="E6" s="5" t="s">
        <v>12</v>
      </c>
      <c r="F6" s="9" t="n">
        <f aca="false">(MIN(B6,0.02)*150)+(MIN(C6,0.04)*50)+(MIN(D6,1)*4)+(IF(E6="Great Power",1.5,IF(E6="Secondary Power",1.25,IF(E6="Westernized Nation",1,0))))</f>
        <v>4.03654285714286</v>
      </c>
      <c r="G6" s="2" t="n">
        <f aca="false">MIN(G5+(4*2/90/100*12),1)</f>
        <v>0.342666666666667</v>
      </c>
      <c r="H6" s="2" t="n">
        <v>0</v>
      </c>
      <c r="I6" s="9" t="n">
        <f aca="false">F6*(1+H6+G6)</f>
        <v>5.41973154285714</v>
      </c>
      <c r="J6" s="6" t="n">
        <f aca="false">I6*365</f>
        <v>1978.20201314286</v>
      </c>
      <c r="K6" s="7"/>
      <c r="L6" s="5" t="n">
        <v>1834</v>
      </c>
      <c r="M6" s="6" t="n">
        <f aca="false">MAX((M5+K6-J6)*0.994,0)</f>
        <v>230010.735670978</v>
      </c>
    </row>
    <row r="7" customFormat="false" ht="15" hidden="false" customHeight="false" outlineLevel="0" collapsed="false">
      <c r="A7" s="5" t="n">
        <v>1835</v>
      </c>
      <c r="B7" s="8" t="n">
        <v>0.0132</v>
      </c>
      <c r="C7" s="8" t="n">
        <v>0.0051</v>
      </c>
      <c r="D7" s="8" t="n">
        <v>0.110285714285714</v>
      </c>
      <c r="E7" s="5" t="s">
        <v>12</v>
      </c>
      <c r="F7" s="9" t="n">
        <f aca="false">(MIN(B7,0.02)*150)+(MIN(C7,0.04)*50)+(MIN(D7,1)*4)+(IF(E7="Great Power",1.5,IF(E7="Secondary Power",1.25,IF(E7="Westernized Nation",1,0))))</f>
        <v>4.17614285714286</v>
      </c>
      <c r="G7" s="2" t="n">
        <f aca="false">MIN(G6+(4*2/90/100*12),1)</f>
        <v>0.353333333333333</v>
      </c>
      <c r="H7" s="2" t="n">
        <v>0</v>
      </c>
      <c r="I7" s="9" t="n">
        <f aca="false">F7*(1+H7+G7)</f>
        <v>5.65171333333333</v>
      </c>
      <c r="J7" s="6" t="n">
        <f aca="false">I7*365</f>
        <v>2062.87536666667</v>
      </c>
      <c r="K7" s="7"/>
      <c r="L7" s="5" t="n">
        <v>1835</v>
      </c>
      <c r="M7" s="6" t="n">
        <f aca="false">MAX((M6+K7-J7)*0.994,0)</f>
        <v>226580.173142486</v>
      </c>
    </row>
    <row r="8" customFormat="false" ht="15" hidden="false" customHeight="false" outlineLevel="0" collapsed="false">
      <c r="A8" s="5" t="n">
        <v>1836</v>
      </c>
      <c r="B8" s="8" t="n">
        <v>0.014</v>
      </c>
      <c r="C8" s="8" t="n">
        <v>0.0053</v>
      </c>
      <c r="D8" s="8" t="n">
        <v>0.112857142857143</v>
      </c>
      <c r="E8" s="5" t="s">
        <v>12</v>
      </c>
      <c r="F8" s="9" t="n">
        <f aca="false">(MIN(B8,0.02)*150)+(MIN(C8,0.04)*50)+(MIN(D8,1)*4)+(IF(E8="Great Power",1.5,IF(E8="Secondary Power",1.25,IF(E8="Westernized Nation",1,0))))</f>
        <v>4.31642857142857</v>
      </c>
      <c r="G8" s="2" t="n">
        <f aca="false">MIN(G7+(4*2/90/100*12),1)</f>
        <v>0.364</v>
      </c>
      <c r="H8" s="2" t="n">
        <v>0</v>
      </c>
      <c r="I8" s="9" t="n">
        <f aca="false">F8*(1+H8+G8)</f>
        <v>5.88760857142857</v>
      </c>
      <c r="J8" s="6" t="n">
        <f aca="false">I8*365</f>
        <v>2148.97712857143</v>
      </c>
      <c r="K8" s="7"/>
      <c r="L8" s="5" t="n">
        <v>1836</v>
      </c>
      <c r="M8" s="6" t="n">
        <f aca="false">MAX((M7+K8-J8)*0.994,0)</f>
        <v>223084.608837831</v>
      </c>
    </row>
    <row r="9" customFormat="false" ht="15" hidden="false" customHeight="false" outlineLevel="0" collapsed="false">
      <c r="A9" s="5" t="n">
        <v>1837</v>
      </c>
      <c r="B9" s="8" t="n">
        <v>0.0148</v>
      </c>
      <c r="C9" s="8" t="n">
        <v>0.0055</v>
      </c>
      <c r="D9" s="8" t="n">
        <v>0.1156</v>
      </c>
      <c r="E9" s="5" t="s">
        <v>12</v>
      </c>
      <c r="F9" s="9" t="n">
        <f aca="false">(MIN(B9,0.02)*150)+(MIN(C9,0.04)*50)+(MIN(D9,1)*4)+(IF(E9="Great Power",1.5,IF(E9="Secondary Power",1.25,IF(E9="Westernized Nation",1,0))))</f>
        <v>4.4574</v>
      </c>
      <c r="G9" s="2" t="n">
        <f aca="false">MIN(G8+(4*2/90/100*12),1)</f>
        <v>0.374666666666667</v>
      </c>
      <c r="H9" s="2" t="n">
        <v>0</v>
      </c>
      <c r="I9" s="9" t="n">
        <f aca="false">F9*(1+H9+G9)</f>
        <v>6.1274392</v>
      </c>
      <c r="J9" s="6" t="n">
        <f aca="false">I9*365</f>
        <v>2236.515308</v>
      </c>
      <c r="K9" s="7"/>
      <c r="L9" s="5" t="n">
        <v>1837</v>
      </c>
      <c r="M9" s="6" t="n">
        <f aca="false">MAX((M8+K9-J9)*0.994,0)</f>
        <v>219523.004968652</v>
      </c>
    </row>
    <row r="10" customFormat="false" ht="15" hidden="false" customHeight="false" outlineLevel="0" collapsed="false">
      <c r="A10" s="5" t="n">
        <v>1838</v>
      </c>
      <c r="B10" s="8" t="n">
        <v>0.0156</v>
      </c>
      <c r="C10" s="8" t="n">
        <v>0.0057</v>
      </c>
      <c r="D10" s="8" t="n">
        <v>0.118514285714286</v>
      </c>
      <c r="E10" s="5" t="s">
        <v>12</v>
      </c>
      <c r="F10" s="9" t="n">
        <f aca="false">(MIN(B10,0.02)*150)+(MIN(C10,0.04)*50)+(MIN(D10,1)*4)+(IF(E10="Great Power",1.5,IF(E10="Secondary Power",1.25,IF(E10="Westernized Nation",1,0))))</f>
        <v>4.59905714285714</v>
      </c>
      <c r="G10" s="2" t="n">
        <f aca="false">MIN(G9+(4*2/90/100*12),1)</f>
        <v>0.385333333333333</v>
      </c>
      <c r="H10" s="2" t="n">
        <v>0</v>
      </c>
      <c r="I10" s="9" t="n">
        <f aca="false">F10*(1+H10+G10)</f>
        <v>6.37122716190476</v>
      </c>
      <c r="J10" s="6" t="n">
        <f aca="false">I10*365</f>
        <v>2325.49791409524</v>
      </c>
      <c r="K10" s="7"/>
      <c r="L10" s="5" t="n">
        <v>1838</v>
      </c>
      <c r="M10" s="6" t="n">
        <f aca="false">MAX((M9+K10-J10)*0.994,0)</f>
        <v>215894.322012229</v>
      </c>
    </row>
    <row r="11" customFormat="false" ht="15" hidden="false" customHeight="false" outlineLevel="0" collapsed="false">
      <c r="A11" s="5" t="n">
        <v>1839</v>
      </c>
      <c r="B11" s="8" t="n">
        <v>0.0164</v>
      </c>
      <c r="C11" s="8" t="n">
        <v>0.0059</v>
      </c>
      <c r="D11" s="8" t="n">
        <v>0.1216</v>
      </c>
      <c r="E11" s="5" t="s">
        <v>12</v>
      </c>
      <c r="F11" s="9" t="n">
        <f aca="false">(MIN(B11,0.02)*150)+(MIN(C11,0.04)*50)+(MIN(D11,1)*4)+(IF(E11="Great Power",1.5,IF(E11="Secondary Power",1.25,IF(E11="Westernized Nation",1,0))))</f>
        <v>4.7414</v>
      </c>
      <c r="G11" s="2" t="n">
        <f aca="false">MIN(G10+(4*2/90/100*12),1)</f>
        <v>0.396</v>
      </c>
      <c r="H11" s="2" t="n">
        <v>0</v>
      </c>
      <c r="I11" s="9" t="n">
        <f aca="false">F11*(1+H11+G11)</f>
        <v>6.6189944</v>
      </c>
      <c r="J11" s="6" t="n">
        <f aca="false">I11*365</f>
        <v>2415.932956</v>
      </c>
      <c r="K11" s="7"/>
      <c r="L11" s="5" t="n">
        <v>1839</v>
      </c>
      <c r="M11" s="6" t="n">
        <f aca="false">MAX((M10+K11-J11)*0.994,0)</f>
        <v>212197.518721892</v>
      </c>
    </row>
    <row r="12" customFormat="false" ht="15" hidden="false" customHeight="false" outlineLevel="0" collapsed="false">
      <c r="A12" s="5" t="n">
        <v>1840</v>
      </c>
      <c r="B12" s="8" t="n">
        <v>0.0172</v>
      </c>
      <c r="C12" s="8" t="n">
        <v>0.0061</v>
      </c>
      <c r="D12" s="8" t="n">
        <v>0.124857142857143</v>
      </c>
      <c r="E12" s="5" t="s">
        <v>12</v>
      </c>
      <c r="F12" s="9" t="n">
        <f aca="false">(MIN(B12,0.02)*150)+(MIN(C12,0.04)*50)+(MIN(D12,1)*4)+(IF(E12="Great Power",1.5,IF(E12="Secondary Power",1.25,IF(E12="Westernized Nation",1,0))))</f>
        <v>4.88442857142857</v>
      </c>
      <c r="G12" s="2" t="n">
        <f aca="false">MIN(G11+(4*2/90/100*12),1)</f>
        <v>0.406666666666667</v>
      </c>
      <c r="H12" s="2" t="n">
        <v>0.5</v>
      </c>
      <c r="I12" s="9" t="n">
        <f aca="false">F12*(1+H12+G12)</f>
        <v>9.31297714285714</v>
      </c>
      <c r="J12" s="6" t="n">
        <f aca="false">I12*365</f>
        <v>3399.23665714286</v>
      </c>
      <c r="K12" s="7" t="n">
        <v>32400</v>
      </c>
      <c r="L12" s="5" t="n">
        <v>1840</v>
      </c>
      <c r="M12" s="6" t="n">
        <f aca="false">MAX((M11+K12-J12)*0.994,0)</f>
        <v>239751.09237236</v>
      </c>
    </row>
    <row r="13" customFormat="false" ht="15" hidden="false" customHeight="false" outlineLevel="0" collapsed="false">
      <c r="A13" s="5" t="n">
        <v>1841</v>
      </c>
      <c r="B13" s="8" t="n">
        <v>0.018</v>
      </c>
      <c r="C13" s="8" t="n">
        <v>0.0063</v>
      </c>
      <c r="D13" s="8" t="n">
        <v>0.128285714285714</v>
      </c>
      <c r="E13" s="5" t="s">
        <v>12</v>
      </c>
      <c r="F13" s="9" t="n">
        <f aca="false">(MIN(B13,0.02)*150)+(MIN(C13,0.04)*50)+(MIN(D13,1)*4)+(IF(E13="Great Power",1.5,IF(E13="Secondary Power",1.25,IF(E13="Westernized Nation",1,0))))</f>
        <v>5.02814285714286</v>
      </c>
      <c r="G13" s="2" t="n">
        <f aca="false">MIN(G12+(4*2/90/100*12),1)</f>
        <v>0.417333333333333</v>
      </c>
      <c r="H13" s="2" t="n">
        <v>0.5</v>
      </c>
      <c r="I13" s="9" t="n">
        <f aca="false">F13*(1+H13+G13)</f>
        <v>9.6406259047619</v>
      </c>
      <c r="J13" s="6" t="n">
        <f aca="false">I13*365</f>
        <v>3518.82845523809</v>
      </c>
      <c r="K13" s="7"/>
      <c r="L13" s="5" t="n">
        <v>1841</v>
      </c>
      <c r="M13" s="6" t="n">
        <f aca="false">MAX((M12+K13-J13)*0.994,0)</f>
        <v>234814.87033362</v>
      </c>
    </row>
    <row r="14" customFormat="false" ht="15" hidden="false" customHeight="false" outlineLevel="0" collapsed="false">
      <c r="A14" s="5" t="n">
        <v>1842</v>
      </c>
      <c r="B14" s="8" t="n">
        <v>0.0188</v>
      </c>
      <c r="C14" s="8" t="n">
        <v>0.0065</v>
      </c>
      <c r="D14" s="8" t="n">
        <v>0.131885714285714</v>
      </c>
      <c r="E14" s="5" t="s">
        <v>12</v>
      </c>
      <c r="F14" s="9" t="n">
        <f aca="false">(MIN(B14,0.02)*150)+(MIN(C14,0.04)*50)+(MIN(D14,1)*4)+(IF(E14="Great Power",1.5,IF(E14="Secondary Power",1.25,IF(E14="Westernized Nation",1,0))))</f>
        <v>5.17254285714286</v>
      </c>
      <c r="G14" s="2" t="n">
        <f aca="false">MIN(G13+(4*2/90/100*12),1)</f>
        <v>0.428</v>
      </c>
      <c r="H14" s="2" t="n">
        <v>0.5</v>
      </c>
      <c r="I14" s="9" t="n">
        <f aca="false">F14*(1+H14+G14)</f>
        <v>9.97266262857143</v>
      </c>
      <c r="J14" s="6" t="n">
        <f aca="false">I14*365</f>
        <v>3640.02185942857</v>
      </c>
      <c r="K14" s="7"/>
      <c r="L14" s="5" t="n">
        <v>1842</v>
      </c>
      <c r="M14" s="6" t="n">
        <f aca="false">MAX((M13+K14-J14)*0.994,0)</f>
        <v>229787.799383346</v>
      </c>
    </row>
    <row r="15" customFormat="false" ht="15" hidden="false" customHeight="false" outlineLevel="0" collapsed="false">
      <c r="A15" s="5" t="n">
        <v>1843</v>
      </c>
      <c r="B15" s="8" t="n">
        <v>0.0196</v>
      </c>
      <c r="C15" s="8" t="n">
        <v>0.0067</v>
      </c>
      <c r="D15" s="8" t="n">
        <v>0.135657142857143</v>
      </c>
      <c r="E15" s="5" t="s">
        <v>12</v>
      </c>
      <c r="F15" s="9" t="n">
        <f aca="false">(MIN(B15,0.02)*150)+(MIN(C15,0.04)*50)+(MIN(D15,1)*4)+(IF(E15="Great Power",1.5,IF(E15="Secondary Power",1.25,IF(E15="Westernized Nation",1,0))))</f>
        <v>5.31762857142857</v>
      </c>
      <c r="G15" s="2" t="n">
        <f aca="false">MIN(G14+(4*2/90/100*12),1)</f>
        <v>0.438666666666667</v>
      </c>
      <c r="H15" s="2" t="n">
        <v>1</v>
      </c>
      <c r="I15" s="9" t="n">
        <f aca="false">F15*(1+H15+G15)</f>
        <v>12.9679235428571</v>
      </c>
      <c r="J15" s="6" t="n">
        <f aca="false">I15*365</f>
        <v>4733.29209314286</v>
      </c>
      <c r="K15" s="7"/>
      <c r="L15" s="5" t="n">
        <v>1843</v>
      </c>
      <c r="M15" s="6" t="n">
        <f aca="false">MAX((M14+K15-J15)*0.994,0)</f>
        <v>223704.180246462</v>
      </c>
    </row>
    <row r="16" customFormat="false" ht="15" hidden="false" customHeight="false" outlineLevel="0" collapsed="false">
      <c r="A16" s="5" t="n">
        <v>1844</v>
      </c>
      <c r="B16" s="8" t="n">
        <v>0.0204</v>
      </c>
      <c r="C16" s="8" t="n">
        <v>0.0069</v>
      </c>
      <c r="D16" s="8" t="n">
        <v>0.139876</v>
      </c>
      <c r="E16" s="5" t="s">
        <v>12</v>
      </c>
      <c r="F16" s="9" t="n">
        <f aca="false">(MIN(B16,0.02)*150)+(MIN(C16,0.04)*50)+(MIN(D16,1)*4)+(IF(E16="Great Power",1.5,IF(E16="Secondary Power",1.25,IF(E16="Westernized Nation",1,0))))</f>
        <v>5.404504</v>
      </c>
      <c r="G16" s="2" t="n">
        <f aca="false">MIN(G15+(4*2/90/100*12),1)</f>
        <v>0.449333333333333</v>
      </c>
      <c r="H16" s="2" t="n">
        <v>1</v>
      </c>
      <c r="I16" s="9" t="n">
        <f aca="false">F16*(1+H16+G16)</f>
        <v>13.2374317973333</v>
      </c>
      <c r="J16" s="6" t="n">
        <f aca="false">I16*365</f>
        <v>4831.66260602667</v>
      </c>
      <c r="K16" s="7"/>
      <c r="L16" s="5" t="n">
        <v>1844</v>
      </c>
      <c r="M16" s="6" t="n">
        <f aca="false">MAX((M15+K16-J16)*0.994,0)</f>
        <v>217559.282534592</v>
      </c>
    </row>
    <row r="17" customFormat="false" ht="15" hidden="false" customHeight="false" outlineLevel="0" collapsed="false">
      <c r="A17" s="5" t="n">
        <v>1845</v>
      </c>
      <c r="B17" s="8" t="n">
        <v>0.0212</v>
      </c>
      <c r="C17" s="8" t="n">
        <v>0.0071</v>
      </c>
      <c r="D17" s="8" t="n">
        <v>0.144689714285714</v>
      </c>
      <c r="E17" s="5" t="s">
        <v>12</v>
      </c>
      <c r="F17" s="9" t="n">
        <f aca="false">(MIN(B17,0.02)*150)+(MIN(C17,0.04)*50)+(MIN(D17,1)*4)+(IF(E17="Great Power",1.5,IF(E17="Secondary Power",1.25,IF(E17="Westernized Nation",1,0))))</f>
        <v>5.43375885714286</v>
      </c>
      <c r="G17" s="2" t="n">
        <f aca="false">MIN(G16+(4*2/90/100*12),1)</f>
        <v>0.46</v>
      </c>
      <c r="H17" s="2" t="n">
        <v>1</v>
      </c>
      <c r="I17" s="9" t="n">
        <f aca="false">F17*(1+H17+G17)</f>
        <v>13.3670467885714</v>
      </c>
      <c r="J17" s="6" t="n">
        <f aca="false">I17*365</f>
        <v>4878.97207782857</v>
      </c>
      <c r="K17" s="7"/>
      <c r="L17" s="5" t="n">
        <v>1845</v>
      </c>
      <c r="M17" s="6" t="n">
        <f aca="false">MAX((M16+K17-J17)*0.994,0)</f>
        <v>211404.228594023</v>
      </c>
    </row>
    <row r="18" customFormat="false" ht="15" hidden="false" customHeight="false" outlineLevel="0" collapsed="false">
      <c r="A18" s="5" t="n">
        <v>1846</v>
      </c>
      <c r="B18" s="8" t="n">
        <v>0.022</v>
      </c>
      <c r="C18" s="8" t="n">
        <v>0.0073</v>
      </c>
      <c r="D18" s="8" t="n">
        <v>0.149704</v>
      </c>
      <c r="E18" s="5" t="s">
        <v>12</v>
      </c>
      <c r="F18" s="9" t="n">
        <f aca="false">(MIN(B18,0.02)*150)+(MIN(C18,0.04)*50)+(MIN(D18,1)*4)+(IF(E18="Great Power",1.5,IF(E18="Secondary Power",1.25,IF(E18="Westernized Nation",1,0))))</f>
        <v>5.463816</v>
      </c>
      <c r="G18" s="2" t="n">
        <f aca="false">MIN(G17+(4*2/90/100*12),1)</f>
        <v>0.470666666666667</v>
      </c>
      <c r="H18" s="2" t="n">
        <v>1</v>
      </c>
      <c r="I18" s="9" t="n">
        <f aca="false">F18*(1+H18+G18)</f>
        <v>13.499268064</v>
      </c>
      <c r="J18" s="6" t="n">
        <f aca="false">I18*365</f>
        <v>4927.23284336</v>
      </c>
      <c r="K18" s="7"/>
      <c r="L18" s="5" t="n">
        <v>1846</v>
      </c>
      <c r="M18" s="6" t="n">
        <f aca="false">MAX((M17+K18-J18)*0.994,0)</f>
        <v>205238.133776159</v>
      </c>
    </row>
    <row r="19" customFormat="false" ht="15" hidden="false" customHeight="false" outlineLevel="0" collapsed="false">
      <c r="A19" s="5" t="n">
        <v>1847</v>
      </c>
      <c r="B19" s="8" t="n">
        <v>0.0228</v>
      </c>
      <c r="C19" s="8" t="n">
        <v>0.0075</v>
      </c>
      <c r="D19" s="8" t="n">
        <v>0.154918857142857</v>
      </c>
      <c r="E19" s="5" t="s">
        <v>12</v>
      </c>
      <c r="F19" s="9" t="n">
        <f aca="false">(MIN(B19,0.02)*150)+(MIN(C19,0.04)*50)+(MIN(D19,1)*4)+(IF(E19="Great Power",1.5,IF(E19="Secondary Power",1.25,IF(E19="Westernized Nation",1,0))))</f>
        <v>5.49467542857143</v>
      </c>
      <c r="G19" s="2" t="n">
        <f aca="false">MIN(G18+(4*2/90/100*12),1)</f>
        <v>0.481333333333333</v>
      </c>
      <c r="H19" s="2" t="n">
        <v>1</v>
      </c>
      <c r="I19" s="9" t="n">
        <f aca="false">F19*(1+H19+G19)</f>
        <v>13.6341212967619</v>
      </c>
      <c r="J19" s="6" t="n">
        <f aca="false">I19*365</f>
        <v>4976.45427331809</v>
      </c>
      <c r="K19" s="7"/>
      <c r="L19" s="5" t="n">
        <v>1847</v>
      </c>
      <c r="M19" s="6" t="n">
        <f aca="false">MAX((M18+K19-J19)*0.994,0)</f>
        <v>199060.109425824</v>
      </c>
    </row>
    <row r="20" customFormat="false" ht="15" hidden="false" customHeight="false" outlineLevel="0" collapsed="false">
      <c r="A20" s="5" t="n">
        <v>1848</v>
      </c>
      <c r="B20" s="8" t="n">
        <v>0.0236</v>
      </c>
      <c r="C20" s="8" t="n">
        <v>0.0077</v>
      </c>
      <c r="D20" s="8" t="n">
        <v>0.160334285714286</v>
      </c>
      <c r="E20" s="5" t="s">
        <v>12</v>
      </c>
      <c r="F20" s="9" t="n">
        <f aca="false">(MIN(B20,0.02)*150)+(MIN(C20,0.04)*50)+(MIN(D20,1)*4)+(IF(E20="Great Power",1.5,IF(E20="Secondary Power",1.25,IF(E20="Westernized Nation",1,0))))</f>
        <v>5.52633714285714</v>
      </c>
      <c r="G20" s="2" t="n">
        <f aca="false">MIN(G19+(4*2/90/100*12),1)</f>
        <v>0.492</v>
      </c>
      <c r="H20" s="2" t="n">
        <v>1</v>
      </c>
      <c r="I20" s="9" t="n">
        <f aca="false">F20*(1+H20+G20)</f>
        <v>13.77163216</v>
      </c>
      <c r="J20" s="6" t="n">
        <f aca="false">I20*365</f>
        <v>5026.6457384</v>
      </c>
      <c r="K20" s="7" t="n">
        <v>10800</v>
      </c>
      <c r="L20" s="5" t="n">
        <v>1848</v>
      </c>
      <c r="M20" s="6" t="n">
        <f aca="false">MAX((M19+K20-J20)*0.994,0)</f>
        <v>203604.4629053</v>
      </c>
    </row>
    <row r="21" customFormat="false" ht="15" hidden="false" customHeight="false" outlineLevel="0" collapsed="false">
      <c r="A21" s="5" t="n">
        <v>1849</v>
      </c>
      <c r="B21" s="8" t="n">
        <v>0.0244</v>
      </c>
      <c r="C21" s="8" t="n">
        <v>0.0079</v>
      </c>
      <c r="D21" s="8" t="n">
        <v>0.165950285714286</v>
      </c>
      <c r="E21" s="5" t="s">
        <v>12</v>
      </c>
      <c r="F21" s="9" t="n">
        <f aca="false">(MIN(B21,0.02)*150)+(MIN(C21,0.04)*50)+(MIN(D21,1)*4)+(IF(E21="Great Power",1.5,IF(E21="Secondary Power",1.25,IF(E21="Westernized Nation",1,0))))</f>
        <v>5.55880114285714</v>
      </c>
      <c r="G21" s="2" t="n">
        <f aca="false">MIN(G20+(4*2/90/100*12),1)</f>
        <v>0.502666666666667</v>
      </c>
      <c r="H21" s="2" t="n">
        <v>1</v>
      </c>
      <c r="I21" s="9" t="n">
        <f aca="false">F21*(1+H21+G21)</f>
        <v>13.9118263268571</v>
      </c>
      <c r="J21" s="6" t="n">
        <f aca="false">I21*365</f>
        <v>5077.81660930286</v>
      </c>
      <c r="K21" s="7"/>
      <c r="L21" s="5" t="n">
        <v>1849</v>
      </c>
      <c r="M21" s="6" t="n">
        <f aca="false">MAX((M20+K21-J21)*0.994,0)</f>
        <v>197335.486418221</v>
      </c>
    </row>
    <row r="22" customFormat="false" ht="15" hidden="false" customHeight="false" outlineLevel="0" collapsed="false">
      <c r="A22" s="5" t="n">
        <v>1850</v>
      </c>
      <c r="B22" s="8" t="n">
        <v>0.0252</v>
      </c>
      <c r="C22" s="8" t="n">
        <v>0.0081</v>
      </c>
      <c r="D22" s="8" t="n">
        <v>0.171766857142857</v>
      </c>
      <c r="E22" s="5" t="s">
        <v>12</v>
      </c>
      <c r="F22" s="9" t="n">
        <f aca="false">(MIN(B22,0.02)*150)+(MIN(C22,0.04)*50)+(MIN(D22,1)*4)+(IF(E22="Great Power",1.5,IF(E22="Secondary Power",1.25,IF(E22="Westernized Nation",1,0))))</f>
        <v>5.59206742857143</v>
      </c>
      <c r="G22" s="2" t="n">
        <f aca="false">MIN(G21+(4*2/90/100*12),1)</f>
        <v>0.513333333333333</v>
      </c>
      <c r="H22" s="2" t="n">
        <v>1</v>
      </c>
      <c r="I22" s="9" t="n">
        <f aca="false">F22*(1+H22+G22)</f>
        <v>14.0547294704762</v>
      </c>
      <c r="J22" s="6" t="n">
        <f aca="false">I22*365</f>
        <v>5129.97625672381</v>
      </c>
      <c r="K22" s="7" t="n">
        <v>259200</v>
      </c>
      <c r="L22" s="5" t="n">
        <v>1850</v>
      </c>
      <c r="M22" s="6" t="n">
        <f aca="false">MAX((M21+K22-J22)*0.994,0)</f>
        <v>448697.077100528</v>
      </c>
    </row>
    <row r="23" customFormat="false" ht="15" hidden="false" customHeight="false" outlineLevel="0" collapsed="false">
      <c r="A23" s="5" t="n">
        <v>1851</v>
      </c>
      <c r="B23" s="8" t="n">
        <v>0.026</v>
      </c>
      <c r="C23" s="8" t="n">
        <v>0.0083</v>
      </c>
      <c r="D23" s="8" t="n">
        <v>0.177784</v>
      </c>
      <c r="E23" s="5" t="s">
        <v>12</v>
      </c>
      <c r="F23" s="9" t="n">
        <f aca="false">(MIN(B23,0.02)*150)+(MIN(C23,0.04)*50)+(MIN(D23,1)*4)+(IF(E23="Great Power",1.5,IF(E23="Secondary Power",1.25,IF(E23="Westernized Nation",1,0))))</f>
        <v>5.626136</v>
      </c>
      <c r="G23" s="2" t="n">
        <f aca="false">MIN(G22+(4*2/90/100*12),1)</f>
        <v>0.524</v>
      </c>
      <c r="H23" s="2" t="n">
        <v>1</v>
      </c>
      <c r="I23" s="9" t="n">
        <f aca="false">F23*(1+H23+G23)</f>
        <v>14.200367264</v>
      </c>
      <c r="J23" s="6" t="n">
        <f aca="false">I23*365</f>
        <v>5183.13405136</v>
      </c>
      <c r="K23" s="7"/>
      <c r="L23" s="5" t="n">
        <v>1851</v>
      </c>
      <c r="M23" s="6" t="n">
        <f aca="false">MAX((M22+K23-J23)*0.994,0)</f>
        <v>440852.859390873</v>
      </c>
    </row>
    <row r="24" customFormat="false" ht="15" hidden="false" customHeight="false" outlineLevel="0" collapsed="false">
      <c r="A24" s="5" t="n">
        <v>1852</v>
      </c>
      <c r="B24" s="8" t="n">
        <v>0.0268</v>
      </c>
      <c r="C24" s="8" t="n">
        <v>0.0085</v>
      </c>
      <c r="D24" s="8" t="n">
        <v>0.184533142857143</v>
      </c>
      <c r="E24" s="5" t="s">
        <v>12</v>
      </c>
      <c r="F24" s="9" t="n">
        <f aca="false">(MIN(B24,0.02)*150)+(MIN(C24,0.04)*50)+(MIN(D24,1)*4)+(IF(E24="Great Power",1.5,IF(E24="Secondary Power",1.25,IF(E24="Westernized Nation",1,0))))</f>
        <v>5.66313257142857</v>
      </c>
      <c r="G24" s="2" t="n">
        <f aca="false">MIN(G23+(4*2/90/100*12),1)</f>
        <v>0.534666666666667</v>
      </c>
      <c r="H24" s="2" t="n">
        <v>1</v>
      </c>
      <c r="I24" s="9" t="n">
        <f aca="false">F24*(1+H24+G24)</f>
        <v>14.3541533577143</v>
      </c>
      <c r="J24" s="6" t="n">
        <f aca="false">I24*365</f>
        <v>5239.26597556571</v>
      </c>
      <c r="K24" s="7"/>
      <c r="L24" s="5" t="n">
        <v>1852</v>
      </c>
      <c r="M24" s="6" t="n">
        <f aca="false">MAX((M23+K24-J24)*0.994,0)</f>
        <v>432999.911854815</v>
      </c>
    </row>
    <row r="25" customFormat="false" ht="15" hidden="false" customHeight="false" outlineLevel="0" collapsed="false">
      <c r="A25" s="5" t="n">
        <v>1853</v>
      </c>
      <c r="B25" s="8" t="n">
        <v>0.0276</v>
      </c>
      <c r="C25" s="8" t="n">
        <v>0.0087</v>
      </c>
      <c r="D25" s="8" t="n">
        <v>0.1915</v>
      </c>
      <c r="E25" s="5" t="s">
        <v>12</v>
      </c>
      <c r="F25" s="9" t="n">
        <f aca="false">(MIN(B25,0.02)*150)+(MIN(C25,0.04)*50)+(MIN(D25,1)*4)+(IF(E25="Great Power",1.5,IF(E25="Secondary Power",1.25,IF(E25="Westernized Nation",1,0))))</f>
        <v>5.701</v>
      </c>
      <c r="G25" s="2" t="n">
        <f aca="false">MIN(G24+(4*2/90/100*12),1)</f>
        <v>0.545333333333333</v>
      </c>
      <c r="H25" s="2" t="n">
        <v>1</v>
      </c>
      <c r="I25" s="9" t="n">
        <f aca="false">F25*(1+H25+G25)</f>
        <v>14.5109453333333</v>
      </c>
      <c r="J25" s="6" t="n">
        <f aca="false">I25*365</f>
        <v>5296.49504666667</v>
      </c>
      <c r="K25" s="7"/>
      <c r="L25" s="5" t="n">
        <v>1853</v>
      </c>
      <c r="M25" s="6" t="n">
        <f aca="false">MAX((M24+K25-J25)*0.994,0)</f>
        <v>425137.1963073</v>
      </c>
    </row>
    <row r="26" customFormat="false" ht="15" hidden="false" customHeight="false" outlineLevel="0" collapsed="false">
      <c r="A26" s="5" t="n">
        <v>1854</v>
      </c>
      <c r="B26" s="8" t="n">
        <v>0.0284</v>
      </c>
      <c r="C26" s="8" t="n">
        <v>0.0089</v>
      </c>
      <c r="D26" s="8" t="n">
        <v>0.199250285714286</v>
      </c>
      <c r="E26" s="5" t="s">
        <v>12</v>
      </c>
      <c r="F26" s="9" t="n">
        <f aca="false">(MIN(B26,0.02)*150)+(MIN(C26,0.04)*50)+(MIN(D26,1)*4)+(IF(E26="Great Power",1.5,IF(E26="Secondary Power",1.25,IF(E26="Westernized Nation",1,0))))</f>
        <v>5.74200114285714</v>
      </c>
      <c r="G26" s="2" t="n">
        <f aca="false">MIN(G25+(4*2/90/100*12),1)</f>
        <v>0.556</v>
      </c>
      <c r="H26" s="2" t="n">
        <v>1</v>
      </c>
      <c r="I26" s="9" t="n">
        <f aca="false">F26*(1+H26+G26)</f>
        <v>14.6765549211429</v>
      </c>
      <c r="J26" s="6" t="n">
        <f aca="false">I26*365</f>
        <v>5356.94254621714</v>
      </c>
      <c r="K26" s="7"/>
      <c r="L26" s="5" t="n">
        <v>1854</v>
      </c>
      <c r="M26" s="6" t="n">
        <f aca="false">MAX((M25+K26-J26)*0.994,0)</f>
        <v>417261.572238516</v>
      </c>
    </row>
    <row r="27" customFormat="false" ht="15" hidden="false" customHeight="false" outlineLevel="0" collapsed="false">
      <c r="A27" s="5" t="n">
        <v>1855</v>
      </c>
      <c r="B27" s="8" t="n">
        <v>0.0292</v>
      </c>
      <c r="C27" s="8" t="n">
        <v>0.0091</v>
      </c>
      <c r="D27" s="8" t="n">
        <v>0.207235428571429</v>
      </c>
      <c r="E27" s="5" t="s">
        <v>12</v>
      </c>
      <c r="F27" s="9" t="n">
        <f aca="false">(MIN(B27,0.02)*150)+(MIN(C27,0.04)*50)+(MIN(D27,1)*4)+(IF(E27="Great Power",1.5,IF(E27="Secondary Power",1.25,IF(E27="Westernized Nation",1,0))))</f>
        <v>5.78394171428572</v>
      </c>
      <c r="G27" s="2" t="n">
        <f aca="false">MIN(G26+(4*2/90/100*12),1)</f>
        <v>0.566666666666667</v>
      </c>
      <c r="H27" s="2" t="n">
        <v>1</v>
      </c>
      <c r="I27" s="9" t="n">
        <f aca="false">F27*(1+H27+G27)</f>
        <v>14.8454504</v>
      </c>
      <c r="J27" s="6" t="n">
        <f aca="false">I27*365</f>
        <v>5418.589396</v>
      </c>
      <c r="K27" s="7" t="n">
        <v>21600</v>
      </c>
      <c r="L27" s="5" t="n">
        <v>1855</v>
      </c>
      <c r="M27" s="6" t="n">
        <f aca="false">MAX((M26+K27-J27)*0.994,0)</f>
        <v>430842.324945461</v>
      </c>
    </row>
    <row r="28" customFormat="false" ht="15" hidden="false" customHeight="false" outlineLevel="0" collapsed="false">
      <c r="A28" s="5" t="n">
        <v>1856</v>
      </c>
      <c r="B28" s="8" t="n">
        <v>0.03</v>
      </c>
      <c r="C28" s="8" t="n">
        <v>0.0093</v>
      </c>
      <c r="D28" s="8" t="n">
        <v>0.215755428571429</v>
      </c>
      <c r="E28" s="5" t="s">
        <v>12</v>
      </c>
      <c r="F28" s="9" t="n">
        <f aca="false">(MIN(B28,0.02)*150)+(MIN(C28,0.04)*50)+(MIN(D28,1)*4)+(IF(E28="Great Power",1.5,IF(E28="Secondary Power",1.25,IF(E28="Westernized Nation",1,0))))</f>
        <v>5.82802171428572</v>
      </c>
      <c r="G28" s="2" t="n">
        <f aca="false">MIN(G27+(4*2/90/100*12),1)</f>
        <v>0.577333333333334</v>
      </c>
      <c r="H28" s="2" t="n">
        <v>1</v>
      </c>
      <c r="I28" s="9" t="n">
        <f aca="false">F28*(1+H28+G28)</f>
        <v>15.0207546316191</v>
      </c>
      <c r="J28" s="6" t="n">
        <f aca="false">I28*365</f>
        <v>5482.57544054095</v>
      </c>
      <c r="K28" s="7"/>
      <c r="L28" s="5" t="n">
        <v>1856</v>
      </c>
      <c r="M28" s="6" t="n">
        <f aca="false">MAX((M27+K28-J28)*0.994,0)</f>
        <v>422807.591007891</v>
      </c>
    </row>
    <row r="29" customFormat="false" ht="15" hidden="false" customHeight="false" outlineLevel="0" collapsed="false">
      <c r="A29" s="5" t="n">
        <v>1857</v>
      </c>
      <c r="B29" s="8" t="n">
        <v>0.0308</v>
      </c>
      <c r="C29" s="8" t="n">
        <v>0.0095</v>
      </c>
      <c r="D29" s="8" t="n">
        <v>0.226370285714286</v>
      </c>
      <c r="E29" s="5" t="s">
        <v>12</v>
      </c>
      <c r="F29" s="9" t="n">
        <f aca="false">(MIN(B29,0.02)*150)+(MIN(C29,0.04)*50)+(MIN(D29,1)*4)+(IF(E29="Great Power",1.5,IF(E29="Secondary Power",1.25,IF(E29="Westernized Nation",1,0))))</f>
        <v>5.88048114285714</v>
      </c>
      <c r="G29" s="2" t="n">
        <f aca="false">MIN(G28+(4*2/90/100*12),1)</f>
        <v>0.588</v>
      </c>
      <c r="H29" s="2" t="n">
        <v>1</v>
      </c>
      <c r="I29" s="9" t="n">
        <f aca="false">F29*(1+H29+G29)</f>
        <v>15.2186851977143</v>
      </c>
      <c r="J29" s="6" t="n">
        <f aca="false">I29*365</f>
        <v>5554.82009716572</v>
      </c>
      <c r="K29" s="7"/>
      <c r="L29" s="5" t="n">
        <v>1857</v>
      </c>
      <c r="M29" s="6" t="n">
        <f aca="false">MAX((M28+K29-J29)*0.994,0)</f>
        <v>414749.254285261</v>
      </c>
    </row>
    <row r="30" customFormat="false" ht="15" hidden="false" customHeight="false" outlineLevel="0" collapsed="false">
      <c r="A30" s="5" t="n">
        <v>1858</v>
      </c>
      <c r="B30" s="8" t="n">
        <v>0.0316</v>
      </c>
      <c r="C30" s="8" t="n">
        <v>0.0097</v>
      </c>
      <c r="D30" s="8" t="n">
        <v>0.23728</v>
      </c>
      <c r="E30" s="5" t="s">
        <v>12</v>
      </c>
      <c r="F30" s="9" t="n">
        <f aca="false">(MIN(B30,0.02)*150)+(MIN(C30,0.04)*50)+(MIN(D30,1)*4)+(IF(E30="Great Power",1.5,IF(E30="Secondary Power",1.25,IF(E30="Westernized Nation",1,0))))</f>
        <v>5.93412</v>
      </c>
      <c r="G30" s="2" t="n">
        <f aca="false">MIN(G29+(4*2/90/100*12),1)</f>
        <v>0.598666666666667</v>
      </c>
      <c r="H30" s="2" t="n">
        <v>1</v>
      </c>
      <c r="I30" s="9" t="n">
        <f aca="false">F30*(1+H30+G30)</f>
        <v>15.42079984</v>
      </c>
      <c r="J30" s="6" t="n">
        <f aca="false">I30*365</f>
        <v>5628.5919416</v>
      </c>
      <c r="K30" s="7"/>
      <c r="L30" s="5" t="n">
        <v>1858</v>
      </c>
      <c r="M30" s="6" t="n">
        <f aca="false">MAX((M29+K30-J30)*0.994,0)</f>
        <v>406665.938369599</v>
      </c>
    </row>
    <row r="31" customFormat="false" ht="15" hidden="false" customHeight="false" outlineLevel="0" collapsed="false">
      <c r="A31" s="5" t="n">
        <v>1859</v>
      </c>
      <c r="B31" s="8" t="n">
        <v>0.0324</v>
      </c>
      <c r="C31" s="8" t="n">
        <v>0.0099</v>
      </c>
      <c r="D31" s="8" t="n">
        <v>0.248484571428571</v>
      </c>
      <c r="E31" s="5" t="s">
        <v>12</v>
      </c>
      <c r="F31" s="9" t="n">
        <f aca="false">(MIN(B31,0.02)*150)+(MIN(C31,0.04)*50)+(MIN(D31,1)*4)+(IF(E31="Great Power",1.5,IF(E31="Secondary Power",1.25,IF(E31="Westernized Nation",1,0))))</f>
        <v>5.98893828571428</v>
      </c>
      <c r="G31" s="2" t="n">
        <f aca="false">MIN(G30+(4*2/90/100*12),1)</f>
        <v>0.609333333333334</v>
      </c>
      <c r="H31" s="2" t="n">
        <v>1</v>
      </c>
      <c r="I31" s="9" t="n">
        <f aca="false">F31*(1+H31+G31)</f>
        <v>15.6271363001905</v>
      </c>
      <c r="J31" s="6" t="n">
        <f aca="false">I31*365</f>
        <v>5703.90474956952</v>
      </c>
      <c r="K31" s="7"/>
      <c r="L31" s="5" t="n">
        <v>1859</v>
      </c>
      <c r="M31" s="6" t="n">
        <f aca="false">MAX((M30+K31-J31)*0.994,0)</f>
        <v>398556.261418309</v>
      </c>
    </row>
    <row r="32" customFormat="false" ht="15" hidden="false" customHeight="false" outlineLevel="0" collapsed="false">
      <c r="A32" s="5" t="n">
        <v>1860</v>
      </c>
      <c r="B32" s="8" t="n">
        <v>0.0332</v>
      </c>
      <c r="C32" s="8" t="n">
        <v>0.0101</v>
      </c>
      <c r="D32" s="8" t="n">
        <v>0.259984</v>
      </c>
      <c r="E32" s="5" t="s">
        <v>12</v>
      </c>
      <c r="F32" s="9" t="n">
        <f aca="false">(MIN(B32,0.02)*150)+(MIN(C32,0.04)*50)+(MIN(D32,1)*4)+(IF(E32="Great Power",1.5,IF(E32="Secondary Power",1.25,IF(E32="Westernized Nation",1,0))))</f>
        <v>6.044936</v>
      </c>
      <c r="G32" s="2" t="n">
        <f aca="false">MIN(G31+(4*2/90/100*12),1)</f>
        <v>0.62</v>
      </c>
      <c r="H32" s="2" t="n">
        <v>1</v>
      </c>
      <c r="I32" s="9" t="n">
        <f aca="false">F32*(1+H32+G32)</f>
        <v>15.83773232</v>
      </c>
      <c r="J32" s="6" t="n">
        <f aca="false">I32*365</f>
        <v>5780.7722968</v>
      </c>
      <c r="K32" s="7" t="n">
        <v>10800</v>
      </c>
      <c r="L32" s="5" t="n">
        <v>1860</v>
      </c>
      <c r="M32" s="6" t="n">
        <f aca="false">MAX((M31+K32-J32)*0.994,0)</f>
        <v>401154.03618678</v>
      </c>
    </row>
    <row r="33" customFormat="false" ht="15" hidden="false" customHeight="false" outlineLevel="0" collapsed="false">
      <c r="A33" s="5" t="n">
        <v>1861</v>
      </c>
      <c r="B33" s="8" t="n">
        <v>0.034</v>
      </c>
      <c r="C33" s="8" t="n">
        <v>0.0103</v>
      </c>
      <c r="D33" s="8" t="n">
        <v>0.271778285714286</v>
      </c>
      <c r="E33" s="5" t="s">
        <v>12</v>
      </c>
      <c r="F33" s="9" t="n">
        <f aca="false">(MIN(B33,0.02)*150)+(MIN(C33,0.04)*50)+(MIN(D33,1)*4)+(IF(E33="Great Power",1.5,IF(E33="Secondary Power",1.25,IF(E33="Westernized Nation",1,0))))</f>
        <v>6.10211314285714</v>
      </c>
      <c r="G33" s="2" t="n">
        <f aca="false">MIN(G32+(4*2/90/100*12),1)</f>
        <v>0.630666666666667</v>
      </c>
      <c r="H33" s="2" t="n">
        <v>1.5</v>
      </c>
      <c r="I33" s="9" t="n">
        <f aca="false">F33*(1+H33+G33)</f>
        <v>19.1036822125714</v>
      </c>
      <c r="J33" s="6" t="n">
        <f aca="false">I33*365</f>
        <v>6972.84400758857</v>
      </c>
      <c r="K33" s="7"/>
      <c r="L33" s="5" t="n">
        <v>1861</v>
      </c>
      <c r="M33" s="6" t="n">
        <f aca="false">MAX((M32+K33-J33)*0.994,0)</f>
        <v>391816.105026116</v>
      </c>
    </row>
    <row r="34" customFormat="false" ht="15" hidden="false" customHeight="false" outlineLevel="0" collapsed="false">
      <c r="A34" s="5" t="n">
        <v>1862</v>
      </c>
      <c r="B34" s="8" t="n">
        <v>0.0348</v>
      </c>
      <c r="C34" s="8" t="n">
        <v>0.0105</v>
      </c>
      <c r="D34" s="8" t="n">
        <v>0.283867428571429</v>
      </c>
      <c r="E34" s="5" t="s">
        <v>12</v>
      </c>
      <c r="F34" s="9" t="n">
        <f aca="false">(MIN(B34,0.02)*150)+(MIN(C34,0.04)*50)+(MIN(D34,1)*4)+(IF(E34="Great Power",1.5,IF(E34="Secondary Power",1.25,IF(E34="Westernized Nation",1,0))))</f>
        <v>6.16046971428572</v>
      </c>
      <c r="G34" s="2" t="n">
        <f aca="false">MIN(G33+(4*2/90/100*12),1)</f>
        <v>0.641333333333334</v>
      </c>
      <c r="H34" s="2" t="n">
        <v>1.5</v>
      </c>
      <c r="I34" s="9" t="n">
        <f aca="false">F34*(1+H34+G34)</f>
        <v>19.3520888624762</v>
      </c>
      <c r="J34" s="6" t="n">
        <f aca="false">I34*365</f>
        <v>7063.51243480381</v>
      </c>
      <c r="K34" s="7"/>
      <c r="L34" s="5" t="n">
        <v>1862</v>
      </c>
      <c r="M34" s="6" t="n">
        <f aca="false">MAX((M33+K34-J34)*0.994,0)</f>
        <v>382444.077035764</v>
      </c>
    </row>
    <row r="35" customFormat="false" ht="15" hidden="false" customHeight="false" outlineLevel="0" collapsed="false">
      <c r="A35" s="5" t="n">
        <v>1863</v>
      </c>
      <c r="B35" s="8" t="n">
        <v>0.0356</v>
      </c>
      <c r="C35" s="8" t="n">
        <v>0.0107</v>
      </c>
      <c r="D35" s="8" t="n">
        <v>0.296251428571429</v>
      </c>
      <c r="E35" s="5" t="s">
        <v>12</v>
      </c>
      <c r="F35" s="9" t="n">
        <f aca="false">(MIN(B35,0.02)*150)+(MIN(C35,0.04)*50)+(MIN(D35,1)*4)+(IF(E35="Great Power",1.5,IF(E35="Secondary Power",1.25,IF(E35="Westernized Nation",1,0))))</f>
        <v>6.22000571428572</v>
      </c>
      <c r="G35" s="2" t="n">
        <f aca="false">MIN(G34+(4*2/90/100*12),1)</f>
        <v>0.652000000000001</v>
      </c>
      <c r="H35" s="2" t="n">
        <v>1.5</v>
      </c>
      <c r="I35" s="9" t="n">
        <f aca="false">F35*(1+H35+G35)</f>
        <v>19.6054580114286</v>
      </c>
      <c r="J35" s="6" t="n">
        <f aca="false">I35*365</f>
        <v>7155.99217417143</v>
      </c>
      <c r="K35" s="7"/>
      <c r="L35" s="5" t="n">
        <v>1863</v>
      </c>
      <c r="M35" s="6" t="n">
        <f aca="false">MAX((M34+K35-J35)*0.994,0)</f>
        <v>373036.356352424</v>
      </c>
    </row>
    <row r="36" customFormat="false" ht="15" hidden="false" customHeight="false" outlineLevel="0" collapsed="false">
      <c r="A36" s="5" t="n">
        <v>1864</v>
      </c>
      <c r="B36" s="8" t="n">
        <v>0.0364</v>
      </c>
      <c r="C36" s="8" t="n">
        <v>0.0109</v>
      </c>
      <c r="D36" s="8" t="n">
        <v>0.309667428571429</v>
      </c>
      <c r="E36" s="5" t="s">
        <v>12</v>
      </c>
      <c r="F36" s="9" t="n">
        <f aca="false">(MIN(B36,0.02)*150)+(MIN(C36,0.04)*50)+(MIN(D36,1)*4)+(IF(E36="Great Power",1.5,IF(E36="Secondary Power",1.25,IF(E36="Westernized Nation",1,0))))</f>
        <v>6.28366971428572</v>
      </c>
      <c r="G36" s="2" t="n">
        <f aca="false">MIN(G35+(4*2/90/100*12),1)</f>
        <v>0.662666666666667</v>
      </c>
      <c r="H36" s="2" t="n">
        <v>1.5</v>
      </c>
      <c r="I36" s="9" t="n">
        <f aca="false">F36*(1+H36+G36)</f>
        <v>19.8731527497143</v>
      </c>
      <c r="J36" s="6" t="n">
        <f aca="false">I36*365</f>
        <v>7253.70075364572</v>
      </c>
      <c r="K36" s="7"/>
      <c r="L36" s="5" t="n">
        <v>1864</v>
      </c>
      <c r="M36" s="6" t="n">
        <f aca="false">MAX((M35+K36-J36)*0.994,0)</f>
        <v>363587.959665185</v>
      </c>
    </row>
    <row r="37" customFormat="false" ht="15" hidden="false" customHeight="false" outlineLevel="0" collapsed="false">
      <c r="A37" s="5" t="n">
        <v>1865</v>
      </c>
      <c r="B37" s="8" t="n">
        <v>0.0372</v>
      </c>
      <c r="C37" s="8" t="n">
        <v>0.0111</v>
      </c>
      <c r="D37" s="8" t="n">
        <v>0.323395428571429</v>
      </c>
      <c r="E37" s="5" t="s">
        <v>12</v>
      </c>
      <c r="F37" s="9" t="n">
        <f aca="false">(MIN(B37,0.02)*150)+(MIN(C37,0.04)*50)+(MIN(D37,1)*4)+(IF(E37="Great Power",1.5,IF(E37="Secondary Power",1.25,IF(E37="Westernized Nation",1,0))))</f>
        <v>6.34858171428572</v>
      </c>
      <c r="G37" s="2" t="n">
        <f aca="false">MIN(G36+(4*2/90/100*12),1)</f>
        <v>0.673333333333334</v>
      </c>
      <c r="H37" s="2" t="n">
        <v>1.5</v>
      </c>
      <c r="I37" s="9" t="n">
        <f aca="false">F37*(1+H37+G37)</f>
        <v>20.1461659733333</v>
      </c>
      <c r="J37" s="6" t="n">
        <f aca="false">I37*365</f>
        <v>7353.35058026667</v>
      </c>
      <c r="K37" s="7"/>
      <c r="L37" s="5" t="n">
        <v>1865</v>
      </c>
      <c r="M37" s="6" t="n">
        <f aca="false">MAX((M36+K37-J37)*0.994,0)</f>
        <v>354097.201430409</v>
      </c>
    </row>
    <row r="38" customFormat="false" ht="15" hidden="false" customHeight="false" outlineLevel="0" collapsed="false">
      <c r="A38" s="5" t="n">
        <v>1866</v>
      </c>
      <c r="B38" s="8" t="n">
        <v>0.038</v>
      </c>
      <c r="C38" s="8" t="n">
        <v>0.0113</v>
      </c>
      <c r="D38" s="8" t="n">
        <v>0.337435428571429</v>
      </c>
      <c r="E38" s="5" t="s">
        <v>12</v>
      </c>
      <c r="F38" s="9" t="n">
        <f aca="false">(MIN(B38,0.02)*150)+(MIN(C38,0.04)*50)+(MIN(D38,1)*4)+(IF(E38="Great Power",1.5,IF(E38="Secondary Power",1.25,IF(E38="Westernized Nation",1,0))))</f>
        <v>6.41474171428572</v>
      </c>
      <c r="G38" s="2" t="n">
        <f aca="false">MIN(G37+(4*2/90/100*12),1)</f>
        <v>0.684000000000001</v>
      </c>
      <c r="H38" s="2" t="n">
        <v>1.5</v>
      </c>
      <c r="I38" s="9" t="n">
        <f aca="false">F38*(1+H38+G38)</f>
        <v>20.4245376182857</v>
      </c>
      <c r="J38" s="6" t="n">
        <f aca="false">I38*365</f>
        <v>7454.95623067429</v>
      </c>
      <c r="K38" s="7"/>
      <c r="L38" s="5" t="n">
        <v>1866</v>
      </c>
      <c r="M38" s="6" t="n">
        <f aca="false">MAX((M37+K38-J38)*0.994,0)</f>
        <v>344562.391728536</v>
      </c>
    </row>
    <row r="39" customFormat="false" ht="15" hidden="false" customHeight="false" outlineLevel="0" collapsed="false">
      <c r="A39" s="5" t="n">
        <v>1867</v>
      </c>
      <c r="B39" s="8" t="n">
        <v>0.0388</v>
      </c>
      <c r="C39" s="8" t="n">
        <v>0.0115</v>
      </c>
      <c r="D39" s="8" t="n">
        <v>0.351787428571429</v>
      </c>
      <c r="E39" s="5" t="s">
        <v>12</v>
      </c>
      <c r="F39" s="9" t="n">
        <f aca="false">(MIN(B39,0.02)*150)+(MIN(C39,0.04)*50)+(MIN(D39,1)*4)+(IF(E39="Great Power",1.5,IF(E39="Secondary Power",1.25,IF(E39="Westernized Nation",1,0))))</f>
        <v>6.48214971428572</v>
      </c>
      <c r="G39" s="2" t="n">
        <f aca="false">MIN(G38+(4*2/90/100*12),1)</f>
        <v>0.694666666666667</v>
      </c>
      <c r="H39" s="2" t="n">
        <v>1.5</v>
      </c>
      <c r="I39" s="9" t="n">
        <f aca="false">F39*(1+H39+G39)</f>
        <v>20.7083076205714</v>
      </c>
      <c r="J39" s="6" t="n">
        <f aca="false">I39*365</f>
        <v>7558.53228150858</v>
      </c>
      <c r="K39" s="7"/>
      <c r="L39" s="5" t="n">
        <v>1867</v>
      </c>
      <c r="M39" s="6" t="n">
        <f aca="false">MAX((M38+K39-J39)*0.994,0)</f>
        <v>334981.836290345</v>
      </c>
    </row>
    <row r="40" customFormat="false" ht="15" hidden="false" customHeight="false" outlineLevel="0" collapsed="false">
      <c r="A40" s="5" t="n">
        <v>1868</v>
      </c>
      <c r="B40" s="8" t="n">
        <v>0.0396</v>
      </c>
      <c r="C40" s="8" t="n">
        <v>0.0117</v>
      </c>
      <c r="D40" s="8" t="n">
        <v>0.366451428571429</v>
      </c>
      <c r="E40" s="5" t="s">
        <v>12</v>
      </c>
      <c r="F40" s="9" t="n">
        <f aca="false">(MIN(B40,0.02)*150)+(MIN(C40,0.04)*50)+(MIN(D40,1)*4)+(IF(E40="Great Power",1.5,IF(E40="Secondary Power",1.25,IF(E40="Westernized Nation",1,0))))</f>
        <v>6.55080571428572</v>
      </c>
      <c r="G40" s="2" t="n">
        <f aca="false">MIN(G39+(4*2/90/100*12),1)</f>
        <v>0.705333333333334</v>
      </c>
      <c r="H40" s="2" t="n">
        <v>1.5</v>
      </c>
      <c r="I40" s="9" t="n">
        <f aca="false">F40*(1+H40+G40)</f>
        <v>20.9975159161905</v>
      </c>
      <c r="J40" s="6" t="n">
        <f aca="false">I40*365</f>
        <v>7664.09330940953</v>
      </c>
      <c r="K40" s="7"/>
      <c r="L40" s="5" t="n">
        <v>1868</v>
      </c>
      <c r="M40" s="6" t="n">
        <f aca="false">MAX((M39+K40-J40)*0.994,0)</f>
        <v>325353.83652305</v>
      </c>
    </row>
    <row r="41" customFormat="false" ht="15" hidden="false" customHeight="false" outlineLevel="0" collapsed="false">
      <c r="A41" s="5" t="n">
        <v>1869</v>
      </c>
      <c r="B41" s="8" t="n">
        <v>0.0404</v>
      </c>
      <c r="C41" s="8" t="n">
        <v>0.0119</v>
      </c>
      <c r="D41" s="8" t="n">
        <v>0.381427428571429</v>
      </c>
      <c r="E41" s="5" t="s">
        <v>12</v>
      </c>
      <c r="F41" s="9" t="n">
        <f aca="false">(MIN(B41,0.02)*150)+(MIN(C41,0.04)*50)+(MIN(D41,1)*4)+(IF(E41="Great Power",1.5,IF(E41="Secondary Power",1.25,IF(E41="Westernized Nation",1,0))))</f>
        <v>6.62070971428572</v>
      </c>
      <c r="G41" s="2" t="n">
        <f aca="false">MIN(G40+(4*2/90/100*12),1)</f>
        <v>0.716000000000001</v>
      </c>
      <c r="H41" s="2" t="n">
        <v>1.5</v>
      </c>
      <c r="I41" s="9" t="n">
        <f aca="false">F41*(1+H41+G41)</f>
        <v>21.2922024411429</v>
      </c>
      <c r="J41" s="6" t="n">
        <f aca="false">I41*365</f>
        <v>7771.65389101715</v>
      </c>
      <c r="K41" s="7"/>
      <c r="L41" s="5" t="n">
        <v>1869</v>
      </c>
      <c r="M41" s="6" t="n">
        <f aca="false">MAX((M40+K41-J41)*0.994,0)</f>
        <v>315676.689536241</v>
      </c>
    </row>
    <row r="42" customFormat="false" ht="15" hidden="false" customHeight="false" outlineLevel="0" collapsed="false">
      <c r="A42" s="5" t="n">
        <v>1870</v>
      </c>
      <c r="B42" s="8" t="n">
        <v>0.0409999999999999</v>
      </c>
      <c r="C42" s="8" t="n">
        <v>0.0121</v>
      </c>
      <c r="D42" s="8" t="n">
        <v>0.396715428571429</v>
      </c>
      <c r="E42" s="5" t="s">
        <v>12</v>
      </c>
      <c r="F42" s="9" t="n">
        <f aca="false">(MIN(B42,0.02)*150)+(MIN(C42,0.04)*50)+(MIN(D42,1)*4)+(IF(E42="Great Power",1.5,IF(E42="Secondary Power",1.25,IF(E42="Westernized Nation",1,0))))</f>
        <v>6.69186171428572</v>
      </c>
      <c r="G42" s="2" t="n">
        <f aca="false">MIN(G41+(4*2/90/100*12),1)</f>
        <v>0.726666666666668</v>
      </c>
      <c r="H42" s="2" t="n">
        <v>1.5</v>
      </c>
      <c r="I42" s="9" t="n">
        <f aca="false">F42*(1+H42+G42)</f>
        <v>21.5924071314286</v>
      </c>
      <c r="J42" s="6" t="n">
        <f aca="false">I42*365</f>
        <v>7881.22860297143</v>
      </c>
      <c r="K42" s="7" t="n">
        <v>331200</v>
      </c>
      <c r="L42" s="5" t="n">
        <v>1870</v>
      </c>
      <c r="M42" s="6" t="n">
        <f aca="false">MAX((M41+K42-J42)*0.994,0)</f>
        <v>635161.48816767</v>
      </c>
    </row>
    <row r="43" customFormat="false" ht="15" hidden="false" customHeight="false" outlineLevel="0" collapsed="false">
      <c r="A43" s="5" t="n">
        <v>1871</v>
      </c>
      <c r="B43" s="8" t="n">
        <v>0.0409999999999999</v>
      </c>
      <c r="C43" s="8" t="n">
        <v>0.0123</v>
      </c>
      <c r="D43" s="8" t="n">
        <v>0.412744</v>
      </c>
      <c r="E43" s="5" t="s">
        <v>12</v>
      </c>
      <c r="F43" s="9" t="n">
        <f aca="false">(MIN(B43,0.02)*150)+(MIN(C43,0.04)*50)+(MIN(D43,1)*4)+(IF(E43="Great Power",1.5,IF(E43="Secondary Power",1.25,IF(E43="Westernized Nation",1,0))))</f>
        <v>6.765976</v>
      </c>
      <c r="G43" s="2" t="n">
        <f aca="false">MIN(G42+(4*2/90/100*12),1)</f>
        <v>0.737333333333334</v>
      </c>
      <c r="H43" s="2" t="n">
        <v>2.5</v>
      </c>
      <c r="I43" s="9" t="n">
        <f aca="false">F43*(1+H43+G43)</f>
        <v>28.6696956373333</v>
      </c>
      <c r="J43" s="6" t="n">
        <f aca="false">I43*365</f>
        <v>10464.4389076267</v>
      </c>
      <c r="K43" s="7"/>
      <c r="L43" s="5" t="n">
        <v>1871</v>
      </c>
      <c r="M43" s="6" t="n">
        <f aca="false">MAX((M42+K43-J43)*0.994,0)</f>
        <v>620948.866964483</v>
      </c>
    </row>
    <row r="44" customFormat="false" ht="15" hidden="false" customHeight="false" outlineLevel="0" collapsed="false">
      <c r="A44" s="5" t="n">
        <v>1872</v>
      </c>
      <c r="B44" s="8" t="n">
        <v>0.0409999999999999</v>
      </c>
      <c r="C44" s="8" t="n">
        <v>0.0125</v>
      </c>
      <c r="D44" s="8" t="n">
        <v>0.429093142857143</v>
      </c>
      <c r="E44" s="5" t="s">
        <v>12</v>
      </c>
      <c r="F44" s="9" t="n">
        <f aca="false">(MIN(B44,0.02)*150)+(MIN(C44,0.04)*50)+(MIN(D44,1)*4)+(IF(E44="Great Power",1.5,IF(E44="Secondary Power",1.25,IF(E44="Westernized Nation",1,0))))</f>
        <v>6.84137257142857</v>
      </c>
      <c r="G44" s="2" t="n">
        <f aca="false">MIN(G43+(4*2/90/100*12),1)</f>
        <v>0.748000000000001</v>
      </c>
      <c r="H44" s="2" t="n">
        <v>2.5</v>
      </c>
      <c r="I44" s="9" t="n">
        <f aca="false">F44*(1+H44+G44)</f>
        <v>29.0621506834286</v>
      </c>
      <c r="J44" s="6" t="n">
        <f aca="false">I44*365</f>
        <v>10607.6849994514</v>
      </c>
      <c r="K44" s="7" t="n">
        <v>14400</v>
      </c>
      <c r="L44" s="5" t="n">
        <v>1872</v>
      </c>
      <c r="M44" s="6" t="n">
        <f aca="false">MAX((M43+K44-J44)*0.994,0)</f>
        <v>620992.734873242</v>
      </c>
    </row>
    <row r="45" customFormat="false" ht="15" hidden="false" customHeight="false" outlineLevel="0" collapsed="false">
      <c r="A45" s="5" t="n">
        <v>1873</v>
      </c>
      <c r="B45" s="8" t="n">
        <v>0.0409999999999999</v>
      </c>
      <c r="C45" s="8" t="n">
        <v>0.0127</v>
      </c>
      <c r="D45" s="8" t="n">
        <v>0.445762857142857</v>
      </c>
      <c r="E45" s="5" t="s">
        <v>12</v>
      </c>
      <c r="F45" s="9" t="n">
        <f aca="false">(MIN(B45,0.02)*150)+(MIN(C45,0.04)*50)+(MIN(D45,1)*4)+(IF(E45="Great Power",1.5,IF(E45="Secondary Power",1.25,IF(E45="Westernized Nation",1,0))))</f>
        <v>6.91805142857143</v>
      </c>
      <c r="G45" s="2" t="n">
        <f aca="false">MIN(G44+(4*2/90/100*12),1)</f>
        <v>0.758666666666668</v>
      </c>
      <c r="H45" s="2" t="n">
        <v>2.5</v>
      </c>
      <c r="I45" s="9" t="n">
        <f aca="false">F45*(1+H45+G45)</f>
        <v>29.4616750171429</v>
      </c>
      <c r="J45" s="6" t="n">
        <f aca="false">I45*365</f>
        <v>10753.5113812571</v>
      </c>
      <c r="K45" s="7"/>
      <c r="L45" s="5" t="n">
        <v>1873</v>
      </c>
      <c r="M45" s="6" t="n">
        <f aca="false">MAX((M44+K45-J45)*0.994,0)</f>
        <v>606577.788151033</v>
      </c>
    </row>
    <row r="46" customFormat="false" ht="15" hidden="false" customHeight="false" outlineLevel="0" collapsed="false">
      <c r="A46" s="5" t="n">
        <v>1874</v>
      </c>
      <c r="B46" s="8" t="n">
        <v>0.0409999999999999</v>
      </c>
      <c r="C46" s="8" t="n">
        <v>0.0129</v>
      </c>
      <c r="D46" s="8" t="n">
        <v>0.462753142857143</v>
      </c>
      <c r="E46" s="5" t="s">
        <v>12</v>
      </c>
      <c r="F46" s="9" t="n">
        <f aca="false">(MIN(B46,0.02)*150)+(MIN(C46,0.04)*50)+(MIN(D46,1)*4)+(IF(E46="Great Power",1.5,IF(E46="Secondary Power",1.25,IF(E46="Westernized Nation",1,0))))</f>
        <v>6.99601257142857</v>
      </c>
      <c r="G46" s="2" t="n">
        <f aca="false">MIN(G45+(4*2/90/100*12),1)</f>
        <v>0.769333333333334</v>
      </c>
      <c r="H46" s="2" t="n">
        <v>2.5</v>
      </c>
      <c r="I46" s="9" t="n">
        <f aca="false">F46*(1+H46+G46)</f>
        <v>29.8683096716191</v>
      </c>
      <c r="J46" s="6" t="n">
        <f aca="false">I46*365</f>
        <v>10901.933030141</v>
      </c>
      <c r="K46" s="7"/>
      <c r="L46" s="5" t="n">
        <v>1874</v>
      </c>
      <c r="M46" s="6" t="n">
        <f aca="false">MAX((M45+K46-J46)*0.994,0)</f>
        <v>592101.799990166</v>
      </c>
    </row>
    <row r="47" customFormat="false" ht="15" hidden="false" customHeight="false" outlineLevel="0" collapsed="false">
      <c r="A47" s="5" t="n">
        <v>1875</v>
      </c>
      <c r="B47" s="8" t="n">
        <v>0.0409999999999999</v>
      </c>
      <c r="C47" s="8" t="n">
        <v>0.0131</v>
      </c>
      <c r="D47" s="8" t="n">
        <v>0.480064</v>
      </c>
      <c r="E47" s="5" t="s">
        <v>12</v>
      </c>
      <c r="F47" s="9" t="n">
        <f aca="false">(MIN(B47,0.02)*150)+(MIN(C47,0.04)*50)+(MIN(D47,1)*4)+(IF(E47="Great Power",1.5,IF(E47="Secondary Power",1.25,IF(E47="Westernized Nation",1,0))))</f>
        <v>7.075256</v>
      </c>
      <c r="G47" s="2" t="n">
        <f aca="false">MIN(G46+(4*2/90/100*12),1)</f>
        <v>0.780000000000001</v>
      </c>
      <c r="H47" s="2" t="n">
        <v>2.5</v>
      </c>
      <c r="I47" s="9" t="n">
        <f aca="false">F47*(1+H47+G47)</f>
        <v>30.28209568</v>
      </c>
      <c r="J47" s="6" t="n">
        <f aca="false">I47*365</f>
        <v>11052.9649232</v>
      </c>
      <c r="K47" s="7" t="n">
        <v>14400</v>
      </c>
      <c r="L47" s="5" t="n">
        <v>1875</v>
      </c>
      <c r="M47" s="6" t="n">
        <f aca="false">MAX((M46+K47-J47)*0.994,0)</f>
        <v>591876.142056565</v>
      </c>
    </row>
    <row r="48" customFormat="false" ht="15" hidden="false" customHeight="false" outlineLevel="0" collapsed="false">
      <c r="A48" s="5" t="n">
        <v>1876</v>
      </c>
      <c r="B48" s="8" t="n">
        <v>0.0409999999999999</v>
      </c>
      <c r="C48" s="8" t="n">
        <v>0.0133</v>
      </c>
      <c r="D48" s="8" t="n">
        <v>0.497695428571429</v>
      </c>
      <c r="E48" s="5" t="s">
        <v>12</v>
      </c>
      <c r="F48" s="9" t="n">
        <f aca="false">(MIN(B48,0.02)*150)+(MIN(C48,0.04)*50)+(MIN(D48,1)*4)+(IF(E48="Great Power",1.5,IF(E48="Secondary Power",1.25,IF(E48="Westernized Nation",1,0))))</f>
        <v>7.15578171428572</v>
      </c>
      <c r="G48" s="2" t="n">
        <f aca="false">MIN(G47+(4*2/90/100*12),1)</f>
        <v>0.790666666666668</v>
      </c>
      <c r="H48" s="2" t="n">
        <v>2.5</v>
      </c>
      <c r="I48" s="9" t="n">
        <f aca="false">F48*(1+H48+G48)</f>
        <v>30.7030740754286</v>
      </c>
      <c r="J48" s="6" t="n">
        <f aca="false">I48*365</f>
        <v>11206.6220375314</v>
      </c>
      <c r="K48" s="7"/>
      <c r="L48" s="5" t="n">
        <v>1876</v>
      </c>
      <c r="M48" s="6" t="n">
        <f aca="false">MAX((M47+K48-J48)*0.994,0)</f>
        <v>577185.502898919</v>
      </c>
    </row>
    <row r="49" customFormat="false" ht="15" hidden="false" customHeight="false" outlineLevel="0" collapsed="false">
      <c r="A49" s="5" t="n">
        <v>1877</v>
      </c>
      <c r="B49" s="8" t="n">
        <v>0.0409999999999999</v>
      </c>
      <c r="C49" s="8" t="n">
        <v>0.0135</v>
      </c>
      <c r="D49" s="8" t="n">
        <v>0.515647428571429</v>
      </c>
      <c r="E49" s="5" t="s">
        <v>12</v>
      </c>
      <c r="F49" s="9" t="n">
        <f aca="false">(MIN(B49,0.02)*150)+(MIN(C49,0.04)*50)+(MIN(D49,1)*4)+(IF(E49="Great Power",1.5,IF(E49="Secondary Power",1.25,IF(E49="Westernized Nation",1,0))))</f>
        <v>7.23758971428572</v>
      </c>
      <c r="G49" s="2" t="n">
        <f aca="false">MIN(G48+(4*2/90/100*12),1)</f>
        <v>0.801333333333335</v>
      </c>
      <c r="H49" s="2" t="n">
        <v>2.5</v>
      </c>
      <c r="I49" s="9" t="n">
        <f aca="false">F49*(1+H49+G49)</f>
        <v>31.1312858910476</v>
      </c>
      <c r="J49" s="6" t="n">
        <f aca="false">I49*365</f>
        <v>11362.9193502324</v>
      </c>
      <c r="K49" s="7"/>
      <c r="L49" s="5" t="n">
        <v>1877</v>
      </c>
      <c r="M49" s="6" t="n">
        <f aca="false">MAX((M48+K49-J49)*0.994,0)</f>
        <v>562427.648047394</v>
      </c>
    </row>
    <row r="50" customFormat="false" ht="15" hidden="false" customHeight="false" outlineLevel="0" collapsed="false">
      <c r="A50" s="5" t="n">
        <v>1878</v>
      </c>
      <c r="B50" s="8" t="n">
        <v>0.0409999999999998</v>
      </c>
      <c r="C50" s="8" t="n">
        <v>0.0137</v>
      </c>
      <c r="D50" s="8" t="n">
        <v>0.53392</v>
      </c>
      <c r="E50" s="5" t="s">
        <v>12</v>
      </c>
      <c r="F50" s="9" t="n">
        <f aca="false">(MIN(B50,0.02)*150)+(MIN(C50,0.04)*50)+(MIN(D50,1)*4)+(IF(E50="Great Power",1.5,IF(E50="Secondary Power",1.25,IF(E50="Westernized Nation",1,0))))</f>
        <v>7.32068</v>
      </c>
      <c r="G50" s="2" t="n">
        <f aca="false">MIN(G49+(4*2/90/100*12),1)</f>
        <v>0.812000000000001</v>
      </c>
      <c r="H50" s="2" t="n">
        <v>2.5</v>
      </c>
      <c r="I50" s="9" t="n">
        <f aca="false">F50*(1+H50+G50)</f>
        <v>31.56677216</v>
      </c>
      <c r="J50" s="6" t="n">
        <f aca="false">I50*365</f>
        <v>11521.8718384</v>
      </c>
      <c r="K50" s="7"/>
      <c r="L50" s="5" t="n">
        <v>1878</v>
      </c>
      <c r="M50" s="6" t="n">
        <f aca="false">MAX((M49+K50-J50)*0.994,0)</f>
        <v>547600.34155174</v>
      </c>
    </row>
    <row r="51" customFormat="false" ht="15" hidden="false" customHeight="false" outlineLevel="0" collapsed="false">
      <c r="A51" s="5" t="n">
        <v>1879</v>
      </c>
      <c r="B51" s="8" t="n">
        <v>0.0409999999999998</v>
      </c>
      <c r="C51" s="8" t="n">
        <v>0.0139</v>
      </c>
      <c r="D51" s="8" t="n">
        <v>0.552513142857143</v>
      </c>
      <c r="E51" s="5" t="s">
        <v>12</v>
      </c>
      <c r="F51" s="9" t="n">
        <f aca="false">(MIN(B51,0.02)*150)+(MIN(C51,0.04)*50)+(MIN(D51,1)*4)+(IF(E51="Great Power",1.5,IF(E51="Secondary Power",1.25,IF(E51="Westernized Nation",1,0))))</f>
        <v>7.40505257142857</v>
      </c>
      <c r="G51" s="2" t="n">
        <f aca="false">MIN(G50+(4*2/90/100*12),1)</f>
        <v>0.822666666666668</v>
      </c>
      <c r="H51" s="2" t="n">
        <v>2.5</v>
      </c>
      <c r="I51" s="9" t="n">
        <f aca="false">F51*(1+H51+G51)</f>
        <v>32.0095739154286</v>
      </c>
      <c r="J51" s="6" t="n">
        <f aca="false">I51*365</f>
        <v>11683.4944791314</v>
      </c>
      <c r="K51" s="7"/>
      <c r="L51" s="5" t="n">
        <v>1879</v>
      </c>
      <c r="M51" s="6" t="n">
        <f aca="false">MAX((M50+K51-J51)*0.994,0)</f>
        <v>532701.345990173</v>
      </c>
    </row>
    <row r="52" customFormat="false" ht="15" hidden="false" customHeight="false" outlineLevel="0" collapsed="false">
      <c r="A52" s="5" t="n">
        <v>1880</v>
      </c>
      <c r="B52" s="8" t="n">
        <v>0.0409999999999998</v>
      </c>
      <c r="C52" s="8" t="n">
        <v>0.0141</v>
      </c>
      <c r="D52" s="8" t="n">
        <v>0.571426857142857</v>
      </c>
      <c r="E52" s="5" t="s">
        <v>12</v>
      </c>
      <c r="F52" s="9" t="n">
        <f aca="false">(MIN(B52,0.02)*150)+(MIN(C52,0.04)*50)+(MIN(D52,1)*4)+(IF(E52="Great Power",1.5,IF(E52="Secondary Power",1.25,IF(E52="Westernized Nation",1,0))))</f>
        <v>7.49070742857143</v>
      </c>
      <c r="G52" s="2" t="n">
        <f aca="false">MIN(G51+(4*2/90/100*12),1)</f>
        <v>0.833333333333335</v>
      </c>
      <c r="H52" s="2" t="n">
        <v>2.5</v>
      </c>
      <c r="I52" s="9" t="n">
        <f aca="false">F52*(1+H52+G52)</f>
        <v>32.4597321904762</v>
      </c>
      <c r="J52" s="6" t="n">
        <f aca="false">I52*365</f>
        <v>11847.8022495238</v>
      </c>
      <c r="K52" s="7" t="n">
        <v>50400</v>
      </c>
      <c r="L52" s="5" t="n">
        <v>1880</v>
      </c>
      <c r="M52" s="6" t="n">
        <f aca="false">MAX((M51+K52-J52)*0.994,0)</f>
        <v>567826.022478206</v>
      </c>
    </row>
    <row r="53" customFormat="false" ht="15" hidden="false" customHeight="false" outlineLevel="0" collapsed="false">
      <c r="A53" s="5" t="n">
        <v>1881</v>
      </c>
      <c r="B53" s="8" t="n">
        <v>0.0409999999999998</v>
      </c>
      <c r="C53" s="8" t="n">
        <v>0.0143</v>
      </c>
      <c r="D53" s="8" t="n">
        <v>0.590661142857143</v>
      </c>
      <c r="E53" s="5" t="s">
        <v>12</v>
      </c>
      <c r="F53" s="9" t="n">
        <f aca="false">(MIN(B53,0.02)*150)+(MIN(C53,0.04)*50)+(MIN(D53,1)*4)+(IF(E53="Great Power",1.5,IF(E53="Secondary Power",1.25,IF(E53="Westernized Nation",1,0))))</f>
        <v>7.57764457142857</v>
      </c>
      <c r="G53" s="2" t="n">
        <f aca="false">MIN(G52+(4*2/90/100*12),1)</f>
        <v>0.844000000000001</v>
      </c>
      <c r="H53" s="2" t="n">
        <v>3.5</v>
      </c>
      <c r="I53" s="9" t="n">
        <f aca="false">F53*(1+H53+G53)</f>
        <v>40.4949325897143</v>
      </c>
      <c r="J53" s="6" t="n">
        <f aca="false">I53*365</f>
        <v>14780.6503952457</v>
      </c>
      <c r="K53" s="7"/>
      <c r="L53" s="5" t="n">
        <v>1881</v>
      </c>
      <c r="M53" s="6" t="n">
        <f aca="false">MAX((M52+K53-J53)*0.994,0)</f>
        <v>549727.099850462</v>
      </c>
    </row>
    <row r="54" customFormat="false" ht="15" hidden="false" customHeight="false" outlineLevel="0" collapsed="false">
      <c r="A54" s="5" t="n">
        <v>1882</v>
      </c>
      <c r="B54" s="8" t="n">
        <v>0.0409999999999998</v>
      </c>
      <c r="C54" s="8" t="n">
        <v>0.0145</v>
      </c>
      <c r="D54" s="8" t="n">
        <v>0.610216</v>
      </c>
      <c r="E54" s="5" t="s">
        <v>12</v>
      </c>
      <c r="F54" s="9" t="n">
        <f aca="false">(MIN(B54,0.02)*150)+(MIN(C54,0.04)*50)+(MIN(D54,1)*4)+(IF(E54="Great Power",1.5,IF(E54="Secondary Power",1.25,IF(E54="Westernized Nation",1,0))))</f>
        <v>7.665864</v>
      </c>
      <c r="G54" s="2" t="n">
        <f aca="false">MIN(G53+(4*2/90/100*12),1)</f>
        <v>0.854666666666668</v>
      </c>
      <c r="H54" s="2" t="n">
        <v>3.5</v>
      </c>
      <c r="I54" s="9" t="n">
        <f aca="false">F54*(1+H54+G54)</f>
        <v>41.048146432</v>
      </c>
      <c r="J54" s="6" t="n">
        <f aca="false">I54*365</f>
        <v>14982.57344768</v>
      </c>
      <c r="K54" s="7"/>
      <c r="L54" s="5" t="n">
        <v>1882</v>
      </c>
      <c r="M54" s="6" t="n">
        <f aca="false">MAX((M53+K54-J54)*0.994,0)</f>
        <v>531536.059244365</v>
      </c>
    </row>
    <row r="55" customFormat="false" ht="15" hidden="false" customHeight="false" outlineLevel="0" collapsed="false">
      <c r="A55" s="5" t="n">
        <v>1883</v>
      </c>
      <c r="B55" s="8" t="n">
        <v>0.0409999999999998</v>
      </c>
      <c r="C55" s="8" t="n">
        <v>0.0147</v>
      </c>
      <c r="D55" s="8" t="n">
        <v>0.630091428571429</v>
      </c>
      <c r="E55" s="5" t="s">
        <v>12</v>
      </c>
      <c r="F55" s="9" t="n">
        <f aca="false">(MIN(B55,0.02)*150)+(MIN(C55,0.04)*50)+(MIN(D55,1)*4)+(IF(E55="Great Power",1.5,IF(E55="Secondary Power",1.25,IF(E55="Westernized Nation",1,0))))</f>
        <v>7.75536571428572</v>
      </c>
      <c r="G55" s="2" t="n">
        <f aca="false">MIN(G54+(4*2/90/100*12),1)</f>
        <v>0.865333333333335</v>
      </c>
      <c r="H55" s="2" t="n">
        <v>3.5</v>
      </c>
      <c r="I55" s="9" t="n">
        <f aca="false">F55*(1+H55+G55)</f>
        <v>41.6101221790476</v>
      </c>
      <c r="J55" s="6" t="n">
        <f aca="false">I55*365</f>
        <v>15187.6945953524</v>
      </c>
      <c r="K55" s="7"/>
      <c r="L55" s="5" t="n">
        <v>1883</v>
      </c>
      <c r="M55" s="6" t="n">
        <f aca="false">MAX((M54+K55-J55)*0.994,0)</f>
        <v>513250.274461119</v>
      </c>
    </row>
    <row r="56" customFormat="false" ht="15" hidden="false" customHeight="false" outlineLevel="0" collapsed="false">
      <c r="A56" s="5" t="n">
        <v>1884</v>
      </c>
      <c r="B56" s="8" t="n">
        <v>0.0409999999999998</v>
      </c>
      <c r="C56" s="8" t="n">
        <v>0.0149</v>
      </c>
      <c r="D56" s="8" t="n">
        <v>0.651907428571429</v>
      </c>
      <c r="E56" s="5" t="s">
        <v>12</v>
      </c>
      <c r="F56" s="9" t="n">
        <f aca="false">(MIN(B56,0.02)*150)+(MIN(C56,0.04)*50)+(MIN(D56,1)*4)+(IF(E56="Great Power",1.5,IF(E56="Secondary Power",1.25,IF(E56="Westernized Nation",1,0))))</f>
        <v>7.85262971428572</v>
      </c>
      <c r="G56" s="2" t="n">
        <f aca="false">MIN(G55+(4*2/90/100*12),1)</f>
        <v>0.876000000000001</v>
      </c>
      <c r="H56" s="2" t="n">
        <v>3.5</v>
      </c>
      <c r="I56" s="9" t="n">
        <f aca="false">F56*(1+H56+G56)</f>
        <v>42.215737344</v>
      </c>
      <c r="J56" s="6" t="n">
        <f aca="false">I56*365</f>
        <v>15408.74413056</v>
      </c>
      <c r="K56" s="7"/>
      <c r="L56" s="5" t="n">
        <v>1884</v>
      </c>
      <c r="M56" s="6" t="n">
        <f aca="false">MAX((M55+K56-J56)*0.994,0)</f>
        <v>494854.481148576</v>
      </c>
    </row>
    <row r="57" customFormat="false" ht="15" hidden="false" customHeight="false" outlineLevel="0" collapsed="false">
      <c r="A57" s="5" t="n">
        <v>1885</v>
      </c>
      <c r="B57" s="8" t="n">
        <v>0.0409999999999998</v>
      </c>
      <c r="C57" s="8" t="n">
        <v>0.0151</v>
      </c>
      <c r="D57" s="8" t="n">
        <v>0.674069714285714</v>
      </c>
      <c r="E57" s="5" t="s">
        <v>12</v>
      </c>
      <c r="F57" s="9" t="n">
        <f aca="false">(MIN(B57,0.02)*150)+(MIN(C57,0.04)*50)+(MIN(D57,1)*4)+(IF(E57="Great Power",1.5,IF(E57="Secondary Power",1.25,IF(E57="Westernized Nation",1,0))))</f>
        <v>7.95127885714286</v>
      </c>
      <c r="G57" s="2" t="n">
        <f aca="false">MIN(G56+(4*2/90/100*12),1)</f>
        <v>0.886666666666668</v>
      </c>
      <c r="H57" s="2" t="n">
        <v>3.5</v>
      </c>
      <c r="I57" s="9" t="n">
        <f aca="false">F57*(1+H57+G57)</f>
        <v>42.8308887771429</v>
      </c>
      <c r="J57" s="6" t="n">
        <f aca="false">I57*365</f>
        <v>15633.2744036571</v>
      </c>
      <c r="K57" s="7"/>
      <c r="L57" s="5" t="n">
        <v>1885</v>
      </c>
      <c r="M57" s="6" t="n">
        <f aca="false">MAX((M56+K57-J57)*0.994,0)</f>
        <v>476345.879504449</v>
      </c>
    </row>
    <row r="58" customFormat="false" ht="15" hidden="false" customHeight="false" outlineLevel="0" collapsed="false">
      <c r="A58" s="5" t="n">
        <v>1886</v>
      </c>
      <c r="B58" s="8" t="n">
        <v>0.0409999999999998</v>
      </c>
      <c r="C58" s="8" t="n">
        <v>0.0153</v>
      </c>
      <c r="D58" s="8" t="n">
        <v>0.696578285714286</v>
      </c>
      <c r="E58" s="5" t="s">
        <v>12</v>
      </c>
      <c r="F58" s="9" t="n">
        <f aca="false">(MIN(B58,0.02)*150)+(MIN(C58,0.04)*50)+(MIN(D58,1)*4)+(IF(E58="Great Power",1.5,IF(E58="Secondary Power",1.25,IF(E58="Westernized Nation",1,0))))</f>
        <v>8.05131314285714</v>
      </c>
      <c r="G58" s="2" t="n">
        <f aca="false">MIN(G57+(4*2/90/100*12),1)</f>
        <v>0.897333333333335</v>
      </c>
      <c r="H58" s="2" t="n">
        <v>3.5</v>
      </c>
      <c r="I58" s="9" t="n">
        <f aca="false">F58*(1+H58+G58)</f>
        <v>43.4556208030476</v>
      </c>
      <c r="J58" s="6" t="n">
        <f aca="false">I58*365</f>
        <v>15861.3015931124</v>
      </c>
      <c r="K58" s="7"/>
      <c r="L58" s="5" t="n">
        <v>1886</v>
      </c>
      <c r="M58" s="6" t="n">
        <f aca="false">MAX((M57+K58-J58)*0.994,0)</f>
        <v>457721.670443868</v>
      </c>
    </row>
    <row r="59" customFormat="false" ht="15" hidden="false" customHeight="false" outlineLevel="0" collapsed="false">
      <c r="A59" s="5" t="n">
        <v>1887</v>
      </c>
      <c r="B59" s="8" t="n">
        <v>0.0409999999999998</v>
      </c>
      <c r="C59" s="8" t="n">
        <v>0.0155</v>
      </c>
      <c r="D59" s="8" t="n">
        <v>0.719433142857143</v>
      </c>
      <c r="E59" s="5" t="s">
        <v>12</v>
      </c>
      <c r="F59" s="9" t="n">
        <f aca="false">(MIN(B59,0.02)*150)+(MIN(C59,0.04)*50)+(MIN(D59,1)*4)+(IF(E59="Great Power",1.5,IF(E59="Secondary Power",1.25,IF(E59="Westernized Nation",1,0))))</f>
        <v>8.15273257142857</v>
      </c>
      <c r="G59" s="2" t="n">
        <f aca="false">MIN(G58+(4*2/90/100*12),1)</f>
        <v>0.908000000000002</v>
      </c>
      <c r="H59" s="2" t="n">
        <v>3.5</v>
      </c>
      <c r="I59" s="9" t="n">
        <f aca="false">F59*(1+H59+G59)</f>
        <v>44.0899777462857</v>
      </c>
      <c r="J59" s="6" t="n">
        <f aca="false">I59*365</f>
        <v>16092.8418773943</v>
      </c>
      <c r="K59" s="7"/>
      <c r="L59" s="5" t="n">
        <v>1887</v>
      </c>
      <c r="M59" s="6" t="n">
        <f aca="false">MAX((M58+K59-J59)*0.994,0)</f>
        <v>438979.055595075</v>
      </c>
    </row>
    <row r="60" customFormat="false" ht="15" hidden="false" customHeight="false" outlineLevel="0" collapsed="false">
      <c r="A60" s="5" t="n">
        <v>1888</v>
      </c>
      <c r="B60" s="8" t="n">
        <v>0.0409999999999997</v>
      </c>
      <c r="C60" s="8" t="n">
        <v>0.0157</v>
      </c>
      <c r="D60" s="8" t="n">
        <v>0.742634285714286</v>
      </c>
      <c r="E60" s="5" t="s">
        <v>12</v>
      </c>
      <c r="F60" s="9" t="n">
        <f aca="false">(MIN(B60,0.02)*150)+(MIN(C60,0.04)*50)+(MIN(D60,1)*4)+(IF(E60="Great Power",1.5,IF(E60="Secondary Power",1.25,IF(E60="Westernized Nation",1,0))))</f>
        <v>8.25553714285714</v>
      </c>
      <c r="G60" s="2" t="n">
        <f aca="false">MIN(G59+(4*2/90/100*12),1)</f>
        <v>0.918666666666668</v>
      </c>
      <c r="H60" s="2" t="n">
        <v>3.5</v>
      </c>
      <c r="I60" s="9" t="n">
        <f aca="false">F60*(1+H60+G60)</f>
        <v>44.7340039314286</v>
      </c>
      <c r="J60" s="6" t="n">
        <f aca="false">I60*365</f>
        <v>16327.9114349714</v>
      </c>
      <c r="K60" s="7"/>
      <c r="L60" s="5" t="n">
        <v>1888</v>
      </c>
      <c r="M60" s="6" t="n">
        <f aca="false">MAX((M59+K60-J60)*0.994,0)</f>
        <v>420115.237295143</v>
      </c>
    </row>
    <row r="61" customFormat="false" ht="15" hidden="false" customHeight="false" outlineLevel="0" collapsed="false">
      <c r="A61" s="5" t="n">
        <v>1889</v>
      </c>
      <c r="B61" s="8" t="n">
        <v>0.0409999999999997</v>
      </c>
      <c r="C61" s="8" t="n">
        <v>0.0159</v>
      </c>
      <c r="D61" s="8" t="n">
        <v>0.766181714285714</v>
      </c>
      <c r="E61" s="5" t="s">
        <v>12</v>
      </c>
      <c r="F61" s="9" t="n">
        <f aca="false">(MIN(B61,0.02)*150)+(MIN(C61,0.04)*50)+(MIN(D61,1)*4)+(IF(E61="Great Power",1.5,IF(E61="Secondary Power",1.25,IF(E61="Westernized Nation",1,0))))</f>
        <v>8.35972685714286</v>
      </c>
      <c r="G61" s="2" t="n">
        <f aca="false">MIN(G60+(4*2/90/100*12),1)</f>
        <v>0.929333333333335</v>
      </c>
      <c r="H61" s="2" t="n">
        <v>3.5</v>
      </c>
      <c r="I61" s="9" t="n">
        <f aca="false">F61*(1+H61+G61)</f>
        <v>45.3877436830476</v>
      </c>
      <c r="J61" s="6" t="n">
        <f aca="false">I61*365</f>
        <v>16566.5264443124</v>
      </c>
      <c r="K61" s="7"/>
      <c r="L61" s="5" t="n">
        <v>1889</v>
      </c>
      <c r="M61" s="6" t="n">
        <f aca="false">MAX((M60+K61-J61)*0.994,0)</f>
        <v>401127.418585726</v>
      </c>
    </row>
    <row r="62" customFormat="false" ht="15" hidden="false" customHeight="false" outlineLevel="0" collapsed="false">
      <c r="A62" s="5" t="n">
        <v>1890</v>
      </c>
      <c r="B62" s="8" t="n">
        <v>0.0409999999999997</v>
      </c>
      <c r="C62" s="8" t="n">
        <v>0.0161</v>
      </c>
      <c r="D62" s="8" t="n">
        <v>0.790075428571428</v>
      </c>
      <c r="E62" s="5" t="s">
        <v>12</v>
      </c>
      <c r="F62" s="9" t="n">
        <f aca="false">(MIN(B62,0.02)*150)+(MIN(C62,0.04)*50)+(MIN(D62,1)*4)+(IF(E62="Great Power",1.5,IF(E62="Secondary Power",1.25,IF(E62="Westernized Nation",1,0))))</f>
        <v>8.46530171428571</v>
      </c>
      <c r="G62" s="2" t="n">
        <f aca="false">MIN(G61+(4*2/90/100*12),1)</f>
        <v>0.940000000000002</v>
      </c>
      <c r="H62" s="2" t="n">
        <v>3.5</v>
      </c>
      <c r="I62" s="9" t="n">
        <f aca="false">F62*(1+H62+G62)</f>
        <v>46.0512413257143</v>
      </c>
      <c r="J62" s="6" t="n">
        <f aca="false">I62*365</f>
        <v>16808.7030838857</v>
      </c>
      <c r="K62" s="7" t="n">
        <v>54000</v>
      </c>
      <c r="L62" s="5" t="n">
        <v>1890</v>
      </c>
      <c r="M62" s="6" t="n">
        <f aca="false">MAX((M61+K62-J62)*0.994,0)</f>
        <v>435688.803208829</v>
      </c>
    </row>
    <row r="63" customFormat="false" ht="15" hidden="false" customHeight="false" outlineLevel="0" collapsed="false">
      <c r="A63" s="5" t="n">
        <v>1891</v>
      </c>
      <c r="B63" s="8" t="n">
        <v>0.0409999999999997</v>
      </c>
      <c r="C63" s="8" t="n">
        <v>0.0163</v>
      </c>
      <c r="D63" s="8" t="n">
        <v>0.814315428571429</v>
      </c>
      <c r="E63" s="5" t="s">
        <v>12</v>
      </c>
      <c r="F63" s="9" t="n">
        <f aca="false">(MIN(B63,0.02)*150)+(MIN(C63,0.04)*50)+(MIN(D63,1)*4)+(IF(E63="Great Power",1.5,IF(E63="Secondary Power",1.25,IF(E63="Westernized Nation",1,0))))</f>
        <v>8.57226171428572</v>
      </c>
      <c r="G63" s="2" t="n">
        <f aca="false">MIN(G62+(4*2/90/100*12),1)</f>
        <v>0.950666666666668</v>
      </c>
      <c r="H63" s="2" t="n">
        <v>3.5</v>
      </c>
      <c r="I63" s="9" t="n">
        <f aca="false">F63*(1+H63+G63)</f>
        <v>46.724541184</v>
      </c>
      <c r="J63" s="6" t="n">
        <f aca="false">I63*365</f>
        <v>17054.45753216</v>
      </c>
      <c r="K63" s="7"/>
      <c r="L63" s="5" t="n">
        <v>1891</v>
      </c>
      <c r="M63" s="6" t="n">
        <f aca="false">MAX((M62+K63-J63)*0.994,0)</f>
        <v>416122.539602609</v>
      </c>
    </row>
    <row r="64" customFormat="false" ht="15" hidden="false" customHeight="false" outlineLevel="0" collapsed="false">
      <c r="A64" s="5" t="n">
        <v>1892</v>
      </c>
      <c r="B64" s="8" t="n">
        <v>0.0409999999999997</v>
      </c>
      <c r="C64" s="8" t="n">
        <v>0.0165</v>
      </c>
      <c r="D64" s="8" t="n">
        <v>0.838555428571429</v>
      </c>
      <c r="E64" s="5" t="s">
        <v>12</v>
      </c>
      <c r="F64" s="9" t="n">
        <f aca="false">(MIN(B64,0.02)*150)+(MIN(C64,0.04)*50)+(MIN(D64,1)*4)+(IF(E64="Great Power",1.5,IF(E64="Secondary Power",1.25,IF(E64="Westernized Nation",1,0))))</f>
        <v>8.67922171428572</v>
      </c>
      <c r="G64" s="2" t="n">
        <f aca="false">MIN(G63+(4*2/90/100*12),1)</f>
        <v>0.961333333333335</v>
      </c>
      <c r="H64" s="2" t="n">
        <v>3.5</v>
      </c>
      <c r="I64" s="9" t="n">
        <f aca="false">F64*(1+H64+G64)</f>
        <v>47.4001228556191</v>
      </c>
      <c r="J64" s="6" t="n">
        <f aca="false">I64*365</f>
        <v>17301.044842301</v>
      </c>
      <c r="K64" s="7"/>
      <c r="L64" s="5" t="n">
        <v>1892</v>
      </c>
      <c r="M64" s="6" t="n">
        <f aca="false">MAX((M63+K64-J64)*0.994,0)</f>
        <v>396428.565791746</v>
      </c>
    </row>
    <row r="65" customFormat="false" ht="15" hidden="false" customHeight="false" outlineLevel="0" collapsed="false">
      <c r="A65" s="5" t="n">
        <v>1893</v>
      </c>
      <c r="B65" s="8" t="n">
        <v>0.0409999999999997</v>
      </c>
      <c r="C65" s="8" t="n">
        <v>0.0167</v>
      </c>
      <c r="D65" s="8" t="n">
        <v>0.862795428571429</v>
      </c>
      <c r="E65" s="5" t="s">
        <v>12</v>
      </c>
      <c r="F65" s="9" t="n">
        <f aca="false">(MIN(B65,0.02)*150)+(MIN(C65,0.04)*50)+(MIN(D65,1)*4)+(IF(E65="Great Power",1.5,IF(E65="Secondary Power",1.25,IF(E65="Westernized Nation",1,0))))</f>
        <v>8.78618171428572</v>
      </c>
      <c r="G65" s="2" t="n">
        <f aca="false">MIN(G64+(4*2/90/100*12),1)</f>
        <v>0.972000000000002</v>
      </c>
      <c r="H65" s="2" t="n">
        <v>3.5</v>
      </c>
      <c r="I65" s="9" t="n">
        <f aca="false">F65*(1+H65+G65)</f>
        <v>48.0779863405715</v>
      </c>
      <c r="J65" s="6" t="n">
        <f aca="false">I65*365</f>
        <v>17548.4650143086</v>
      </c>
      <c r="K65" s="7"/>
      <c r="L65" s="5" t="n">
        <v>1893</v>
      </c>
      <c r="M65" s="6" t="n">
        <f aca="false">MAX((M64+K65-J65)*0.994,0)</f>
        <v>376606.820172773</v>
      </c>
    </row>
    <row r="66" customFormat="false" ht="15" hidden="false" customHeight="false" outlineLevel="0" collapsed="false">
      <c r="A66" s="5" t="n">
        <v>1894</v>
      </c>
      <c r="B66" s="8" t="n">
        <v>0.0409999999999997</v>
      </c>
      <c r="C66" s="8" t="n">
        <v>0.0169</v>
      </c>
      <c r="D66" s="8" t="n">
        <v>0.887035428571429</v>
      </c>
      <c r="E66" s="5" t="s">
        <v>12</v>
      </c>
      <c r="F66" s="9" t="n">
        <f aca="false">(MIN(B66,0.02)*150)+(MIN(C66,0.04)*50)+(MIN(D66,1)*4)+(IF(E66="Great Power",1.5,IF(E66="Secondary Power",1.25,IF(E66="Westernized Nation",1,0))))</f>
        <v>8.89314171428572</v>
      </c>
      <c r="G66" s="2" t="n">
        <f aca="false">MIN(G65+(4*2/90/100*12),1)</f>
        <v>0.982666666666669</v>
      </c>
      <c r="H66" s="2" t="n">
        <v>3.5</v>
      </c>
      <c r="I66" s="9" t="n">
        <f aca="false">F66*(1+H66+G66)</f>
        <v>48.7581316388572</v>
      </c>
      <c r="J66" s="6" t="n">
        <f aca="false">I66*365</f>
        <v>17796.7180481829</v>
      </c>
      <c r="K66" s="7"/>
      <c r="L66" s="5" t="n">
        <v>1894</v>
      </c>
      <c r="M66" s="6" t="n">
        <f aca="false">MAX((M65+K66-J66)*0.994,0)</f>
        <v>356657.241511843</v>
      </c>
    </row>
    <row r="67" customFormat="false" ht="15" hidden="false" customHeight="false" outlineLevel="0" collapsed="false">
      <c r="A67" s="5" t="n">
        <v>1895</v>
      </c>
      <c r="B67" s="8" t="n">
        <v>0.0409999999999997</v>
      </c>
      <c r="C67" s="8" t="n">
        <v>0.0171</v>
      </c>
      <c r="D67" s="8" t="n">
        <v>0.911275428571429</v>
      </c>
      <c r="E67" s="5" t="s">
        <v>12</v>
      </c>
      <c r="F67" s="9" t="n">
        <f aca="false">(MIN(B67,0.02)*150)+(MIN(C67,0.04)*50)+(MIN(D67,1)*4)+(IF(E67="Great Power",1.5,IF(E67="Secondary Power",1.25,IF(E67="Westernized Nation",1,0))))</f>
        <v>9.00010171428572</v>
      </c>
      <c r="G67" s="2" t="n">
        <f aca="false">MIN(G66+(4*2/90/100*12),1)</f>
        <v>0.993333333333335</v>
      </c>
      <c r="H67" s="2" t="n">
        <v>3.5</v>
      </c>
      <c r="I67" s="9" t="n">
        <f aca="false">F67*(1+H67+G67)</f>
        <v>49.4405587504762</v>
      </c>
      <c r="J67" s="6" t="n">
        <f aca="false">I67*365</f>
        <v>18045.8039439238</v>
      </c>
      <c r="K67" s="7" t="n">
        <v>18000</v>
      </c>
      <c r="L67" s="5" t="n">
        <v>1895</v>
      </c>
      <c r="M67" s="6" t="n">
        <f aca="false">MAX((M66+K67-J67)*0.994,0)</f>
        <v>354471.768942511</v>
      </c>
    </row>
    <row r="68" customFormat="false" ht="15" hidden="false" customHeight="false" outlineLevel="0" collapsed="false">
      <c r="A68" s="5" t="n">
        <v>1896</v>
      </c>
      <c r="B68" s="8" t="n">
        <v>0.0409999999999997</v>
      </c>
      <c r="C68" s="8" t="n">
        <v>0.0173</v>
      </c>
      <c r="D68" s="8" t="n">
        <v>0.935515428571429</v>
      </c>
      <c r="E68" s="5" t="s">
        <v>12</v>
      </c>
      <c r="F68" s="9" t="n">
        <f aca="false">(MIN(B68,0.02)*150)+(MIN(C68,0.04)*50)+(MIN(D68,1)*4)+(IF(E68="Great Power",1.5,IF(E68="Secondary Power",1.25,IF(E68="Westernized Nation",1,0))))</f>
        <v>9.10706171428572</v>
      </c>
      <c r="G68" s="2" t="n">
        <f aca="false">MIN(G67+(4*2/90/100*12),1)</f>
        <v>1</v>
      </c>
      <c r="H68" s="2" t="n">
        <v>3.5</v>
      </c>
      <c r="I68" s="9" t="n">
        <f aca="false">F68*(1+H68+G68)</f>
        <v>50.0888394285714</v>
      </c>
      <c r="J68" s="6" t="n">
        <f aca="false">I68*365</f>
        <v>18282.4263914286</v>
      </c>
      <c r="K68" s="7"/>
      <c r="L68" s="5" t="n">
        <v>1896</v>
      </c>
      <c r="M68" s="6" t="n">
        <f aca="false">MAX((M67+K68-J68)*0.994,0)</f>
        <v>334172.206495776</v>
      </c>
    </row>
    <row r="69" customFormat="false" ht="15" hidden="false" customHeight="false" outlineLevel="0" collapsed="false">
      <c r="A69" s="5" t="n">
        <v>1897</v>
      </c>
      <c r="B69" s="8" t="n">
        <v>0.0409999999999997</v>
      </c>
      <c r="C69" s="8" t="n">
        <v>0.0175</v>
      </c>
      <c r="D69" s="8" t="n">
        <v>0.959755428571429</v>
      </c>
      <c r="E69" s="5" t="s">
        <v>12</v>
      </c>
      <c r="F69" s="9" t="n">
        <f aca="false">(MIN(B69,0.02)*150)+(MIN(C69,0.04)*50)+(MIN(D69,1)*4)+(IF(E69="Great Power",1.5,IF(E69="Secondary Power",1.25,IF(E69="Westernized Nation",1,0))))</f>
        <v>9.21402171428572</v>
      </c>
      <c r="G69" s="2" t="n">
        <f aca="false">MIN(G68+(4*2/90/100*12),1)</f>
        <v>1</v>
      </c>
      <c r="H69" s="2" t="n">
        <v>3.5</v>
      </c>
      <c r="I69" s="9" t="n">
        <f aca="false">F69*(1+H69+G69)</f>
        <v>50.6771194285714</v>
      </c>
      <c r="J69" s="6" t="n">
        <f aca="false">I69*365</f>
        <v>18497.1485914286</v>
      </c>
      <c r="K69" s="7"/>
      <c r="L69" s="5" t="n">
        <v>1897</v>
      </c>
      <c r="M69" s="6" t="n">
        <f aca="false">MAX((M68+K69-J69)*0.994,0)</f>
        <v>313781.007556922</v>
      </c>
    </row>
    <row r="70" customFormat="false" ht="15" hidden="false" customHeight="false" outlineLevel="0" collapsed="false">
      <c r="A70" s="5" t="n">
        <v>1898</v>
      </c>
      <c r="B70" s="8" t="n">
        <v>0.0409999999999996</v>
      </c>
      <c r="C70" s="8" t="n">
        <v>0.0177</v>
      </c>
      <c r="D70" s="8" t="n">
        <v>0.983995428571429</v>
      </c>
      <c r="E70" s="5" t="s">
        <v>12</v>
      </c>
      <c r="F70" s="9" t="n">
        <f aca="false">(MIN(B70,0.02)*150)+(MIN(C70,0.04)*50)+(MIN(D70,1)*4)+(IF(E70="Great Power",1.5,IF(E70="Secondary Power",1.25,IF(E70="Westernized Nation",1,0))))</f>
        <v>9.32098171428572</v>
      </c>
      <c r="G70" s="2" t="n">
        <f aca="false">MIN(G69+(4*2/90/100*12),1)</f>
        <v>1</v>
      </c>
      <c r="H70" s="2" t="n">
        <v>3.5</v>
      </c>
      <c r="I70" s="9" t="n">
        <f aca="false">F70*(1+H70+G70)</f>
        <v>51.2653994285714</v>
      </c>
      <c r="J70" s="6" t="n">
        <f aca="false">I70*365</f>
        <v>18711.8707914286</v>
      </c>
      <c r="K70" s="7" t="n">
        <v>18000</v>
      </c>
      <c r="L70" s="5" t="n">
        <v>1898</v>
      </c>
      <c r="M70" s="6" t="n">
        <f aca="false">MAX((M69+K70-J70)*0.994,0)</f>
        <v>311190.7219449</v>
      </c>
    </row>
    <row r="71" customFormat="false" ht="15" hidden="false" customHeight="false" outlineLevel="0" collapsed="false">
      <c r="A71" s="5" t="n">
        <v>1899</v>
      </c>
      <c r="B71" s="8" t="n">
        <v>0.0409999999999996</v>
      </c>
      <c r="C71" s="8" t="n">
        <v>0.0179</v>
      </c>
      <c r="D71" s="8" t="n">
        <v>1</v>
      </c>
      <c r="E71" s="5" t="s">
        <v>12</v>
      </c>
      <c r="F71" s="9" t="n">
        <f aca="false">(MIN(B71,0.02)*150)+(MIN(C71,0.04)*50)+(MIN(D71,1)*4)+(IF(E71="Great Power",1.5,IF(E71="Secondary Power",1.25,IF(E71="Westernized Nation",1,0))))</f>
        <v>9.395</v>
      </c>
      <c r="G71" s="2" t="n">
        <f aca="false">MIN(G70+(4*2/90/100*12),1)</f>
        <v>1</v>
      </c>
      <c r="H71" s="2" t="n">
        <v>3.5</v>
      </c>
      <c r="I71" s="9" t="n">
        <f aca="false">F71*(1+H71+G71)</f>
        <v>51.6725</v>
      </c>
      <c r="J71" s="6" t="n">
        <f aca="false">I71*365</f>
        <v>18860.4625</v>
      </c>
      <c r="K71" s="7"/>
      <c r="L71" s="5" t="n">
        <v>1899</v>
      </c>
      <c r="M71" s="6" t="n">
        <f aca="false">MAX((M70+K71-J71)*0.994,0)</f>
        <v>290576.277888231</v>
      </c>
    </row>
    <row r="72" customFormat="false" ht="15" hidden="false" customHeight="false" outlineLevel="0" collapsed="false">
      <c r="A72" s="5" t="n">
        <v>1900</v>
      </c>
      <c r="B72" s="8" t="n">
        <v>0.0409999999999996</v>
      </c>
      <c r="C72" s="8" t="n">
        <v>0.0181</v>
      </c>
      <c r="D72" s="8" t="n">
        <v>1</v>
      </c>
      <c r="E72" s="5" t="s">
        <v>12</v>
      </c>
      <c r="F72" s="9" t="n">
        <f aca="false">(MIN(B72,0.02)*150)+(MIN(C72,0.04)*50)+(MIN(D72,1)*4)+(IF(E72="Great Power",1.5,IF(E72="Secondary Power",1.25,IF(E72="Westernized Nation",1,0))))</f>
        <v>9.405</v>
      </c>
      <c r="G72" s="2" t="n">
        <f aca="false">MIN(G71+(4*2/90/100*12),1)</f>
        <v>1</v>
      </c>
      <c r="H72" s="2" t="n">
        <v>3.5</v>
      </c>
      <c r="I72" s="9" t="n">
        <f aca="false">F72*(1+H72+G72)</f>
        <v>51.7275</v>
      </c>
      <c r="J72" s="6" t="n">
        <f aca="false">I72*365</f>
        <v>18880.5375</v>
      </c>
      <c r="K72" s="7" t="n">
        <v>255600</v>
      </c>
      <c r="L72" s="5" t="n">
        <v>1900</v>
      </c>
      <c r="M72" s="6" t="n">
        <f aca="false">MAX((M71+K72-J72)*0.994,0)</f>
        <v>524131.965945901</v>
      </c>
    </row>
    <row r="73" customFormat="false" ht="15" hidden="false" customHeight="false" outlineLevel="0" collapsed="false">
      <c r="A73" s="5" t="n">
        <v>1901</v>
      </c>
      <c r="B73" s="8" t="n">
        <v>0.0409999999999996</v>
      </c>
      <c r="C73" s="8" t="n">
        <v>0.0183</v>
      </c>
      <c r="D73" s="8" t="n">
        <v>1</v>
      </c>
      <c r="E73" s="5" t="s">
        <v>12</v>
      </c>
      <c r="F73" s="9" t="n">
        <f aca="false">(MIN(B73,0.02)*150)+(MIN(C73,0.04)*50)+(MIN(D73,1)*4)+(IF(E73="Great Power",1.5,IF(E73="Secondary Power",1.25,IF(E73="Westernized Nation",1,0))))</f>
        <v>9.415</v>
      </c>
      <c r="G73" s="2" t="n">
        <f aca="false">MIN(G72+(4*2/90/100*12),1)</f>
        <v>1</v>
      </c>
      <c r="H73" s="2" t="n">
        <v>4.5</v>
      </c>
      <c r="I73" s="9" t="n">
        <f aca="false">F73*(1+H73+G73)</f>
        <v>61.1975</v>
      </c>
      <c r="J73" s="6" t="n">
        <f aca="false">I73*365</f>
        <v>22337.0875</v>
      </c>
      <c r="K73" s="7"/>
      <c r="L73" s="5" t="n">
        <v>1901</v>
      </c>
      <c r="M73" s="6" t="n">
        <f aca="false">MAX((M72+K73-J73)*0.994,0)</f>
        <v>498784.109175226</v>
      </c>
    </row>
    <row r="74" customFormat="false" ht="15" hidden="false" customHeight="false" outlineLevel="0" collapsed="false">
      <c r="A74" s="5" t="n">
        <v>1902</v>
      </c>
      <c r="B74" s="8" t="n">
        <v>0.0409999999999996</v>
      </c>
      <c r="C74" s="8" t="n">
        <v>0.0185</v>
      </c>
      <c r="D74" s="8" t="n">
        <v>1</v>
      </c>
      <c r="E74" s="5" t="s">
        <v>12</v>
      </c>
      <c r="F74" s="9" t="n">
        <f aca="false">(MIN(B74,0.02)*150)+(MIN(C74,0.04)*50)+(MIN(D74,1)*4)+(IF(E74="Great Power",1.5,IF(E74="Secondary Power",1.25,IF(E74="Westernized Nation",1,0))))</f>
        <v>9.425</v>
      </c>
      <c r="G74" s="2" t="n">
        <f aca="false">MIN(G73+(4*2/90/100*12),1)</f>
        <v>1</v>
      </c>
      <c r="H74" s="2" t="n">
        <v>4.5</v>
      </c>
      <c r="I74" s="9" t="n">
        <f aca="false">F74*(1+H74+G74)</f>
        <v>61.2625</v>
      </c>
      <c r="J74" s="6" t="n">
        <f aca="false">I74*365</f>
        <v>22360.8125</v>
      </c>
      <c r="K74" s="7"/>
      <c r="L74" s="5" t="n">
        <v>1902</v>
      </c>
      <c r="M74" s="6" t="n">
        <f aca="false">MAX((M73+K74-J74)*0.994,0)</f>
        <v>473564.756895175</v>
      </c>
    </row>
    <row r="75" customFormat="false" ht="15" hidden="false" customHeight="false" outlineLevel="0" collapsed="false">
      <c r="A75" s="5" t="n">
        <v>1903</v>
      </c>
      <c r="B75" s="8" t="n">
        <v>0.0409999999999996</v>
      </c>
      <c r="C75" s="8" t="n">
        <v>0.0187</v>
      </c>
      <c r="D75" s="8" t="n">
        <v>1</v>
      </c>
      <c r="E75" s="5" t="s">
        <v>12</v>
      </c>
      <c r="F75" s="9" t="n">
        <f aca="false">(MIN(B75,0.02)*150)+(MIN(C75,0.04)*50)+(MIN(D75,1)*4)+(IF(E75="Great Power",1.5,IF(E75="Secondary Power",1.25,IF(E75="Westernized Nation",1,0))))</f>
        <v>9.435</v>
      </c>
      <c r="G75" s="2" t="n">
        <f aca="false">MIN(G74+(4*2/90/100*12),1)</f>
        <v>1</v>
      </c>
      <c r="H75" s="2" t="n">
        <v>4.5</v>
      </c>
      <c r="I75" s="9" t="n">
        <f aca="false">F75*(1+H75+G75)</f>
        <v>61.3275</v>
      </c>
      <c r="J75" s="6" t="n">
        <f aca="false">I75*365</f>
        <v>22384.5375</v>
      </c>
      <c r="K75" s="7"/>
      <c r="L75" s="5" t="n">
        <v>1903</v>
      </c>
      <c r="M75" s="6" t="n">
        <f aca="false">MAX((M74+K75-J75)*0.994,0)</f>
        <v>448473.138078804</v>
      </c>
    </row>
    <row r="76" customFormat="false" ht="15" hidden="false" customHeight="false" outlineLevel="0" collapsed="false">
      <c r="A76" s="5" t="n">
        <v>1904</v>
      </c>
      <c r="B76" s="8" t="n">
        <v>0.0409999999999996</v>
      </c>
      <c r="C76" s="8" t="n">
        <v>0.0189</v>
      </c>
      <c r="D76" s="8" t="n">
        <v>1</v>
      </c>
      <c r="E76" s="5" t="s">
        <v>12</v>
      </c>
      <c r="F76" s="9" t="n">
        <f aca="false">(MIN(B76,0.02)*150)+(MIN(C76,0.04)*50)+(MIN(D76,1)*4)+(IF(E76="Great Power",1.5,IF(E76="Secondary Power",1.25,IF(E76="Westernized Nation",1,0))))</f>
        <v>9.445</v>
      </c>
      <c r="G76" s="2" t="n">
        <f aca="false">MIN(G75+(4*2/90/100*12),1)</f>
        <v>1</v>
      </c>
      <c r="H76" s="2" t="n">
        <v>4.5</v>
      </c>
      <c r="I76" s="9" t="n">
        <f aca="false">F76*(1+H76+G76)</f>
        <v>61.3925</v>
      </c>
      <c r="J76" s="6" t="n">
        <f aca="false">I76*365</f>
        <v>22408.2625</v>
      </c>
      <c r="K76" s="7"/>
      <c r="L76" s="5" t="n">
        <v>1904</v>
      </c>
      <c r="M76" s="6" t="n">
        <f aca="false">MAX((M75+K76-J76)*0.994,0)</f>
        <v>423508.486325331</v>
      </c>
    </row>
    <row r="77" customFormat="false" ht="15" hidden="false" customHeight="false" outlineLevel="0" collapsed="false">
      <c r="A77" s="5" t="n">
        <v>1905</v>
      </c>
      <c r="B77" s="8" t="n">
        <v>0.0409999999999996</v>
      </c>
      <c r="C77" s="8" t="n">
        <v>0.0191</v>
      </c>
      <c r="D77" s="8" t="n">
        <v>1</v>
      </c>
      <c r="E77" s="5" t="s">
        <v>12</v>
      </c>
      <c r="F77" s="9" t="n">
        <f aca="false">(MIN(B77,0.02)*150)+(MIN(C77,0.04)*50)+(MIN(D77,1)*4)+(IF(E77="Great Power",1.5,IF(E77="Secondary Power",1.25,IF(E77="Westernized Nation",1,0))))</f>
        <v>9.455</v>
      </c>
      <c r="G77" s="2" t="n">
        <f aca="false">MIN(G76+(4*2/90/100*12),1)</f>
        <v>1</v>
      </c>
      <c r="H77" s="2" t="n">
        <v>4.5</v>
      </c>
      <c r="I77" s="9" t="n">
        <f aca="false">F77*(1+H77+G77)</f>
        <v>61.4575</v>
      </c>
      <c r="J77" s="6" t="n">
        <f aca="false">I77*365</f>
        <v>22431.9875</v>
      </c>
      <c r="K77" s="7" t="n">
        <v>21600</v>
      </c>
      <c r="L77" s="5" t="n">
        <v>1905</v>
      </c>
      <c r="M77" s="6" t="n">
        <f aca="false">MAX((M76+K77-J77)*0.994,0)</f>
        <v>420140.439832379</v>
      </c>
    </row>
    <row r="78" customFormat="false" ht="15" hidden="false" customHeight="false" outlineLevel="0" collapsed="false">
      <c r="A78" s="5" t="n">
        <v>1906</v>
      </c>
      <c r="B78" s="8" t="n">
        <v>0.0409999999999996</v>
      </c>
      <c r="C78" s="8" t="n">
        <v>0.0193</v>
      </c>
      <c r="D78" s="8" t="n">
        <v>1</v>
      </c>
      <c r="E78" s="5" t="s">
        <v>12</v>
      </c>
      <c r="F78" s="9" t="n">
        <f aca="false">(MIN(B78,0.02)*150)+(MIN(C78,0.04)*50)+(MIN(D78,1)*4)+(IF(E78="Great Power",1.5,IF(E78="Secondary Power",1.25,IF(E78="Westernized Nation",1,0))))</f>
        <v>9.465</v>
      </c>
      <c r="G78" s="2" t="n">
        <f aca="false">MIN(G77+(4*2/90/100*12),1)</f>
        <v>1</v>
      </c>
      <c r="H78" s="2" t="n">
        <v>4.5</v>
      </c>
      <c r="I78" s="9" t="n">
        <f aca="false">F78*(1+H78+G78)</f>
        <v>61.5225</v>
      </c>
      <c r="J78" s="6" t="n">
        <f aca="false">I78*365</f>
        <v>22455.7125</v>
      </c>
      <c r="K78" s="7"/>
      <c r="L78" s="5" t="n">
        <v>1906</v>
      </c>
      <c r="M78" s="6" t="n">
        <f aca="false">MAX((M77+K78-J78)*0.994,0)</f>
        <v>395298.618968384</v>
      </c>
    </row>
    <row r="79" customFormat="false" ht="15" hidden="false" customHeight="false" outlineLevel="0" collapsed="false">
      <c r="A79" s="5" t="n">
        <v>1907</v>
      </c>
      <c r="B79" s="8" t="n">
        <v>0.0409999999999996</v>
      </c>
      <c r="C79" s="8" t="n">
        <v>0.0195</v>
      </c>
      <c r="D79" s="8" t="n">
        <v>1</v>
      </c>
      <c r="E79" s="5" t="s">
        <v>12</v>
      </c>
      <c r="F79" s="9" t="n">
        <f aca="false">(MIN(B79,0.02)*150)+(MIN(C79,0.04)*50)+(MIN(D79,1)*4)+(IF(E79="Great Power",1.5,IF(E79="Secondary Power",1.25,IF(E79="Westernized Nation",1,0))))</f>
        <v>9.475</v>
      </c>
      <c r="G79" s="2" t="n">
        <f aca="false">MIN(G78+(4*2/90/100*12),1)</f>
        <v>1</v>
      </c>
      <c r="H79" s="2" t="n">
        <v>4.5</v>
      </c>
      <c r="I79" s="9" t="n">
        <f aca="false">F79*(1+H79+G79)</f>
        <v>61.5875</v>
      </c>
      <c r="J79" s="6" t="n">
        <f aca="false">I79*365</f>
        <v>22479.4375</v>
      </c>
      <c r="K79" s="7"/>
      <c r="L79" s="5" t="n">
        <v>1907</v>
      </c>
      <c r="M79" s="6" t="n">
        <f aca="false">MAX((M78+K79-J79)*0.994,0)</f>
        <v>370582.266379574</v>
      </c>
    </row>
    <row r="80" customFormat="false" ht="15" hidden="false" customHeight="false" outlineLevel="0" collapsed="false">
      <c r="A80" s="5" t="n">
        <v>1908</v>
      </c>
      <c r="B80" s="8" t="n">
        <v>0.0409999999999995</v>
      </c>
      <c r="C80" s="8" t="n">
        <v>0.0197</v>
      </c>
      <c r="D80" s="8" t="n">
        <v>1</v>
      </c>
      <c r="E80" s="5" t="s">
        <v>12</v>
      </c>
      <c r="F80" s="9" t="n">
        <f aca="false">(MIN(B80,0.02)*150)+(MIN(C80,0.04)*50)+(MIN(D80,1)*4)+(IF(E80="Great Power",1.5,IF(E80="Secondary Power",1.25,IF(E80="Westernized Nation",1,0))))</f>
        <v>9.485</v>
      </c>
      <c r="G80" s="2" t="n">
        <f aca="false">MIN(G79+(4*2/90/100*12),1)</f>
        <v>1</v>
      </c>
      <c r="H80" s="2" t="n">
        <v>4.5</v>
      </c>
      <c r="I80" s="9" t="n">
        <f aca="false">F80*(1+H80+G80)</f>
        <v>61.6525</v>
      </c>
      <c r="J80" s="6" t="n">
        <f aca="false">I80*365</f>
        <v>22503.1625</v>
      </c>
      <c r="K80" s="7"/>
      <c r="L80" s="5" t="n">
        <v>1908</v>
      </c>
      <c r="M80" s="6" t="n">
        <f aca="false">MAX((M79+K80-J80)*0.994,0)</f>
        <v>345990.629256297</v>
      </c>
    </row>
    <row r="81" customFormat="false" ht="15" hidden="false" customHeight="false" outlineLevel="0" collapsed="false">
      <c r="A81" s="5" t="n">
        <v>1909</v>
      </c>
      <c r="B81" s="8" t="n">
        <v>0.0409999999999995</v>
      </c>
      <c r="C81" s="8" t="n">
        <v>0.0199</v>
      </c>
      <c r="D81" s="8" t="n">
        <v>1</v>
      </c>
      <c r="E81" s="5" t="s">
        <v>12</v>
      </c>
      <c r="F81" s="9" t="n">
        <f aca="false">(MIN(B81,0.02)*150)+(MIN(C81,0.04)*50)+(MIN(D81,1)*4)+(IF(E81="Great Power",1.5,IF(E81="Secondary Power",1.25,IF(E81="Westernized Nation",1,0))))</f>
        <v>9.495</v>
      </c>
      <c r="G81" s="2" t="n">
        <f aca="false">MIN(G80+(4*2/90/100*12),1)</f>
        <v>1</v>
      </c>
      <c r="H81" s="2" t="n">
        <v>4.5</v>
      </c>
      <c r="I81" s="9" t="n">
        <f aca="false">F81*(1+H81+G81)</f>
        <v>61.7175</v>
      </c>
      <c r="J81" s="6" t="n">
        <f aca="false">I81*365</f>
        <v>22526.8875</v>
      </c>
      <c r="K81" s="7"/>
      <c r="L81" s="5" t="n">
        <v>1909</v>
      </c>
      <c r="M81" s="6" t="n">
        <f aca="false">MAX((M80+K81-J81)*0.994,0)</f>
        <v>321522.959305759</v>
      </c>
    </row>
    <row r="82" customFormat="false" ht="15" hidden="false" customHeight="false" outlineLevel="0" collapsed="false">
      <c r="A82" s="5" t="n">
        <v>1910</v>
      </c>
      <c r="B82" s="8" t="n">
        <v>0.0409999999999995</v>
      </c>
      <c r="C82" s="8" t="n">
        <v>0.0201</v>
      </c>
      <c r="D82" s="8" t="n">
        <v>1</v>
      </c>
      <c r="E82" s="5" t="s">
        <v>12</v>
      </c>
      <c r="F82" s="9" t="n">
        <f aca="false">(MIN(B82,0.02)*150)+(MIN(C82,0.04)*50)+(MIN(D82,1)*4)+(IF(E82="Great Power",1.5,IF(E82="Secondary Power",1.25,IF(E82="Westernized Nation",1,0))))</f>
        <v>9.505</v>
      </c>
      <c r="G82" s="2" t="n">
        <f aca="false">MIN(G81+(4*2/90/100*12),1)</f>
        <v>1</v>
      </c>
      <c r="H82" s="2" t="n">
        <v>4.5</v>
      </c>
      <c r="I82" s="9" t="n">
        <f aca="false">F82*(1+H82+G82)</f>
        <v>61.7825</v>
      </c>
      <c r="J82" s="6" t="n">
        <f aca="false">I82*365</f>
        <v>22550.6125</v>
      </c>
      <c r="K82" s="7" t="n">
        <v>21600</v>
      </c>
      <c r="L82" s="5" t="n">
        <v>1910</v>
      </c>
      <c r="M82" s="6" t="n">
        <f aca="false">MAX((M81+K82-J82)*0.994,0)</f>
        <v>318648.912724924</v>
      </c>
    </row>
    <row r="83" customFormat="false" ht="15" hidden="false" customHeight="false" outlineLevel="0" collapsed="false">
      <c r="A83" s="5" t="n">
        <v>1911</v>
      </c>
      <c r="B83" s="8" t="n">
        <v>0.0409999999999995</v>
      </c>
      <c r="C83" s="8" t="n">
        <v>0.0203</v>
      </c>
      <c r="D83" s="8" t="n">
        <v>1</v>
      </c>
      <c r="E83" s="5" t="s">
        <v>12</v>
      </c>
      <c r="F83" s="9" t="n">
        <f aca="false">(MIN(B83,0.02)*150)+(MIN(C83,0.04)*50)+(MIN(D83,1)*4)+(IF(E83="Great Power",1.5,IF(E83="Secondary Power",1.25,IF(E83="Westernized Nation",1,0))))</f>
        <v>9.515</v>
      </c>
      <c r="G83" s="2" t="n">
        <f aca="false">MIN(G82+(4*2/90/100*12),1)</f>
        <v>1</v>
      </c>
      <c r="H83" s="2" t="n">
        <v>4.5</v>
      </c>
      <c r="I83" s="9" t="n">
        <f aca="false">F83*(1+H83+G83)</f>
        <v>61.8475</v>
      </c>
      <c r="J83" s="6" t="n">
        <f aca="false">I83*365</f>
        <v>22574.3375</v>
      </c>
      <c r="K83" s="7"/>
      <c r="L83" s="5" t="n">
        <v>1911</v>
      </c>
      <c r="M83" s="6" t="n">
        <f aca="false">MAX((M82+K83-J83)*0.994,0)</f>
        <v>294298.127773575</v>
      </c>
    </row>
    <row r="84" customFormat="false" ht="15" hidden="false" customHeight="false" outlineLevel="0" collapsed="false">
      <c r="A84" s="5" t="n">
        <v>1912</v>
      </c>
      <c r="B84" s="8" t="n">
        <v>0.0409999999999995</v>
      </c>
      <c r="C84" s="8" t="n">
        <v>0.0205</v>
      </c>
      <c r="D84" s="8" t="n">
        <v>1</v>
      </c>
      <c r="E84" s="5" t="s">
        <v>12</v>
      </c>
      <c r="F84" s="9" t="n">
        <f aca="false">(MIN(B84,0.02)*150)+(MIN(C84,0.04)*50)+(MIN(D84,1)*4)+(IF(E84="Great Power",1.5,IF(E84="Secondary Power",1.25,IF(E84="Westernized Nation",1,0))))</f>
        <v>9.525</v>
      </c>
      <c r="G84" s="2" t="n">
        <f aca="false">MIN(G83+(4*2/90/100*12),1)</f>
        <v>1</v>
      </c>
      <c r="H84" s="2" t="n">
        <v>4.5</v>
      </c>
      <c r="I84" s="9" t="n">
        <f aca="false">F84*(1+H84+G84)</f>
        <v>61.9125</v>
      </c>
      <c r="J84" s="6" t="n">
        <f aca="false">I84*365</f>
        <v>22598.0625</v>
      </c>
      <c r="K84" s="7"/>
      <c r="L84" s="5" t="n">
        <v>1912</v>
      </c>
      <c r="M84" s="6" t="n">
        <f aca="false">MAX((M83+K84-J84)*0.994,0)</f>
        <v>270069.864881933</v>
      </c>
    </row>
    <row r="85" customFormat="false" ht="15" hidden="false" customHeight="false" outlineLevel="0" collapsed="false">
      <c r="A85" s="5" t="n">
        <v>1913</v>
      </c>
      <c r="B85" s="8" t="n">
        <v>0.0409999999999995</v>
      </c>
      <c r="C85" s="8" t="n">
        <v>0.0207</v>
      </c>
      <c r="D85" s="8" t="n">
        <v>1</v>
      </c>
      <c r="E85" s="5" t="s">
        <v>12</v>
      </c>
      <c r="F85" s="9" t="n">
        <f aca="false">(MIN(B85,0.02)*150)+(MIN(C85,0.04)*50)+(MIN(D85,1)*4)+(IF(E85="Great Power",1.5,IF(E85="Secondary Power",1.25,IF(E85="Westernized Nation",1,0))))</f>
        <v>9.535</v>
      </c>
      <c r="G85" s="2" t="n">
        <f aca="false">MIN(G84+(4*2/90/100*12),1)</f>
        <v>1</v>
      </c>
      <c r="H85" s="2" t="n">
        <v>4.5</v>
      </c>
      <c r="I85" s="9" t="n">
        <f aca="false">F85*(1+H85+G85)</f>
        <v>61.9775</v>
      </c>
      <c r="J85" s="6" t="n">
        <f aca="false">I85*365</f>
        <v>22621.7875</v>
      </c>
      <c r="K85" s="7"/>
      <c r="L85" s="5" t="n">
        <v>1913</v>
      </c>
      <c r="M85" s="6" t="n">
        <f aca="false">MAX((M84+K85-J85)*0.994,0)</f>
        <v>245963.388917642</v>
      </c>
    </row>
    <row r="86" customFormat="false" ht="15" hidden="false" customHeight="false" outlineLevel="0" collapsed="false">
      <c r="A86" s="5" t="n">
        <v>1914</v>
      </c>
      <c r="B86" s="8" t="n">
        <v>0.0409999999999995</v>
      </c>
      <c r="C86" s="8" t="n">
        <v>0.0209</v>
      </c>
      <c r="D86" s="8" t="n">
        <v>1</v>
      </c>
      <c r="E86" s="5" t="s">
        <v>12</v>
      </c>
      <c r="F86" s="9" t="n">
        <f aca="false">(MIN(B86,0.02)*150)+(MIN(C86,0.04)*50)+(MIN(D86,1)*4)+(IF(E86="Great Power",1.5,IF(E86="Secondary Power",1.25,IF(E86="Westernized Nation",1,0))))</f>
        <v>9.545</v>
      </c>
      <c r="G86" s="2" t="n">
        <f aca="false">MIN(G85+(4*2/90/100*12),1)</f>
        <v>1</v>
      </c>
      <c r="H86" s="2" t="n">
        <v>4.5</v>
      </c>
      <c r="I86" s="9" t="n">
        <f aca="false">F86*(1+H86+G86)</f>
        <v>62.0425</v>
      </c>
      <c r="J86" s="6" t="n">
        <f aca="false">I86*365</f>
        <v>22645.5125</v>
      </c>
      <c r="K86" s="7" t="n">
        <v>43200</v>
      </c>
      <c r="L86" s="5" t="n">
        <v>1914</v>
      </c>
      <c r="M86" s="6" t="n">
        <f aca="false">MAX((M85+K86-J86)*0.994,0)</f>
        <v>264918.769159136</v>
      </c>
    </row>
    <row r="87" customFormat="false" ht="15" hidden="false" customHeight="false" outlineLevel="0" collapsed="false">
      <c r="A87" s="5" t="n">
        <v>1915</v>
      </c>
      <c r="B87" s="8" t="n">
        <v>0.0409999999999995</v>
      </c>
      <c r="C87" s="8" t="n">
        <v>0.0211</v>
      </c>
      <c r="D87" s="8" t="n">
        <v>1</v>
      </c>
      <c r="E87" s="5" t="s">
        <v>12</v>
      </c>
      <c r="F87" s="9" t="n">
        <f aca="false">(MIN(B87,0.02)*150)+(MIN(C87,0.04)*50)+(MIN(D87,1)*4)+(IF(E87="Great Power",1.5,IF(E87="Secondary Power",1.25,IF(E87="Westernized Nation",1,0))))</f>
        <v>9.555</v>
      </c>
      <c r="G87" s="2" t="n">
        <f aca="false">MIN(G86+(4*2/90/100*12),1)</f>
        <v>1</v>
      </c>
      <c r="H87" s="2" t="n">
        <v>4.5</v>
      </c>
      <c r="I87" s="9" t="n">
        <f aca="false">F87*(1+H87+G87)</f>
        <v>62.1075</v>
      </c>
      <c r="J87" s="6" t="n">
        <f aca="false">I87*365</f>
        <v>22669.2375</v>
      </c>
      <c r="K87" s="7" t="n">
        <v>21600</v>
      </c>
      <c r="L87" s="5" t="n">
        <v>1915</v>
      </c>
      <c r="M87" s="6" t="n">
        <f aca="false">MAX((M86+K87-J87)*0.994,0)</f>
        <v>262266.434469181</v>
      </c>
    </row>
    <row r="88" customFormat="false" ht="15" hidden="false" customHeight="false" outlineLevel="0" collapsed="false">
      <c r="A88" s="5" t="n">
        <v>1916</v>
      </c>
      <c r="B88" s="8" t="n">
        <v>0.0409999999999995</v>
      </c>
      <c r="C88" s="8" t="n">
        <v>0.0213</v>
      </c>
      <c r="D88" s="8" t="n">
        <v>1</v>
      </c>
      <c r="E88" s="5" t="s">
        <v>12</v>
      </c>
      <c r="F88" s="9" t="n">
        <f aca="false">(MIN(B88,0.02)*150)+(MIN(C88,0.04)*50)+(MIN(D88,1)*4)+(IF(E88="Great Power",1.5,IF(E88="Secondary Power",1.25,IF(E88="Westernized Nation",1,0))))</f>
        <v>9.565</v>
      </c>
      <c r="G88" s="2" t="n">
        <f aca="false">MIN(G87+(4*2/90/100*12),1)</f>
        <v>1</v>
      </c>
      <c r="H88" s="2" t="n">
        <v>4.5</v>
      </c>
      <c r="I88" s="9" t="n">
        <f aca="false">F88*(1+H88+G88)</f>
        <v>62.1725</v>
      </c>
      <c r="J88" s="6" t="n">
        <f aca="false">I88*365</f>
        <v>22692.9625</v>
      </c>
      <c r="K88" s="7"/>
      <c r="L88" s="5" t="n">
        <v>1916</v>
      </c>
      <c r="M88" s="6" t="n">
        <f aca="false">MAX((M87+K88-J88)*0.994,0)</f>
        <v>238136.031137366</v>
      </c>
    </row>
    <row r="89" customFormat="false" ht="15" hidden="false" customHeight="false" outlineLevel="0" collapsed="false">
      <c r="A89" s="5" t="n">
        <v>1917</v>
      </c>
      <c r="B89" s="8" t="n">
        <v>0.0409999999999995</v>
      </c>
      <c r="C89" s="8" t="n">
        <v>0.0215</v>
      </c>
      <c r="D89" s="8" t="n">
        <v>1</v>
      </c>
      <c r="E89" s="5" t="s">
        <v>12</v>
      </c>
      <c r="F89" s="9" t="n">
        <f aca="false">(MIN(B89,0.02)*150)+(MIN(C89,0.04)*50)+(MIN(D89,1)*4)+(IF(E89="Great Power",1.5,IF(E89="Secondary Power",1.25,IF(E89="Westernized Nation",1,0))))</f>
        <v>9.575</v>
      </c>
      <c r="G89" s="2" t="n">
        <f aca="false">MIN(G88+(4*2/90/100*12),1)</f>
        <v>1</v>
      </c>
      <c r="H89" s="2" t="n">
        <v>4.5</v>
      </c>
      <c r="I89" s="9" t="n">
        <f aca="false">F89*(1+H89+G89)</f>
        <v>62.2375</v>
      </c>
      <c r="J89" s="6" t="n">
        <f aca="false">I89*365</f>
        <v>22716.6875</v>
      </c>
      <c r="K89" s="7"/>
      <c r="L89" s="5" t="n">
        <v>1917</v>
      </c>
      <c r="M89" s="6" t="n">
        <f aca="false">MAX((M88+K89-J89)*0.994,0)</f>
        <v>214126.827575542</v>
      </c>
    </row>
    <row r="90" customFormat="false" ht="15" hidden="false" customHeight="false" outlineLevel="0" collapsed="false">
      <c r="A90" s="5" t="n">
        <v>1918</v>
      </c>
      <c r="B90" s="8" t="n">
        <v>0.0409999999999994</v>
      </c>
      <c r="C90" s="8" t="n">
        <v>0.0217</v>
      </c>
      <c r="D90" s="8" t="n">
        <v>1</v>
      </c>
      <c r="E90" s="5" t="s">
        <v>12</v>
      </c>
      <c r="F90" s="9" t="n">
        <f aca="false">(MIN(B90,0.02)*150)+(MIN(C90,0.04)*50)+(MIN(D90,1)*4)+(IF(E90="Great Power",1.5,IF(E90="Secondary Power",1.25,IF(E90="Westernized Nation",1,0))))</f>
        <v>9.585</v>
      </c>
      <c r="G90" s="2" t="n">
        <f aca="false">MIN(G89+(4*2/90/100*12),1)</f>
        <v>1</v>
      </c>
      <c r="H90" s="2" t="n">
        <v>4.5</v>
      </c>
      <c r="I90" s="9" t="n">
        <f aca="false">F90*(1+H90+G90)</f>
        <v>62.3025</v>
      </c>
      <c r="J90" s="6" t="n">
        <f aca="false">I90*365</f>
        <v>22740.4125</v>
      </c>
      <c r="K90" s="7"/>
      <c r="L90" s="5" t="n">
        <v>1918</v>
      </c>
      <c r="M90" s="6" t="n">
        <f aca="false">MAX((M89+K90-J90)*0.994,0)</f>
        <v>190238.096585089</v>
      </c>
    </row>
    <row r="91" customFormat="false" ht="15" hidden="false" customHeight="false" outlineLevel="0" collapsed="false">
      <c r="A91" s="5" t="n">
        <v>1919</v>
      </c>
      <c r="B91" s="8" t="n">
        <v>0.0409999999999994</v>
      </c>
      <c r="C91" s="8" t="n">
        <v>0.0219</v>
      </c>
      <c r="D91" s="8" t="n">
        <v>1</v>
      </c>
      <c r="E91" s="5" t="s">
        <v>12</v>
      </c>
      <c r="F91" s="9" t="n">
        <f aca="false">(MIN(B91,0.02)*150)+(MIN(C91,0.04)*50)+(MIN(D91,1)*4)+(IF(E91="Great Power",1.5,IF(E91="Secondary Power",1.25,IF(E91="Westernized Nation",1,0))))</f>
        <v>9.595</v>
      </c>
      <c r="G91" s="2" t="n">
        <f aca="false">MIN(G90+(4*2/90/100*12),1)</f>
        <v>1</v>
      </c>
      <c r="H91" s="2" t="n">
        <v>4.5</v>
      </c>
      <c r="I91" s="9" t="n">
        <f aca="false">F91*(1+H91+G91)</f>
        <v>62.3675</v>
      </c>
      <c r="J91" s="6" t="n">
        <f aca="false">I91*365</f>
        <v>22764.1375</v>
      </c>
      <c r="K91" s="7" t="n">
        <v>194400</v>
      </c>
      <c r="L91" s="5" t="n">
        <v>1919</v>
      </c>
      <c r="M91" s="6" t="n">
        <f aca="false">MAX((M90+K91-J91)*0.994,0)</f>
        <v>359702.715330578</v>
      </c>
    </row>
    <row r="92" customFormat="false" ht="15" hidden="false" customHeight="false" outlineLevel="0" collapsed="false">
      <c r="A92" s="5" t="n">
        <v>1920</v>
      </c>
      <c r="B92" s="8" t="n">
        <v>0.0409999999999994</v>
      </c>
      <c r="C92" s="8" t="n">
        <v>0.0221</v>
      </c>
      <c r="D92" s="8" t="n">
        <v>1</v>
      </c>
      <c r="E92" s="5" t="s">
        <v>12</v>
      </c>
      <c r="F92" s="9" t="n">
        <f aca="false">(MIN(B92,0.02)*150)+(MIN(C92,0.04)*50)+(MIN(D92,1)*4)+(IF(E92="Great Power",1.5,IF(E92="Secondary Power",1.25,IF(E92="Westernized Nation",1,0))))</f>
        <v>9.605</v>
      </c>
      <c r="G92" s="2" t="n">
        <f aca="false">MIN(G91+(4*2/90/100*12),1)</f>
        <v>1</v>
      </c>
      <c r="H92" s="2" t="n">
        <v>4.5</v>
      </c>
      <c r="I92" s="9" t="n">
        <f aca="false">F92*(1+H92+G92)</f>
        <v>62.4325</v>
      </c>
      <c r="J92" s="6" t="n">
        <f aca="false">I92*365</f>
        <v>22787.8625</v>
      </c>
      <c r="K92" s="7"/>
      <c r="L92" s="5" t="n">
        <v>1920</v>
      </c>
      <c r="M92" s="6" t="n">
        <f aca="false">MAX((M91+K92-J92)*0.994,0)</f>
        <v>334893.363713595</v>
      </c>
    </row>
    <row r="93" customFormat="false" ht="15" hidden="false" customHeight="false" outlineLevel="0" collapsed="false">
      <c r="A93" s="5" t="n">
        <v>1921</v>
      </c>
      <c r="B93" s="8" t="n">
        <v>0.0409999999999994</v>
      </c>
      <c r="C93" s="8" t="n">
        <v>0.0223</v>
      </c>
      <c r="D93" s="8" t="n">
        <v>1</v>
      </c>
      <c r="E93" s="5" t="s">
        <v>12</v>
      </c>
      <c r="F93" s="9" t="n">
        <f aca="false">(MIN(B93,0.02)*150)+(MIN(C93,0.04)*50)+(MIN(D93,1)*4)+(IF(E93="Great Power",1.5,IF(E93="Secondary Power",1.25,IF(E93="Westernized Nation",1,0))))</f>
        <v>9.615</v>
      </c>
      <c r="G93" s="2" t="n">
        <f aca="false">MIN(G92+(4*2/90/100*12),1)</f>
        <v>1</v>
      </c>
      <c r="H93" s="2" t="n">
        <v>4.5</v>
      </c>
      <c r="I93" s="9" t="n">
        <f aca="false">F93*(1+H93+G93)</f>
        <v>62.4975</v>
      </c>
      <c r="J93" s="6" t="n">
        <f aca="false">I93*365</f>
        <v>22811.5875</v>
      </c>
      <c r="K93" s="7"/>
      <c r="L93" s="5" t="n">
        <v>1921</v>
      </c>
      <c r="M93" s="6" t="n">
        <f aca="false">MAX((M92+K93-J93)*0.994,0)</f>
        <v>310209.285556313</v>
      </c>
    </row>
    <row r="94" customFormat="false" ht="15" hidden="false" customHeight="false" outlineLevel="0" collapsed="false">
      <c r="A94" s="5" t="n">
        <v>1922</v>
      </c>
      <c r="B94" s="8" t="n">
        <v>0.0409999999999994</v>
      </c>
      <c r="C94" s="8" t="n">
        <v>0.0225</v>
      </c>
      <c r="D94" s="8" t="n">
        <v>1</v>
      </c>
      <c r="E94" s="5" t="s">
        <v>12</v>
      </c>
      <c r="F94" s="9" t="n">
        <f aca="false">(MIN(B94,0.02)*150)+(MIN(C94,0.04)*50)+(MIN(D94,1)*4)+(IF(E94="Great Power",1.5,IF(E94="Secondary Power",1.25,IF(E94="Westernized Nation",1,0))))</f>
        <v>9.625</v>
      </c>
      <c r="G94" s="2" t="n">
        <f aca="false">MIN(G93+(4*2/90/100*12),1)</f>
        <v>1</v>
      </c>
      <c r="H94" s="2" t="n">
        <v>4.5</v>
      </c>
      <c r="I94" s="9" t="n">
        <f aca="false">F94*(1+H94+G94)</f>
        <v>62.5625</v>
      </c>
      <c r="J94" s="6" t="n">
        <f aca="false">I94*365</f>
        <v>22835.3125</v>
      </c>
      <c r="K94" s="7"/>
      <c r="L94" s="5" t="n">
        <v>1922</v>
      </c>
      <c r="M94" s="6" t="n">
        <f aca="false">MAX((M93+K94-J94)*0.994,0)</f>
        <v>285649.729217975</v>
      </c>
    </row>
    <row r="95" customFormat="false" ht="15" hidden="false" customHeight="false" outlineLevel="0" collapsed="false">
      <c r="A95" s="5" t="n">
        <v>1923</v>
      </c>
      <c r="B95" s="8" t="n">
        <v>0.0409999999999994</v>
      </c>
      <c r="C95" s="8" t="n">
        <v>0.0227</v>
      </c>
      <c r="D95" s="8" t="n">
        <v>1</v>
      </c>
      <c r="E95" s="5" t="s">
        <v>12</v>
      </c>
      <c r="F95" s="9" t="n">
        <f aca="false">(MIN(B95,0.02)*150)+(MIN(C95,0.04)*50)+(MIN(D95,1)*4)+(IF(E95="Great Power",1.5,IF(E95="Secondary Power",1.25,IF(E95="Westernized Nation",1,0))))</f>
        <v>9.635</v>
      </c>
      <c r="G95" s="2" t="n">
        <f aca="false">MIN(G94+(4*2/90/100*12),1)</f>
        <v>1</v>
      </c>
      <c r="H95" s="2" t="n">
        <v>4.5</v>
      </c>
      <c r="I95" s="9" t="n">
        <f aca="false">F95*(1+H95+G95)</f>
        <v>62.6275</v>
      </c>
      <c r="J95" s="6" t="n">
        <f aca="false">I95*365</f>
        <v>22859.0375</v>
      </c>
      <c r="K95" s="7"/>
      <c r="L95" s="5" t="n">
        <v>1923</v>
      </c>
      <c r="M95" s="6" t="n">
        <f aca="false">MAX((M94+K95-J95)*0.994,0)</f>
        <v>261213.947567667</v>
      </c>
    </row>
    <row r="96" customFormat="false" ht="15" hidden="false" customHeight="false" outlineLevel="0" collapsed="false">
      <c r="A96" s="5" t="n">
        <v>1924</v>
      </c>
      <c r="B96" s="8" t="n">
        <v>0.0409999999999994</v>
      </c>
      <c r="C96" s="8" t="n">
        <v>0.0229</v>
      </c>
      <c r="D96" s="8" t="n">
        <v>1</v>
      </c>
      <c r="E96" s="5" t="s">
        <v>12</v>
      </c>
      <c r="F96" s="9" t="n">
        <f aca="false">(MIN(B96,0.02)*150)+(MIN(C96,0.04)*50)+(MIN(D96,1)*4)+(IF(E96="Great Power",1.5,IF(E96="Secondary Power",1.25,IF(E96="Westernized Nation",1,0))))</f>
        <v>9.645</v>
      </c>
      <c r="G96" s="2" t="n">
        <f aca="false">MIN(G95+(4*2/90/100*12),1)</f>
        <v>1</v>
      </c>
      <c r="H96" s="2" t="n">
        <v>4.5</v>
      </c>
      <c r="I96" s="9" t="n">
        <f aca="false">F96*(1+H96+G96)</f>
        <v>62.6925</v>
      </c>
      <c r="J96" s="6" t="n">
        <f aca="false">I96*365</f>
        <v>22882.7625</v>
      </c>
      <c r="K96" s="7"/>
      <c r="L96" s="5" t="n">
        <v>1924</v>
      </c>
      <c r="M96" s="6" t="n">
        <f aca="false">MAX((M95+K96-J96)*0.994,0)</f>
        <v>236901.197957261</v>
      </c>
    </row>
    <row r="97" customFormat="false" ht="15" hidden="false" customHeight="false" outlineLevel="0" collapsed="false">
      <c r="A97" s="5" t="n">
        <v>1925</v>
      </c>
      <c r="B97" s="8" t="n">
        <v>0.0409999999999994</v>
      </c>
      <c r="C97" s="8" t="n">
        <v>0.0231</v>
      </c>
      <c r="D97" s="8" t="n">
        <v>1</v>
      </c>
      <c r="E97" s="5" t="s">
        <v>12</v>
      </c>
      <c r="F97" s="9" t="n">
        <f aca="false">(MIN(B97,0.02)*150)+(MIN(C97,0.04)*50)+(MIN(D97,1)*4)+(IF(E97="Great Power",1.5,IF(E97="Secondary Power",1.25,IF(E97="Westernized Nation",1,0))))</f>
        <v>9.655</v>
      </c>
      <c r="G97" s="2" t="n">
        <f aca="false">MIN(G96+(4*2/90/100*12),1)</f>
        <v>1</v>
      </c>
      <c r="H97" s="2" t="n">
        <v>4.5</v>
      </c>
      <c r="I97" s="9" t="n">
        <f aca="false">F97*(1+H97+G97)</f>
        <v>62.7575</v>
      </c>
      <c r="J97" s="6" t="n">
        <f aca="false">I97*365</f>
        <v>22906.4875</v>
      </c>
      <c r="K97" s="7"/>
      <c r="L97" s="5" t="n">
        <v>1925</v>
      </c>
      <c r="M97" s="6" t="n">
        <f aca="false">MAX((M96+K97-J97)*0.994,0)</f>
        <v>212710.742194518</v>
      </c>
    </row>
    <row r="98" customFormat="false" ht="15" hidden="false" customHeight="false" outlineLevel="0" collapsed="false">
      <c r="A98" s="5" t="n">
        <v>1926</v>
      </c>
      <c r="B98" s="8" t="n">
        <v>0.0409999999999994</v>
      </c>
      <c r="C98" s="8" t="n">
        <v>0.0233</v>
      </c>
      <c r="D98" s="8" t="n">
        <v>1</v>
      </c>
      <c r="E98" s="5" t="s">
        <v>12</v>
      </c>
      <c r="F98" s="9" t="n">
        <f aca="false">(MIN(B98,0.02)*150)+(MIN(C98,0.04)*50)+(MIN(D98,1)*4)+(IF(E98="Great Power",1.5,IF(E98="Secondary Power",1.25,IF(E98="Westernized Nation",1,0))))</f>
        <v>9.665</v>
      </c>
      <c r="G98" s="2" t="n">
        <f aca="false">MIN(G97+(4*2/90/100*12),1)</f>
        <v>1</v>
      </c>
      <c r="H98" s="2" t="n">
        <v>4.5</v>
      </c>
      <c r="I98" s="9" t="n">
        <f aca="false">F98*(1+H98+G98)</f>
        <v>62.8225</v>
      </c>
      <c r="J98" s="6" t="n">
        <f aca="false">I98*365</f>
        <v>22930.2125</v>
      </c>
      <c r="K98" s="7"/>
      <c r="L98" s="5" t="n">
        <v>1926</v>
      </c>
      <c r="M98" s="6" t="n">
        <f aca="false">MAX((M97+K98-J98)*0.994,0)</f>
        <v>188641.846516351</v>
      </c>
    </row>
    <row r="99" customFormat="false" ht="15" hidden="false" customHeight="false" outlineLevel="0" collapsed="false">
      <c r="A99" s="5" t="n">
        <v>1927</v>
      </c>
      <c r="B99" s="8" t="n">
        <v>0.0409999999999994</v>
      </c>
      <c r="C99" s="8" t="n">
        <v>0.0235</v>
      </c>
      <c r="D99" s="8" t="n">
        <v>1</v>
      </c>
      <c r="E99" s="5" t="s">
        <v>12</v>
      </c>
      <c r="F99" s="9" t="n">
        <f aca="false">(MIN(B99,0.02)*150)+(MIN(C99,0.04)*50)+(MIN(D99,1)*4)+(IF(E99="Great Power",1.5,IF(E99="Secondary Power",1.25,IF(E99="Westernized Nation",1,0))))</f>
        <v>9.675</v>
      </c>
      <c r="G99" s="2" t="n">
        <f aca="false">MIN(G98+(4*2/90/100*12),1)</f>
        <v>1</v>
      </c>
      <c r="H99" s="2" t="n">
        <v>4.5</v>
      </c>
      <c r="I99" s="9" t="n">
        <f aca="false">F99*(1+H99+G99)</f>
        <v>62.8875</v>
      </c>
      <c r="J99" s="6" t="n">
        <f aca="false">I99*365</f>
        <v>22953.9375</v>
      </c>
      <c r="K99" s="7"/>
      <c r="L99" s="5" t="n">
        <v>1927</v>
      </c>
      <c r="M99" s="6" t="n">
        <f aca="false">MAX((M98+K99-J99)*0.994,0)</f>
        <v>164693.781562252</v>
      </c>
    </row>
    <row r="100" customFormat="false" ht="15" hidden="false" customHeight="false" outlineLevel="0" collapsed="false">
      <c r="A100" s="5" t="n">
        <v>1928</v>
      </c>
      <c r="B100" s="8" t="n">
        <v>0.0409999999999993</v>
      </c>
      <c r="C100" s="8" t="n">
        <v>0.0237</v>
      </c>
      <c r="D100" s="8" t="n">
        <v>1</v>
      </c>
      <c r="E100" s="5" t="s">
        <v>12</v>
      </c>
      <c r="F100" s="9" t="n">
        <f aca="false">(MIN(B100,0.02)*150)+(MIN(C100,0.04)*50)+(MIN(D100,1)*4)+(IF(E100="Great Power",1.5,IF(E100="Secondary Power",1.25,IF(E100="Westernized Nation",1,0))))</f>
        <v>9.685</v>
      </c>
      <c r="G100" s="2" t="n">
        <f aca="false">MIN(G99+(4*2/90/100*12),1)</f>
        <v>1</v>
      </c>
      <c r="H100" s="2" t="n">
        <v>4.5</v>
      </c>
      <c r="I100" s="9" t="n">
        <f aca="false">F100*(1+H100+G100)</f>
        <v>62.9525</v>
      </c>
      <c r="J100" s="6" t="n">
        <f aca="false">I100*365</f>
        <v>22977.6625</v>
      </c>
      <c r="K100" s="7"/>
      <c r="L100" s="5" t="n">
        <v>1928</v>
      </c>
      <c r="M100" s="6" t="n">
        <f aca="false">MAX((M99+K100-J100)*0.994,0)</f>
        <v>140865.822347879</v>
      </c>
    </row>
    <row r="101" customFormat="false" ht="15" hidden="false" customHeight="false" outlineLevel="0" collapsed="false">
      <c r="A101" s="5" t="n">
        <v>1929</v>
      </c>
      <c r="B101" s="8" t="n">
        <v>0.0409999999999993</v>
      </c>
      <c r="C101" s="8" t="n">
        <v>0.0239</v>
      </c>
      <c r="D101" s="8" t="n">
        <v>1</v>
      </c>
      <c r="E101" s="5" t="s">
        <v>12</v>
      </c>
      <c r="F101" s="9" t="n">
        <f aca="false">(MIN(B101,0.02)*150)+(MIN(C101,0.04)*50)+(MIN(D101,1)*4)+(IF(E101="Great Power",1.5,IF(E101="Secondary Power",1.25,IF(E101="Westernized Nation",1,0))))</f>
        <v>9.695</v>
      </c>
      <c r="G101" s="2" t="n">
        <f aca="false">MIN(G100+(4*2/90/100*12),1)</f>
        <v>1</v>
      </c>
      <c r="H101" s="2" t="n">
        <v>4.5</v>
      </c>
      <c r="I101" s="9" t="n">
        <f aca="false">F101*(1+H101+G101)</f>
        <v>63.0175</v>
      </c>
      <c r="J101" s="6" t="n">
        <f aca="false">I101*365</f>
        <v>23001.3875</v>
      </c>
      <c r="K101" s="7"/>
      <c r="L101" s="5" t="n">
        <v>1929</v>
      </c>
      <c r="M101" s="6" t="n">
        <f aca="false">MAX((M100+K101-J101)*0.994,0)</f>
        <v>117157.248238792</v>
      </c>
    </row>
    <row r="102" customFormat="false" ht="15" hidden="false" customHeight="false" outlineLevel="0" collapsed="false">
      <c r="A102" s="5" t="n">
        <v>1930</v>
      </c>
      <c r="B102" s="8" t="n">
        <v>0.0409999999999993</v>
      </c>
      <c r="C102" s="8" t="n">
        <v>0.0241</v>
      </c>
      <c r="D102" s="8" t="n">
        <v>1</v>
      </c>
      <c r="E102" s="5" t="s">
        <v>12</v>
      </c>
      <c r="F102" s="9" t="n">
        <f aca="false">(MIN(B102,0.02)*150)+(MIN(C102,0.04)*50)+(MIN(D102,1)*4)+(IF(E102="Great Power",1.5,IF(E102="Secondary Power",1.25,IF(E102="Westernized Nation",1,0))))</f>
        <v>9.705</v>
      </c>
      <c r="G102" s="2" t="n">
        <f aca="false">MIN(G101+(4*2/90/100*12),1)</f>
        <v>1</v>
      </c>
      <c r="H102" s="2" t="n">
        <v>4.5</v>
      </c>
      <c r="I102" s="9" t="n">
        <f aca="false">F102*(1+H102+G102)</f>
        <v>63.0825</v>
      </c>
      <c r="J102" s="6" t="n">
        <f aca="false">I102*365</f>
        <v>23025.1125</v>
      </c>
      <c r="K102" s="7"/>
      <c r="L102" s="5" t="n">
        <v>1930</v>
      </c>
      <c r="M102" s="6" t="n">
        <f aca="false">MAX((M101+K102-J102)*0.994,0)</f>
        <v>93567.3429243589</v>
      </c>
    </row>
    <row r="103" customFormat="false" ht="15" hidden="false" customHeight="false" outlineLevel="0" collapsed="false">
      <c r="A103" s="5" t="n">
        <v>1931</v>
      </c>
      <c r="B103" s="8" t="n">
        <v>0.0409999999999993</v>
      </c>
      <c r="C103" s="8" t="n">
        <v>0.0243</v>
      </c>
      <c r="D103" s="8" t="n">
        <v>1</v>
      </c>
      <c r="E103" s="5" t="s">
        <v>12</v>
      </c>
      <c r="F103" s="9" t="n">
        <f aca="false">(MIN(B103,0.02)*150)+(MIN(C103,0.04)*50)+(MIN(D103,1)*4)+(IF(E103="Great Power",1.5,IF(E103="Secondary Power",1.25,IF(E103="Westernized Nation",1,0))))</f>
        <v>9.715</v>
      </c>
      <c r="G103" s="2" t="n">
        <f aca="false">MIN(G102+(4*2/90/100*12),1)</f>
        <v>1</v>
      </c>
      <c r="H103" s="2" t="n">
        <v>4.5</v>
      </c>
      <c r="I103" s="9" t="n">
        <f aca="false">F103*(1+H103+G103)</f>
        <v>63.1475</v>
      </c>
      <c r="J103" s="6" t="n">
        <f aca="false">I103*365</f>
        <v>23048.8375</v>
      </c>
      <c r="K103" s="7"/>
      <c r="L103" s="5" t="n">
        <v>1931</v>
      </c>
      <c r="M103" s="6" t="n">
        <f aca="false">MAX((M102+K103-J103)*0.994,0)</f>
        <v>70095.3943918127</v>
      </c>
    </row>
    <row r="104" customFormat="false" ht="15" hidden="false" customHeight="false" outlineLevel="0" collapsed="false">
      <c r="A104" s="5" t="n">
        <v>1932</v>
      </c>
      <c r="B104" s="8" t="n">
        <v>0.0409999999999993</v>
      </c>
      <c r="C104" s="8" t="n">
        <v>0.0245</v>
      </c>
      <c r="D104" s="8" t="n">
        <v>1</v>
      </c>
      <c r="E104" s="5" t="s">
        <v>12</v>
      </c>
      <c r="F104" s="9" t="n">
        <f aca="false">(MIN(B104,0.02)*150)+(MIN(C104,0.04)*50)+(MIN(D104,1)*4)+(IF(E104="Great Power",1.5,IF(E104="Secondary Power",1.25,IF(E104="Westernized Nation",1,0))))</f>
        <v>9.725</v>
      </c>
      <c r="G104" s="2" t="n">
        <f aca="false">MIN(G103+(4*2/90/100*12),1)</f>
        <v>1</v>
      </c>
      <c r="H104" s="2" t="n">
        <v>4.5</v>
      </c>
      <c r="I104" s="9" t="n">
        <f aca="false">F104*(1+H104+G104)</f>
        <v>63.2125</v>
      </c>
      <c r="J104" s="6" t="n">
        <f aca="false">I104*365</f>
        <v>23072.5625</v>
      </c>
      <c r="K104" s="7"/>
      <c r="L104" s="5" t="n">
        <v>1932</v>
      </c>
      <c r="M104" s="6" t="n">
        <f aca="false">MAX((M103+K104-J104)*0.994,0)</f>
        <v>46740.6949004618</v>
      </c>
    </row>
    <row r="105" customFormat="false" ht="15" hidden="false" customHeight="false" outlineLevel="0" collapsed="false">
      <c r="A105" s="5" t="n">
        <v>1933</v>
      </c>
      <c r="B105" s="8" t="n">
        <v>0.0409999999999993</v>
      </c>
      <c r="C105" s="8" t="n">
        <v>0.0247</v>
      </c>
      <c r="D105" s="8" t="n">
        <v>1</v>
      </c>
      <c r="E105" s="5" t="s">
        <v>12</v>
      </c>
      <c r="F105" s="9" t="n">
        <f aca="false">(MIN(B105,0.02)*150)+(MIN(C105,0.04)*50)+(MIN(D105,1)*4)+(IF(E105="Great Power",1.5,IF(E105="Secondary Power",1.25,IF(E105="Westernized Nation",1,0))))</f>
        <v>9.735</v>
      </c>
      <c r="G105" s="2" t="n">
        <f aca="false">MIN(G104+(4*2/90/100*12),1)</f>
        <v>1</v>
      </c>
      <c r="H105" s="2" t="n">
        <v>4.5</v>
      </c>
      <c r="I105" s="9" t="n">
        <f aca="false">F105*(1+H105+G105)</f>
        <v>63.2775</v>
      </c>
      <c r="J105" s="6" t="n">
        <f aca="false">I105*365</f>
        <v>23096.2875</v>
      </c>
      <c r="K105" s="7"/>
      <c r="L105" s="5" t="n">
        <v>1933</v>
      </c>
      <c r="M105" s="6" t="n">
        <f aca="false">MAX((M104+K105-J105)*0.994,0)</f>
        <v>23502.5409560591</v>
      </c>
    </row>
    <row r="106" customFormat="false" ht="15" hidden="false" customHeight="false" outlineLevel="0" collapsed="false">
      <c r="A106" s="5" t="n">
        <v>1934</v>
      </c>
      <c r="B106" s="8" t="n">
        <v>0.0409999999999993</v>
      </c>
      <c r="C106" s="8" t="n">
        <v>0.0249</v>
      </c>
      <c r="D106" s="8" t="n">
        <v>1</v>
      </c>
      <c r="E106" s="5" t="s">
        <v>12</v>
      </c>
      <c r="F106" s="9" t="n">
        <f aca="false">(MIN(B106,0.02)*150)+(MIN(C106,0.04)*50)+(MIN(D106,1)*4)+(IF(E106="Great Power",1.5,IF(E106="Secondary Power",1.25,IF(E106="Westernized Nation",1,0))))</f>
        <v>9.745</v>
      </c>
      <c r="G106" s="2" t="n">
        <f aca="false">MIN(G105+(4*2/90/100*12),1)</f>
        <v>1</v>
      </c>
      <c r="H106" s="2" t="n">
        <v>4.5</v>
      </c>
      <c r="I106" s="9" t="n">
        <f aca="false">F106*(1+H106+G106)</f>
        <v>63.3425</v>
      </c>
      <c r="J106" s="6" t="n">
        <f aca="false">I106*365</f>
        <v>23120.0125</v>
      </c>
      <c r="K106" s="7"/>
      <c r="L106" s="5" t="n">
        <v>1934</v>
      </c>
      <c r="M106" s="6" t="n">
        <f aca="false">MAX((M105+K106-J106)*0.994,0)</f>
        <v>380.233285322701</v>
      </c>
    </row>
    <row r="107" customFormat="false" ht="15" hidden="false" customHeight="false" outlineLevel="0" collapsed="false">
      <c r="A107" s="5" t="n">
        <v>1935</v>
      </c>
      <c r="B107" s="8" t="n">
        <v>0.0409999999999993</v>
      </c>
      <c r="C107" s="8" t="n">
        <v>0.0251</v>
      </c>
      <c r="D107" s="8" t="n">
        <v>1</v>
      </c>
      <c r="E107" s="5" t="s">
        <v>12</v>
      </c>
      <c r="F107" s="9" t="n">
        <f aca="false">(MIN(B107,0.02)*150)+(MIN(C107,0.04)*50)+(MIN(D107,1)*4)+(IF(E107="Great Power",1.5,IF(E107="Secondary Power",1.25,IF(E107="Westernized Nation",1,0))))</f>
        <v>9.755</v>
      </c>
      <c r="G107" s="2" t="n">
        <f aca="false">MIN(G106+(4*2/90/100*12),1)</f>
        <v>1</v>
      </c>
      <c r="H107" s="2" t="n">
        <v>4.5</v>
      </c>
      <c r="I107" s="9" t="n">
        <f aca="false">F107*(1+H107+G107)</f>
        <v>63.4075</v>
      </c>
      <c r="J107" s="6" t="n">
        <f aca="false">I107*365</f>
        <v>23143.7375</v>
      </c>
      <c r="K107" s="7"/>
      <c r="L107" s="5" t="n">
        <v>1935</v>
      </c>
      <c r="M107" s="6" t="n">
        <f aca="false">MAX((M106+K107-J107)*0.994,0)</f>
        <v>0</v>
      </c>
    </row>
    <row r="108" customFormat="false" ht="15" hidden="false" customHeight="false" outlineLevel="0" collapsed="false">
      <c r="A108" s="5" t="n">
        <v>1936</v>
      </c>
      <c r="B108" s="8" t="n">
        <v>0.0409999999999993</v>
      </c>
      <c r="C108" s="8" t="n">
        <v>0.0253</v>
      </c>
      <c r="D108" s="8" t="n">
        <v>1</v>
      </c>
      <c r="E108" s="5" t="s">
        <v>12</v>
      </c>
      <c r="F108" s="9" t="n">
        <f aca="false">(MIN(B108,0.02)*150)+(MIN(C108,0.04)*50)+(MIN(D108,1)*4)+(IF(E108="Great Power",1.5,IF(E108="Secondary Power",1.25,IF(E108="Westernized Nation",1,0))))</f>
        <v>9.765</v>
      </c>
      <c r="G108" s="2" t="n">
        <f aca="false">MIN(G107+(4*2/90/100*12),1)</f>
        <v>1</v>
      </c>
      <c r="H108" s="2" t="n">
        <v>4.5</v>
      </c>
      <c r="I108" s="9" t="n">
        <f aca="false">F108*(1+H108+G108)</f>
        <v>63.4725</v>
      </c>
      <c r="J108" s="6" t="n">
        <f aca="false">I108*365</f>
        <v>23167.4625</v>
      </c>
      <c r="K108" s="7"/>
      <c r="L108" s="5" t="n">
        <v>1936</v>
      </c>
      <c r="M108" s="6" t="n">
        <f aca="false">MAX((M107+K108-J108)*0.994,0)</f>
        <v>0</v>
      </c>
    </row>
    <row r="109" customFormat="false" ht="15" hidden="false" customHeight="false" outlineLevel="0" collapsed="false">
      <c r="G109" s="10"/>
      <c r="I109" s="9"/>
    </row>
  </sheetData>
  <dataValidations count="1">
    <dataValidation allowBlank="true" errorStyle="stop" operator="between" showDropDown="false" showErrorMessage="true" showInputMessage="true" sqref="E2:E108" type="list">
      <formula1>"Great Power,Secondary Power,Westernized Nation,Non-western Nation"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22" colorId="64" zoomScale="120" zoomScaleNormal="120" zoomScalePageLayoutView="100" workbookViewId="0">
      <selection pane="topLeft" activeCell="F34" activeCellId="0" sqref="F34"/>
    </sheetView>
  </sheetViews>
  <sheetFormatPr defaultColWidth="8.8554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4" width="17.42"/>
    <col collapsed="false" customWidth="true" hidden="false" outlineLevel="0" max="3" min="3" style="1" width="12"/>
    <col collapsed="false" customWidth="true" hidden="false" outlineLevel="0" max="4" min="4" style="1" width="17"/>
    <col collapsed="false" customWidth="true" hidden="false" outlineLevel="0" max="5" min="5" style="1" width="13"/>
    <col collapsed="false" customWidth="true" hidden="false" outlineLevel="0" max="6" min="6" style="1" width="24.57"/>
    <col collapsed="false" customWidth="false" hidden="false" outlineLevel="0" max="7" min="7" style="1" width="8.85"/>
    <col collapsed="false" customWidth="true" hidden="false" outlineLevel="0" max="8" min="8" style="1" width="7"/>
    <col collapsed="false" customWidth="true" hidden="false" outlineLevel="0" max="9" min="9" style="1" width="24.57"/>
    <col collapsed="false" customWidth="false" hidden="false" outlineLevel="0" max="16384" min="10" style="1" width="8.85"/>
  </cols>
  <sheetData>
    <row r="1" customFormat="false" ht="15" hidden="false" customHeight="false" outlineLevel="0" collapsed="false">
      <c r="A1" s="5" t="s">
        <v>0</v>
      </c>
      <c r="B1" s="7" t="s">
        <v>13</v>
      </c>
      <c r="D1" s="5" t="s">
        <v>14</v>
      </c>
      <c r="E1" s="5" t="s">
        <v>15</v>
      </c>
      <c r="F1" s="5" t="s">
        <v>16</v>
      </c>
      <c r="H1" s="5" t="s">
        <v>0</v>
      </c>
      <c r="I1" s="5" t="s">
        <v>17</v>
      </c>
    </row>
    <row r="2" customFormat="false" ht="15" hidden="false" customHeight="false" outlineLevel="0" collapsed="false">
      <c r="A2" s="5" t="n">
        <v>1830</v>
      </c>
      <c r="B2" s="7" t="n">
        <f aca="false">$I$2*(1-(A2-1830)*2/300)</f>
        <v>244800</v>
      </c>
      <c r="D2" s="5" t="s">
        <v>18</v>
      </c>
      <c r="E2" s="6" t="s">
        <v>19</v>
      </c>
      <c r="F2" s="6" t="n">
        <v>90000</v>
      </c>
      <c r="H2" s="11" t="n">
        <v>1830</v>
      </c>
      <c r="I2" s="6" t="n">
        <f aca="false">IF(H23="Yes",SUM(F2,F3,F4),SUM(F3,F4))</f>
        <v>244800</v>
      </c>
    </row>
    <row r="3" customFormat="false" ht="15" hidden="false" customHeight="false" outlineLevel="0" collapsed="false">
      <c r="A3" s="5" t="n">
        <v>1831</v>
      </c>
      <c r="B3" s="7" t="n">
        <f aca="false">$I$2*(1-(A3-1830)*2/300)</f>
        <v>243168</v>
      </c>
      <c r="D3" s="5" t="s">
        <v>20</v>
      </c>
      <c r="E3" s="6" t="s">
        <v>21</v>
      </c>
      <c r="F3" s="6" t="n">
        <v>158400</v>
      </c>
      <c r="H3" s="11" t="n">
        <v>1840</v>
      </c>
      <c r="I3" s="6" t="n">
        <f aca="false">SUM(F5,F6)</f>
        <v>32400</v>
      </c>
    </row>
    <row r="4" customFormat="false" ht="15" hidden="false" customHeight="false" outlineLevel="0" collapsed="false">
      <c r="A4" s="5" t="n">
        <v>1832</v>
      </c>
      <c r="B4" s="7" t="n">
        <f aca="false">$I$2*(1-(A4-1830)*2/300)</f>
        <v>241536</v>
      </c>
      <c r="D4" s="5" t="s">
        <v>22</v>
      </c>
      <c r="E4" s="6" t="s">
        <v>23</v>
      </c>
      <c r="F4" s="6" t="n">
        <v>86400</v>
      </c>
      <c r="H4" s="11" t="n">
        <v>1848</v>
      </c>
      <c r="I4" s="6" t="n">
        <f aca="false">SUM(F7)</f>
        <v>10800</v>
      </c>
    </row>
    <row r="5" customFormat="false" ht="15" hidden="false" customHeight="false" outlineLevel="0" collapsed="false">
      <c r="A5" s="5" t="n">
        <v>1833</v>
      </c>
      <c r="B5" s="7" t="n">
        <f aca="false">$I$2*(1-(A5-1830)*2/300)</f>
        <v>239904</v>
      </c>
      <c r="D5" s="5" t="s">
        <v>24</v>
      </c>
      <c r="E5" s="6" t="s">
        <v>25</v>
      </c>
      <c r="F5" s="6" t="n">
        <v>21600</v>
      </c>
      <c r="H5" s="11" t="n">
        <v>1850</v>
      </c>
      <c r="I5" s="6" t="n">
        <f aca="false">SUM(F8,F9)</f>
        <v>259200</v>
      </c>
    </row>
    <row r="6" customFormat="false" ht="15" hidden="false" customHeight="false" outlineLevel="0" collapsed="false">
      <c r="A6" s="5" t="n">
        <v>1834</v>
      </c>
      <c r="B6" s="7" t="n">
        <f aca="false">$I$2*(1-(A6-1830)*2/300)</f>
        <v>238272</v>
      </c>
      <c r="D6" s="5" t="s">
        <v>26</v>
      </c>
      <c r="E6" s="6" t="s">
        <v>27</v>
      </c>
      <c r="F6" s="6" t="n">
        <v>10800</v>
      </c>
      <c r="H6" s="11" t="n">
        <v>1855</v>
      </c>
      <c r="I6" s="6" t="n">
        <f aca="false">SUM(F10)</f>
        <v>21600</v>
      </c>
    </row>
    <row r="7" customFormat="false" ht="15" hidden="false" customHeight="false" outlineLevel="0" collapsed="false">
      <c r="A7" s="5" t="n">
        <v>1835</v>
      </c>
      <c r="B7" s="7" t="n">
        <f aca="false">$I$2*(1-(A7-1830)*2/300)</f>
        <v>236640</v>
      </c>
      <c r="D7" s="5" t="s">
        <v>28</v>
      </c>
      <c r="E7" s="6" t="s">
        <v>27</v>
      </c>
      <c r="F7" s="6" t="n">
        <v>10800</v>
      </c>
      <c r="H7" s="11" t="n">
        <v>1860</v>
      </c>
      <c r="I7" s="6" t="n">
        <f aca="false">SUM(F11)</f>
        <v>10800</v>
      </c>
    </row>
    <row r="8" customFormat="false" ht="15" hidden="false" customHeight="false" outlineLevel="0" collapsed="false">
      <c r="A8" s="5" t="n">
        <v>1836</v>
      </c>
      <c r="B8" s="7" t="n">
        <f aca="false">$I$2*(1-(A8-1830)*2/300)</f>
        <v>235008</v>
      </c>
      <c r="D8" s="5" t="s">
        <v>29</v>
      </c>
      <c r="E8" s="6" t="s">
        <v>30</v>
      </c>
      <c r="F8" s="6" t="n">
        <v>129600</v>
      </c>
      <c r="H8" s="11" t="n">
        <v>1870</v>
      </c>
      <c r="I8" s="6" t="n">
        <f aca="false">SUM(F12,F13)</f>
        <v>331200</v>
      </c>
    </row>
    <row r="9" customFormat="false" ht="15" hidden="false" customHeight="false" outlineLevel="0" collapsed="false">
      <c r="A9" s="5" t="n">
        <v>1837</v>
      </c>
      <c r="B9" s="7" t="n">
        <f aca="false">$I$2*(1-(A9-1830)*2/300)</f>
        <v>233376</v>
      </c>
      <c r="D9" s="5" t="s">
        <v>31</v>
      </c>
      <c r="E9" s="6" t="s">
        <v>32</v>
      </c>
      <c r="F9" s="6" t="n">
        <v>129600</v>
      </c>
      <c r="H9" s="11" t="n">
        <v>1872</v>
      </c>
      <c r="I9" s="6" t="n">
        <f aca="false">SUM(F14)</f>
        <v>14400</v>
      </c>
    </row>
    <row r="10" customFormat="false" ht="15" hidden="false" customHeight="false" outlineLevel="0" collapsed="false">
      <c r="A10" s="5" t="n">
        <v>1838</v>
      </c>
      <c r="B10" s="7" t="n">
        <f aca="false">$I$2*(1-(A10-1830)*2/300)</f>
        <v>231744</v>
      </c>
      <c r="D10" s="5" t="s">
        <v>33</v>
      </c>
      <c r="E10" s="6" t="s">
        <v>34</v>
      </c>
      <c r="F10" s="6" t="n">
        <v>21600</v>
      </c>
      <c r="H10" s="11" t="n">
        <v>1875</v>
      </c>
      <c r="I10" s="6" t="n">
        <f aca="false">SUM(F15)</f>
        <v>14400</v>
      </c>
    </row>
    <row r="11" customFormat="false" ht="15" hidden="false" customHeight="false" outlineLevel="0" collapsed="false">
      <c r="A11" s="5" t="n">
        <v>1839</v>
      </c>
      <c r="B11" s="7" t="n">
        <f aca="false">$I$2*(1-(A11-1830)*2/300)</f>
        <v>230112</v>
      </c>
      <c r="D11" s="5" t="s">
        <v>35</v>
      </c>
      <c r="E11" s="6" t="s">
        <v>27</v>
      </c>
      <c r="F11" s="6" t="n">
        <v>10800</v>
      </c>
      <c r="H11" s="11" t="n">
        <v>1880</v>
      </c>
      <c r="I11" s="6" t="n">
        <f aca="false">SUM(F16,F17)</f>
        <v>50400</v>
      </c>
    </row>
    <row r="12" customFormat="false" ht="15" hidden="false" customHeight="false" outlineLevel="0" collapsed="false">
      <c r="A12" s="5" t="n">
        <v>1840</v>
      </c>
      <c r="B12" s="7" t="n">
        <f aca="false">$I$2*(1-(A12-1830)*2/300)+$I$3*(1-(A12-1840)*2/300)</f>
        <v>260880</v>
      </c>
      <c r="D12" s="5" t="s">
        <v>36</v>
      </c>
      <c r="E12" s="6" t="s">
        <v>37</v>
      </c>
      <c r="F12" s="6" t="n">
        <v>187200</v>
      </c>
      <c r="H12" s="11" t="n">
        <v>1890</v>
      </c>
      <c r="I12" s="6" t="n">
        <f aca="false">SUM(F18)</f>
        <v>54000</v>
      </c>
    </row>
    <row r="13" customFormat="false" ht="15" hidden="false" customHeight="false" outlineLevel="0" collapsed="false">
      <c r="A13" s="5" t="n">
        <v>1841</v>
      </c>
      <c r="B13" s="7" t="n">
        <f aca="false">$I$2*(1-(A13-1830)*2/300)+$I$3*(1-(A13-1840)*2/300)</f>
        <v>259032</v>
      </c>
      <c r="D13" s="5" t="s">
        <v>38</v>
      </c>
      <c r="E13" s="6" t="s">
        <v>39</v>
      </c>
      <c r="F13" s="6" t="n">
        <v>144000</v>
      </c>
      <c r="H13" s="11" t="n">
        <v>1895</v>
      </c>
      <c r="I13" s="6" t="n">
        <f aca="false">SUM(F19)</f>
        <v>18000</v>
      </c>
    </row>
    <row r="14" customFormat="false" ht="15" hidden="false" customHeight="false" outlineLevel="0" collapsed="false">
      <c r="A14" s="5" t="n">
        <v>1842</v>
      </c>
      <c r="B14" s="7" t="n">
        <f aca="false">$I$2*(1-(A14-1830)*2/300)+$I$3*(1-(A14-1840)*2/300)</f>
        <v>257184</v>
      </c>
      <c r="D14" s="5" t="s">
        <v>40</v>
      </c>
      <c r="E14" s="6" t="s">
        <v>41</v>
      </c>
      <c r="F14" s="6" t="n">
        <v>14400</v>
      </c>
      <c r="H14" s="11" t="n">
        <v>1898</v>
      </c>
      <c r="I14" s="6" t="n">
        <f aca="false">SUM(F20)</f>
        <v>18000</v>
      </c>
    </row>
    <row r="15" customFormat="false" ht="15" hidden="false" customHeight="false" outlineLevel="0" collapsed="false">
      <c r="A15" s="5" t="n">
        <v>1843</v>
      </c>
      <c r="B15" s="7" t="n">
        <f aca="false">$I$2*(1-(A15-1830)*2/300)+$I$3*(1-(A15-1840)*2/300)</f>
        <v>255336</v>
      </c>
      <c r="D15" s="5" t="s">
        <v>42</v>
      </c>
      <c r="E15" s="6" t="s">
        <v>41</v>
      </c>
      <c r="F15" s="6" t="n">
        <v>14400</v>
      </c>
      <c r="H15" s="11" t="n">
        <v>1900</v>
      </c>
      <c r="I15" s="6" t="n">
        <f aca="false">SUM(F21,F22)</f>
        <v>255600</v>
      </c>
    </row>
    <row r="16" customFormat="false" ht="15" hidden="false" customHeight="false" outlineLevel="0" collapsed="false">
      <c r="A16" s="5" t="n">
        <v>1844</v>
      </c>
      <c r="B16" s="7" t="n">
        <f aca="false">$I$2*(1-(A16-1830)*2/300)+$I$3*(1-(A16-1840)*2/300)</f>
        <v>253488</v>
      </c>
      <c r="D16" s="5" t="s">
        <v>43</v>
      </c>
      <c r="E16" s="6" t="s">
        <v>41</v>
      </c>
      <c r="F16" s="6" t="n">
        <v>14400</v>
      </c>
      <c r="H16" s="11" t="n">
        <v>1905</v>
      </c>
      <c r="I16" s="6" t="n">
        <f aca="false">SUM(F23)</f>
        <v>21600</v>
      </c>
    </row>
    <row r="17" customFormat="false" ht="15" hidden="false" customHeight="false" outlineLevel="0" collapsed="false">
      <c r="A17" s="5" t="n">
        <v>1845</v>
      </c>
      <c r="B17" s="7" t="n">
        <f aca="false">$I$2*(1-(A17-1830)*2/300)+$I$3*(1-(A17-1840)*2/300)</f>
        <v>251640</v>
      </c>
      <c r="D17" s="5" t="s">
        <v>44</v>
      </c>
      <c r="E17" s="6" t="s">
        <v>45</v>
      </c>
      <c r="F17" s="6" t="n">
        <v>36000</v>
      </c>
      <c r="H17" s="11" t="n">
        <v>1910</v>
      </c>
      <c r="I17" s="6" t="n">
        <f aca="false">SUM(F24)</f>
        <v>21600</v>
      </c>
    </row>
    <row r="18" customFormat="false" ht="15" hidden="false" customHeight="false" outlineLevel="0" collapsed="false">
      <c r="A18" s="5" t="n">
        <v>1846</v>
      </c>
      <c r="B18" s="7" t="n">
        <f aca="false">$I$2*(1-(A18-1830)*2/300)+$I$3*(1-(A18-1840)*2/300)</f>
        <v>249792</v>
      </c>
      <c r="D18" s="5" t="s">
        <v>46</v>
      </c>
      <c r="E18" s="6" t="s">
        <v>47</v>
      </c>
      <c r="F18" s="6" t="n">
        <v>54000</v>
      </c>
      <c r="H18" s="11" t="n">
        <v>1914</v>
      </c>
      <c r="I18" s="6" t="n">
        <f aca="false">SUM(F25)</f>
        <v>43200</v>
      </c>
    </row>
    <row r="19" customFormat="false" ht="15" hidden="false" customHeight="false" outlineLevel="0" collapsed="false">
      <c r="A19" s="5" t="n">
        <v>1847</v>
      </c>
      <c r="B19" s="7" t="n">
        <f aca="false">$I$2*(1-(A19-1830)*2/300)+$I$3*(1-(A19-1840)*2/300)</f>
        <v>247944</v>
      </c>
      <c r="D19" s="5" t="s">
        <v>48</v>
      </c>
      <c r="E19" s="5" t="s">
        <v>49</v>
      </c>
      <c r="F19" s="6" t="n">
        <v>18000</v>
      </c>
      <c r="H19" s="11" t="n">
        <v>1915</v>
      </c>
      <c r="I19" s="6" t="n">
        <f aca="false">SUM(F26)</f>
        <v>21600</v>
      </c>
    </row>
    <row r="20" customFormat="false" ht="15" hidden="false" customHeight="false" outlineLevel="0" collapsed="false">
      <c r="A20" s="5" t="n">
        <v>1848</v>
      </c>
      <c r="B20" s="7" t="n">
        <f aca="false">$I$2*(1-(A20-1830)*2/300)+$I$3*(1-(A20-1840)*2/300)+$I$4*(1-(A20-1848)*2/300)</f>
        <v>256896</v>
      </c>
      <c r="D20" s="5" t="s">
        <v>50</v>
      </c>
      <c r="E20" s="5" t="s">
        <v>49</v>
      </c>
      <c r="F20" s="6" t="n">
        <v>18000</v>
      </c>
      <c r="H20" s="11" t="n">
        <v>1919</v>
      </c>
      <c r="I20" s="6" t="n">
        <f aca="false">SUM(F27)</f>
        <v>194400</v>
      </c>
    </row>
    <row r="21" customFormat="false" ht="15" hidden="false" customHeight="false" outlineLevel="0" collapsed="false">
      <c r="A21" s="5" t="n">
        <v>1849</v>
      </c>
      <c r="B21" s="7" t="n">
        <f aca="false">$I$2*(1-(A21-1830)*2/300)+$I$3*(1-(A21-1840)*2/300)+$I$4*(1-(A21-1848)*2/300)</f>
        <v>254976</v>
      </c>
      <c r="D21" s="5" t="s">
        <v>51</v>
      </c>
      <c r="E21" s="6" t="s">
        <v>52</v>
      </c>
      <c r="F21" s="6" t="n">
        <v>18000</v>
      </c>
      <c r="H21" s="5" t="s">
        <v>53</v>
      </c>
      <c r="I21" s="6" t="n">
        <f aca="false">SUM(I2:I20)</f>
        <v>1638000</v>
      </c>
    </row>
    <row r="22" customFormat="false" ht="15" hidden="false" customHeight="false" outlineLevel="0" collapsed="false">
      <c r="A22" s="5" t="n">
        <v>1850</v>
      </c>
      <c r="B22" s="7" t="n">
        <f aca="false">$I$2*(1-(A22-1830)*2/300)+$I$3*(1-(A22-1840)*2/300)+$I$4*(1-(A22-1848)*2/300)+$I$5*(1-(A22-1850)*2/300)</f>
        <v>512256</v>
      </c>
      <c r="D22" s="5" t="s">
        <v>54</v>
      </c>
      <c r="E22" s="6" t="s">
        <v>55</v>
      </c>
      <c r="F22" s="6" t="n">
        <v>237600</v>
      </c>
    </row>
    <row r="23" customFormat="false" ht="15" hidden="false" customHeight="false" outlineLevel="0" collapsed="false">
      <c r="A23" s="5" t="n">
        <v>1851</v>
      </c>
      <c r="B23" s="7" t="n">
        <f aca="false">$I$2*(1-(A23-1830)*2/300)+$I$3*(1-(A23-1840)*2/300)+$I$4*(1-(A23-1848)*2/300)+$I$5*(1-(A23-1850)*2/300)</f>
        <v>508608</v>
      </c>
      <c r="D23" s="5" t="s">
        <v>56</v>
      </c>
      <c r="E23" s="6" t="s">
        <v>57</v>
      </c>
      <c r="F23" s="6" t="n">
        <v>21600</v>
      </c>
      <c r="H23" s="1" t="s">
        <v>58</v>
      </c>
      <c r="I23" s="1" t="s">
        <v>59</v>
      </c>
    </row>
    <row r="24" customFormat="false" ht="15" hidden="false" customHeight="false" outlineLevel="0" collapsed="false">
      <c r="A24" s="5" t="n">
        <v>1852</v>
      </c>
      <c r="B24" s="7" t="n">
        <f aca="false">$I$2*(1-(A24-1830)*2/300)+$I$3*(1-(A24-1840)*2/300)+$I$4*(1-(A24-1848)*2/300)+$I$5*(1-(A24-1850)*2/300)</f>
        <v>504960</v>
      </c>
      <c r="D24" s="5" t="s">
        <v>60</v>
      </c>
      <c r="E24" s="6" t="s">
        <v>57</v>
      </c>
      <c r="F24" s="6" t="n">
        <v>21600</v>
      </c>
    </row>
    <row r="25" customFormat="false" ht="15" hidden="false" customHeight="false" outlineLevel="0" collapsed="false">
      <c r="A25" s="5" t="n">
        <v>1853</v>
      </c>
      <c r="B25" s="7" t="n">
        <f aca="false">$I$2*(1-(A25-1830)*2/300)+$I$3*(1-(A25-1840)*2/300)+$I$4*(1-(A25-1848)*2/300)+$I$5*(1-(A25-1850)*2/300)</f>
        <v>501312</v>
      </c>
      <c r="D25" s="5" t="s">
        <v>61</v>
      </c>
      <c r="E25" s="6" t="s">
        <v>62</v>
      </c>
      <c r="F25" s="6" t="n">
        <v>43200</v>
      </c>
    </row>
    <row r="26" customFormat="false" ht="15" hidden="false" customHeight="false" outlineLevel="0" collapsed="false">
      <c r="A26" s="5" t="n">
        <v>1854</v>
      </c>
      <c r="B26" s="7" t="n">
        <f aca="false">$I$2*(1-(A26-1830)*2/300)+$I$3*(1-(A26-1840)*2/300)+$I$4*(1-(A26-1848)*2/300)+$I$5*(1-(A26-1850)*2/300)</f>
        <v>497664</v>
      </c>
      <c r="D26" s="5" t="s">
        <v>63</v>
      </c>
      <c r="E26" s="6" t="s">
        <v>57</v>
      </c>
      <c r="F26" s="6" t="n">
        <v>21600</v>
      </c>
    </row>
    <row r="27" customFormat="false" ht="15" hidden="false" customHeight="false" outlineLevel="0" collapsed="false">
      <c r="A27" s="5" t="n">
        <v>1855</v>
      </c>
      <c r="B27" s="7" t="n">
        <f aca="false">$I$2*(1-(A27-1830)*2/300)+$I$3*(1-(A27-1840)*2/300)+$I$4*(1-(A27-1848)*2/300)+$I$5*(1-(A27-1850)*2/300)+$I$6*(1-(A27-1855)*2/300)</f>
        <v>515616</v>
      </c>
      <c r="D27" s="5" t="s">
        <v>64</v>
      </c>
      <c r="E27" s="6" t="s">
        <v>65</v>
      </c>
      <c r="F27" s="6" t="n">
        <v>194400</v>
      </c>
    </row>
    <row r="28" customFormat="false" ht="15" hidden="false" customHeight="false" outlineLevel="0" collapsed="false">
      <c r="A28" s="5" t="n">
        <v>1856</v>
      </c>
      <c r="B28" s="7" t="n">
        <f aca="false">$I$2*(1-(A28-1830)*2/300)+$I$3*(1-(A28-1840)*2/300)+$I$4*(1-(A28-1848)*2/300)+$I$5*(1-(A28-1850)*2/300)+$I$6*(1-(A28-1855)*2/300)</f>
        <v>511824</v>
      </c>
    </row>
    <row r="29" customFormat="false" ht="15" hidden="false" customHeight="false" outlineLevel="0" collapsed="false">
      <c r="A29" s="5" t="n">
        <v>1857</v>
      </c>
      <c r="B29" s="7" t="n">
        <f aca="false">$I$2*(1-(A29-1830)*2/300)+$I$3*(1-(A29-1840)*2/300)+$I$4*(1-(A29-1848)*2/300)+$I$5*(1-(A29-1850)*2/300)+$I$6*(1-(A29-1855)*2/300)</f>
        <v>508032</v>
      </c>
    </row>
    <row r="30" customFormat="false" ht="15" hidden="false" customHeight="false" outlineLevel="0" collapsed="false">
      <c r="A30" s="5" t="n">
        <v>1858</v>
      </c>
      <c r="B30" s="7" t="n">
        <f aca="false">$I$2*(1-(A30-1830)*2/300)+$I$3*(1-(A30-1840)*2/300)+$I$4*(1-(A30-1848)*2/300)+$I$5*(1-(A30-1850)*2/300)+$I$6*(1-(A30-1855)*2/300)</f>
        <v>504240</v>
      </c>
    </row>
    <row r="31" customFormat="false" ht="15" hidden="false" customHeight="false" outlineLevel="0" collapsed="false">
      <c r="A31" s="5" t="n">
        <v>1859</v>
      </c>
      <c r="B31" s="7" t="n">
        <f aca="false">$I$2*(1-(A31-1830)*2/300)+$I$3*(1-(A31-1840)*2/300)+$I$4*(1-(A31-1848)*2/300)+$I$5*(1-(A31-1850)*2/300)+$I$6*(1-(A31-1855)*2/300)</f>
        <v>500448</v>
      </c>
    </row>
    <row r="32" customFormat="false" ht="15" hidden="false" customHeight="false" outlineLevel="0" collapsed="false">
      <c r="A32" s="5" t="n">
        <v>1860</v>
      </c>
      <c r="B32" s="7" t="n">
        <f aca="false">$I$2*(1-(A32-1830)*2/300)+$I$3*(1-(A32-1840)*2/300)+$I$4*(1-(A32-1848)*2/300)+$I$5*(1-(A32-1850)*2/300)+$I$6*(1-(A32-1855)*2/300)+$I$2*(1-(A32-1860)*2/300)</f>
        <v>741456</v>
      </c>
    </row>
    <row r="33" customFormat="false" ht="15" hidden="false" customHeight="false" outlineLevel="0" collapsed="false">
      <c r="A33" s="5" t="n">
        <v>1861</v>
      </c>
      <c r="B33" s="7" t="n">
        <f aca="false">$I$2*(1-(A33-1830)*2/300)+$I$3*(1-(A33-1840)*2/300)+$I$4*(1-(A33-1848)*2/300)+$I$5*(1-(A33-1850)*2/300)+$I$6*(1-(A33-1855)*2/300)+$I$2*(1-(A33-1860)*2/300)</f>
        <v>736032</v>
      </c>
    </row>
    <row r="34" customFormat="false" ht="15" hidden="false" customHeight="false" outlineLevel="0" collapsed="false">
      <c r="A34" s="5" t="n">
        <v>1862</v>
      </c>
      <c r="B34" s="7" t="n">
        <f aca="false">$I$2*(1-(A34-1830)*2/300)+$I$3*(1-(A34-1840)*2/300)+$I$4*(1-(A34-1848)*2/300)+$I$5*(1-(A34-1850)*2/300)+$I$6*(1-(A34-1855)*2/300)+$I$2*(1-(A34-1860)*2/300)</f>
        <v>730608</v>
      </c>
    </row>
    <row r="35" customFormat="false" ht="15" hidden="false" customHeight="false" outlineLevel="0" collapsed="false">
      <c r="A35" s="5" t="n">
        <v>1863</v>
      </c>
      <c r="B35" s="7" t="n">
        <f aca="false">$I$2*(1-(A35-1830)*2/300)+$I$3*(1-(A35-1840)*2/300)+$I$4*(1-(A35-1848)*2/300)+$I$5*(1-(A35-1850)*2/300)+$I$6*(1-(A35-1855)*2/300)+$I$2*(1-(A35-1860)*2/300)</f>
        <v>725184</v>
      </c>
    </row>
    <row r="36" customFormat="false" ht="15" hidden="false" customHeight="false" outlineLevel="0" collapsed="false">
      <c r="A36" s="5" t="n">
        <v>1864</v>
      </c>
      <c r="B36" s="7" t="n">
        <f aca="false">$I$2*(1-(A36-1830)*2/300)+$I$3*(1-(A36-1840)*2/300)+$I$4*(1-(A36-1848)*2/300)+$I$5*(1-(A36-1850)*2/300)+$I$6*(1-(A36-1855)*2/300)+$I$2*(1-(A36-1860)*2/300)</f>
        <v>719760</v>
      </c>
    </row>
    <row r="37" customFormat="false" ht="15" hidden="false" customHeight="false" outlineLevel="0" collapsed="false">
      <c r="A37" s="5" t="n">
        <v>1865</v>
      </c>
      <c r="B37" s="7" t="n">
        <f aca="false">$I$2*(1-(A37-1830)*2/300)+$I$3*(1-(A37-1840)*2/300)+$I$4*(1-(A37-1848)*2/300)+$I$5*(1-(A37-1850)*2/300)+$I$6*(1-(A37-1855)*2/300)+$I$2*(1-(A37-1860)*2/300)</f>
        <v>714336</v>
      </c>
    </row>
    <row r="38" customFormat="false" ht="15" hidden="false" customHeight="false" outlineLevel="0" collapsed="false">
      <c r="A38" s="5" t="n">
        <v>1866</v>
      </c>
      <c r="B38" s="7" t="n">
        <f aca="false">$I$2*(1-(A38-1830)*2/300)+$I$3*(1-(A38-1840)*2/300)+$I$4*(1-(A38-1848)*2/300)+$I$5*(1-(A38-1850)*2/300)+$I$6*(1-(A38-1855)*2/300)+$I$2*(1-(A38-1860)*2/300)</f>
        <v>708912</v>
      </c>
    </row>
    <row r="39" customFormat="false" ht="15" hidden="false" customHeight="false" outlineLevel="0" collapsed="false">
      <c r="A39" s="5" t="n">
        <v>1867</v>
      </c>
      <c r="B39" s="7" t="n">
        <f aca="false">$I$2*(1-(A39-1830)*2/300)+$I$3*(1-(A39-1840)*2/300)+$I$4*(1-(A39-1848)*2/300)+$I$5*(1-(A39-1850)*2/300)+$I$6*(1-(A39-1855)*2/300)+$I$2*(1-(A39-1860)*2/300)</f>
        <v>703488</v>
      </c>
    </row>
    <row r="40" customFormat="false" ht="15" hidden="false" customHeight="false" outlineLevel="0" collapsed="false">
      <c r="A40" s="5" t="n">
        <v>1868</v>
      </c>
      <c r="B40" s="7" t="n">
        <f aca="false">$I$2*(1-(A40-1830)*2/300)+$I$3*(1-(A40-1840)*2/300)+$I$4*(1-(A40-1848)*2/300)+$I$5*(1-(A40-1850)*2/300)+$I$6*(1-(A40-1855)*2/300)+$I$2*(1-(A40-1860)*2/300)</f>
        <v>698064</v>
      </c>
    </row>
    <row r="41" customFormat="false" ht="15" hidden="false" customHeight="false" outlineLevel="0" collapsed="false">
      <c r="A41" s="5" t="n">
        <v>1869</v>
      </c>
      <c r="B41" s="7" t="n">
        <f aca="false">$I$2*(1-(A41-1830)*2/300)+$I$3*(1-(A41-1840)*2/300)+$I$4*(1-(A41-1848)*2/300)+$I$5*(1-(A41-1850)*2/300)+$I$6*(1-(A41-1855)*2/300)+$I$2*(1-(A41-1860)*2/300)</f>
        <v>692640</v>
      </c>
    </row>
    <row r="42" customFormat="false" ht="15" hidden="false" customHeight="false" outlineLevel="0" collapsed="false">
      <c r="A42" s="5" t="n">
        <v>1870</v>
      </c>
      <c r="B42" s="7" t="n">
        <f aca="false">$I$2*(1-(A42-1830)*2/300)+$I$3*(1-(A42-1840)*2/300)+$I$4*(1-(A42-1848)*2/300)+$I$5*(1-(A42-1850)*2/300)+$I$6*(1-(A42-1855)*2/300)+$I$7*(1-(A42-1860)*2/300)+$I$8*(1-(A42-1870)*2/300)</f>
        <v>800016</v>
      </c>
    </row>
    <row r="43" customFormat="false" ht="15" hidden="false" customHeight="false" outlineLevel="0" collapsed="false">
      <c r="A43" s="5" t="n">
        <v>1871</v>
      </c>
      <c r="B43" s="7" t="n">
        <f aca="false">$I$2*(1-(A43-1830)*2/300)+$I$3*(1-(A43-1840)*2/300)+$I$4*(1-(A43-1848)*2/300)+$I$5*(1-(A43-1850)*2/300)+$I$6*(1-(A43-1855)*2/300)+$I$7*(1-(A43-1860)*2/300)+$I$8*(1-(A43-1870)*2/300)</f>
        <v>793944</v>
      </c>
    </row>
    <row r="44" customFormat="false" ht="15" hidden="false" customHeight="false" outlineLevel="0" collapsed="false">
      <c r="A44" s="5" t="n">
        <v>1872</v>
      </c>
      <c r="B44" s="7" t="n">
        <f aca="false">$I$2*(1-(A44-1830)*2/300)+$I$3*(1-(A44-1840)*2/300)+$I$4*(1-(A44-1848)*2/300)+$I$5*(1-(A44-1850)*2/300)+$I$6*(1-(A44-1855)*2/300)+$I$7*(1-(A44-1860)*2/300)+$I$8*(1-(A44-1870)*2/300)+$I$9*(1-(A44-1872)*2/300)</f>
        <v>802272</v>
      </c>
    </row>
    <row r="45" customFormat="false" ht="15" hidden="false" customHeight="false" outlineLevel="0" collapsed="false">
      <c r="A45" s="5" t="n">
        <v>1873</v>
      </c>
      <c r="B45" s="7" t="n">
        <f aca="false">$I$2*(1-(A45-1830)*2/300)+$I$3*(1-(A45-1840)*2/300)+$I$4*(1-(A45-1848)*2/300)+$I$5*(1-(A45-1850)*2/300)+$I$6*(1-(A45-1855)*2/300)+$I$7*(1-(A45-1860)*2/300)+$I$8*(1-(A45-1870)*2/300)+$I$9*(1-(A45-1872)*2/300)</f>
        <v>796104</v>
      </c>
    </row>
    <row r="46" customFormat="false" ht="15" hidden="false" customHeight="false" outlineLevel="0" collapsed="false">
      <c r="A46" s="5" t="n">
        <v>1874</v>
      </c>
      <c r="B46" s="7" t="n">
        <f aca="false">$I$2*(1-(A46-1830)*2/300)+$I$3*(1-(A46-1840)*2/300)+$I$4*(1-(A46-1848)*2/300)+$I$5*(1-(A46-1850)*2/300)+$I$6*(1-(A46-1855)*2/300)+$I$7*(1-(A46-1860)*2/300)+$I$8*(1-(A46-1870)*2/300)+$I$9*(1-(A46-1872)*2/300)</f>
        <v>789936</v>
      </c>
    </row>
    <row r="47" customFormat="false" ht="15" hidden="false" customHeight="false" outlineLevel="0" collapsed="false">
      <c r="A47" s="5" t="n">
        <v>1875</v>
      </c>
      <c r="B47" s="7" t="n">
        <f aca="false">$I$2*(1-(A47-1830)*2/300)+$I$3*(1-(A47-1840)*2/300)+$I$4*(1-(A47-1848)*2/300)+$I$5*(1-(A47-1850)*2/300)+$I$6*(1-(A47-1855)*2/300)+$I$7*(1-(A47-1860)*2/300)+$I$8*(1-(A47-1870)*2/300)+$I$9*(1-(A47-1872)*2/300)+$I$10*(1-(A47-1875)*2/300)</f>
        <v>798168</v>
      </c>
    </row>
    <row r="48" customFormat="false" ht="15" hidden="false" customHeight="false" outlineLevel="0" collapsed="false">
      <c r="A48" s="5" t="n">
        <v>1876</v>
      </c>
      <c r="B48" s="7" t="n">
        <f aca="false">$I$2*(1-(A48-1830)*2/300)+$I$3*(1-(A48-1840)*2/300)+$I$4*(1-(A48-1848)*2/300)+$I$5*(1-(A48-1850)*2/300)+$I$6*(1-(A48-1855)*2/300)+$I$7*(1-(A48-1860)*2/300)+$I$8*(1-(A48-1870)*2/300)+$I$9*(1-(A48-1872)*2/300)+$I$10*(1-(A48-1875)*2/300)</f>
        <v>791904</v>
      </c>
    </row>
    <row r="49" customFormat="false" ht="15" hidden="false" customHeight="false" outlineLevel="0" collapsed="false">
      <c r="A49" s="5" t="n">
        <v>1877</v>
      </c>
      <c r="B49" s="7" t="n">
        <f aca="false">$I$2*(1-(A49-1830)*2/300)+$I$3*(1-(A49-1840)*2/300)+$I$4*(1-(A49-1848)*2/300)+$I$5*(1-(A49-1850)*2/300)+$I$6*(1-(A49-1855)*2/300)+$I$7*(1-(A49-1860)*2/300)+$I$8*(1-(A49-1870)*2/300)+$I$9*(1-(A49-1872)*2/300)+$I$10*(1-(A49-1875)*2/300)</f>
        <v>785640</v>
      </c>
    </row>
    <row r="50" customFormat="false" ht="15" hidden="false" customHeight="false" outlineLevel="0" collapsed="false">
      <c r="A50" s="5" t="n">
        <v>1878</v>
      </c>
      <c r="B50" s="7" t="n">
        <f aca="false">$I$2*(1-(A50-1830)*2/300)+$I$3*(1-(A50-1840)*2/300)+$I$4*(1-(A50-1848)*2/300)+$I$5*(1-(A50-1850)*2/300)+$I$6*(1-(A50-1855)*2/300)+$I$7*(1-(A50-1860)*2/300)+$I$8*(1-(A50-1870)*2/300)+$I$9*(1-(A50-1872)*2/300)+$I$10*(1-(A50-1875)*2/300)</f>
        <v>779376</v>
      </c>
    </row>
    <row r="51" customFormat="false" ht="15" hidden="false" customHeight="false" outlineLevel="0" collapsed="false">
      <c r="A51" s="5" t="n">
        <v>1879</v>
      </c>
      <c r="B51" s="7" t="n">
        <f aca="false">$I$2*(1-(A51-1830)*2/300)+$I$3*(1-(A51-1840)*2/300)+$I$4*(1-(A51-1848)*2/300)+$I$5*(1-(A51-1850)*2/300)+$I$6*(1-(A51-1855)*2/300)+$I$7*(1-(A51-1860)*2/300)+$I$8*(1-(A51-1870)*2/300)+$I$9*(1-(A51-1872)*2/300)+$I$10*(1-(A51-1875)*2/300)</f>
        <v>773112</v>
      </c>
    </row>
    <row r="52" customFormat="false" ht="15" hidden="false" customHeight="false" outlineLevel="0" collapsed="false">
      <c r="A52" s="5" t="n">
        <v>1880</v>
      </c>
      <c r="B52" s="7" t="n">
        <f aca="false">$I$2*(1-(A52-1830)*2/300)+$I$3*(1-(A52-1840)*2/300)+$I$4*(1-(A52-1848)*2/300)+$I$5*(1-(A52-1850)*2/300)+$I$6*(1-(A52-1855)*2/300)+$I$7*(1-(A52-1860)*2/300)+$I$8*(1-(A52-1870)*2/300)+$I$9*(1-(A52-1872)*2/300)+$I$10*(1-(A52-1875)*2/300)+$I$11*(1-(A52-1880)*2/300)</f>
        <v>817248</v>
      </c>
    </row>
    <row r="53" customFormat="false" ht="15" hidden="false" customHeight="false" outlineLevel="0" collapsed="false">
      <c r="A53" s="5" t="n">
        <v>1881</v>
      </c>
      <c r="B53" s="7" t="n">
        <f aca="false">$I$2*(1-(A53-1830)*2/300)+$I$3*(1-(A53-1840)*2/300)+$I$4*(1-(A53-1848)*2/300)+$I$5*(1-(A53-1850)*2/300)+$I$6*(1-(A53-1855)*2/300)+$I$7*(1-(A53-1860)*2/300)+$I$8*(1-(A53-1870)*2/300)+$I$9*(1-(A53-1872)*2/300)+$I$10*(1-(A53-1875)*2/300)+$I$11*(1-(A53-1880)*2/300)</f>
        <v>810648</v>
      </c>
    </row>
    <row r="54" customFormat="false" ht="15" hidden="false" customHeight="false" outlineLevel="0" collapsed="false">
      <c r="A54" s="5" t="n">
        <v>1882</v>
      </c>
      <c r="B54" s="7" t="n">
        <f aca="false">$I$2*(1-(A54-1830)*2/300)+$I$3*(1-(A54-1840)*2/300)+$I$4*(1-(A54-1848)*2/300)+$I$5*(1-(A54-1850)*2/300)+$I$6*(1-(A54-1855)*2/300)+$I$7*(1-(A54-1860)*2/300)+$I$8*(1-(A54-1870)*2/300)+$I$9*(1-(A54-1872)*2/300)+$I$10*(1-(A54-1875)*2/300)+$I$11*(1-(A54-1880)*2/300)</f>
        <v>804048</v>
      </c>
    </row>
    <row r="55" customFormat="false" ht="15" hidden="false" customHeight="false" outlineLevel="0" collapsed="false">
      <c r="A55" s="5" t="n">
        <v>1883</v>
      </c>
      <c r="B55" s="7" t="n">
        <f aca="false">$I$2*(1-(A55-1830)*2/300)+$I$3*(1-(A55-1840)*2/300)+$I$4*(1-(A55-1848)*2/300)+$I$5*(1-(A55-1850)*2/300)+$I$6*(1-(A55-1855)*2/300)+$I$7*(1-(A55-1860)*2/300)+$I$8*(1-(A55-1870)*2/300)+$I$9*(1-(A55-1872)*2/300)+$I$10*(1-(A55-1875)*2/300)+$I$11*(1-(A55-1880)*2/300)</f>
        <v>797448</v>
      </c>
    </row>
    <row r="56" customFormat="false" ht="15" hidden="false" customHeight="false" outlineLevel="0" collapsed="false">
      <c r="A56" s="5" t="n">
        <v>1884</v>
      </c>
      <c r="B56" s="7" t="n">
        <f aca="false">$I$2*(1-(A56-1830)*2/300)+$I$3*(1-(A56-1840)*2/300)+$I$4*(1-(A56-1848)*2/300)+$I$5*(1-(A56-1850)*2/300)+$I$6*(1-(A56-1855)*2/300)+$I$7*(1-(A56-1860)*2/300)+$I$8*(1-(A56-1870)*2/300)+$I$9*(1-(A56-1872)*2/300)+$I$10*(1-(A56-1875)*2/300)+$I$11*(1-(A56-1880)*2/300)</f>
        <v>790848</v>
      </c>
    </row>
    <row r="57" customFormat="false" ht="15" hidden="false" customHeight="false" outlineLevel="0" collapsed="false">
      <c r="A57" s="5" t="n">
        <v>1885</v>
      </c>
      <c r="B57" s="7" t="n">
        <f aca="false">$I$2*(1-(A57-1830)*2/300)+$I$3*(1-(A57-1840)*2/300)+$I$4*(1-(A57-1848)*2/300)+$I$5*(1-(A57-1850)*2/300)+$I$6*(1-(A57-1855)*2/300)+$I$7*(1-(A57-1860)*2/300)+$I$8*(1-(A57-1870)*2/300)+$I$9*(1-(A57-1872)*2/300)+$I$10*(1-(A57-1875)*2/300)+$I$11*(1-(A57-1880)*2/300)</f>
        <v>784248</v>
      </c>
    </row>
    <row r="58" customFormat="false" ht="15" hidden="false" customHeight="false" outlineLevel="0" collapsed="false">
      <c r="A58" s="5" t="n">
        <v>1886</v>
      </c>
      <c r="B58" s="7" t="n">
        <f aca="false">$I$2*(1-(A58-1830)*2/300)+$I$3*(1-(A58-1840)*2/300)+$I$4*(1-(A58-1848)*2/300)+$I$5*(1-(A58-1850)*2/300)+$I$6*(1-(A58-1855)*2/300)+$I$7*(1-(A58-1860)*2/300)+$I$8*(1-(A58-1870)*2/300)+$I$9*(1-(A58-1872)*2/300)+$I$10*(1-(A58-1875)*2/300)+$I$11*(1-(A58-1880)*2/300)</f>
        <v>777648</v>
      </c>
    </row>
    <row r="59" customFormat="false" ht="15" hidden="false" customHeight="false" outlineLevel="0" collapsed="false">
      <c r="A59" s="5" t="n">
        <v>1887</v>
      </c>
      <c r="B59" s="7" t="n">
        <f aca="false">$I$2*(1-(A59-1830)*2/300)+$I$3*(1-(A59-1840)*2/300)+$I$4*(1-(A59-1848)*2/300)+$I$5*(1-(A59-1850)*2/300)+$I$6*(1-(A59-1855)*2/300)+$I$7*(1-(A59-1860)*2/300)+$I$8*(1-(A59-1870)*2/300)+$I$9*(1-(A59-1872)*2/300)+$I$10*(1-(A59-1875)*2/300)+$I$11*(1-(A59-1880)*2/300)</f>
        <v>771048</v>
      </c>
    </row>
    <row r="60" customFormat="false" ht="15" hidden="false" customHeight="false" outlineLevel="0" collapsed="false">
      <c r="A60" s="5" t="n">
        <v>1888</v>
      </c>
      <c r="B60" s="7" t="n">
        <f aca="false">$I$2*(1-(A60-1830)*2/300)+$I$3*(1-(A60-1840)*2/300)+$I$4*(1-(A60-1848)*2/300)+$I$5*(1-(A60-1850)*2/300)+$I$6*(1-(A60-1855)*2/300)+$I$7*(1-(A60-1860)*2/300)+$I$8*(1-(A60-1870)*2/300)+$I$9*(1-(A60-1872)*2/300)+$I$10*(1-(A60-1875)*2/300)+$I$11*(1-(A60-1880)*2/300)</f>
        <v>764448</v>
      </c>
    </row>
    <row r="61" customFormat="false" ht="15" hidden="false" customHeight="false" outlineLevel="0" collapsed="false">
      <c r="A61" s="5" t="n">
        <v>1889</v>
      </c>
      <c r="B61" s="7" t="n">
        <f aca="false">$I$2*(1-(A61-1830)*2/300)+$I$3*(1-(A61-1840)*2/300)+$I$4*(1-(A61-1848)*2/300)+$I$5*(1-(A61-1850)*2/300)+$I$6*(1-(A61-1855)*2/300)+$I$7*(1-(A61-1860)*2/300)+$I$8*(1-(A61-1870)*2/300)+$I$9*(1-(A61-1872)*2/300)+$I$10*(1-(A61-1875)*2/300)+$I$11*(1-(A61-1880)*2/300)</f>
        <v>757848</v>
      </c>
    </row>
    <row r="62" customFormat="false" ht="15" hidden="false" customHeight="false" outlineLevel="0" collapsed="false">
      <c r="A62" s="5" t="n">
        <v>1890</v>
      </c>
      <c r="B62" s="7" t="n">
        <f aca="false">$I$2*(1-(A62-1830)*2/300)+$I$3*(1-(A62-1840)*2/300)+$I$4*(1-(A62-1848)*2/300)+$I$5*(1-(A62-1850)*2/300)+$I$6*(1-(A62-1855)*2/300)+$I$7*(1-(A62-1860)*2/300)+$I$8*(1-(A62-1870)*2/300)+$I$9*(1-(A62-1872)*2/300)+$I$10*(1-(A62-1875)*2/300)+$I$11*(1-(A62-1880)*2/300)+$I$12*(1-(A62-1890)*2/300)</f>
        <v>805248</v>
      </c>
    </row>
    <row r="63" customFormat="false" ht="15" hidden="false" customHeight="false" outlineLevel="0" collapsed="false">
      <c r="A63" s="5" t="n">
        <v>1891</v>
      </c>
      <c r="B63" s="7" t="n">
        <f aca="false">$I$2*(1-(A63-1830)*2/300)+$I$3*(1-(A63-1840)*2/300)+$I$4*(1-(A63-1848)*2/300)+$I$5*(1-(A63-1850)*2/300)+$I$6*(1-(A63-1855)*2/300)+$I$7*(1-(A63-1860)*2/300)+$I$8*(1-(A63-1870)*2/300)+$I$9*(1-(A63-1872)*2/300)+$I$10*(1-(A63-1875)*2/300)+$I$11*(1-(A63-1880)*2/300)+$I$12*(1-(A63-1890)*2/300)</f>
        <v>798288</v>
      </c>
    </row>
    <row r="64" customFormat="false" ht="15" hidden="false" customHeight="false" outlineLevel="0" collapsed="false">
      <c r="A64" s="5" t="n">
        <v>1892</v>
      </c>
      <c r="B64" s="7" t="n">
        <f aca="false">$I$2*(1-(A64-1830)*2/300)+$I$3*(1-(A64-1840)*2/300)+$I$4*(1-(A64-1848)*2/300)+$I$5*(1-(A64-1850)*2/300)+$I$6*(1-(A64-1855)*2/300)+$I$7*(1-(A64-1860)*2/300)+$I$8*(1-(A64-1870)*2/300)+$I$9*(1-(A64-1872)*2/300)+$I$10*(1-(A64-1875)*2/300)+$I$11*(1-(A64-1880)*2/300)+$I$12*(1-(A64-1890)*2/300)</f>
        <v>791328</v>
      </c>
    </row>
    <row r="65" customFormat="false" ht="15" hidden="false" customHeight="false" outlineLevel="0" collapsed="false">
      <c r="A65" s="5" t="n">
        <v>1893</v>
      </c>
      <c r="B65" s="7" t="n">
        <f aca="false">$I$2*(1-(A65-1830)*2/300)+$I$3*(1-(A65-1840)*2/300)+$I$4*(1-(A65-1848)*2/300)+$I$5*(1-(A65-1850)*2/300)+$I$6*(1-(A65-1855)*2/300)+$I$7*(1-(A65-1860)*2/300)+$I$8*(1-(A65-1870)*2/300)+$I$9*(1-(A65-1872)*2/300)+$I$10*(1-(A65-1875)*2/300)+$I$11*(1-(A65-1880)*2/300)+$I$12*(1-(A65-1890)*2/300)</f>
        <v>784368</v>
      </c>
    </row>
    <row r="66" customFormat="false" ht="15" hidden="false" customHeight="false" outlineLevel="0" collapsed="false">
      <c r="A66" s="5" t="n">
        <v>1894</v>
      </c>
      <c r="B66" s="7" t="n">
        <f aca="false">$I$2*(1-(A66-1830)*2/300)+$I$3*(1-(A66-1840)*2/300)+$I$4*(1-(A66-1848)*2/300)+$I$5*(1-(A66-1850)*2/300)+$I$6*(1-(A66-1855)*2/300)+$I$7*(1-(A66-1860)*2/300)+$I$8*(1-(A66-1870)*2/300)+$I$9*(1-(A66-1872)*2/300)+$I$10*(1-(A66-1875)*2/300)+$I$11*(1-(A66-1880)*2/300)+$I$12*(1-(A66-1890)*2/300)</f>
        <v>777408</v>
      </c>
    </row>
    <row r="67" customFormat="false" ht="15" hidden="false" customHeight="false" outlineLevel="0" collapsed="false">
      <c r="A67" s="5" t="n">
        <v>1895</v>
      </c>
      <c r="B67" s="7" t="n">
        <f aca="false">$I$2*(1-(A67-1830)*2/300)+$I$3*(1-(A67-1840)*2/300)+$I$4*(1-(A67-1848)*2/300)+$I$5*(1-(A67-1850)*2/300)+$I$6*(1-(A67-1855)*2/300)+$I$7*(1-(A67-1860)*2/300)+$I$8*(1-(A67-1870)*2/300)+$I$9*(1-(A67-1872)*2/300)+$I$10*(1-(A67-1875)*2/300)+$I$11*(1-(A67-1880)*2/300)+$I$12*(1-(A67-1890)*2/300)+$I$13*(1-(A67-1895)*2/300)</f>
        <v>788448</v>
      </c>
    </row>
    <row r="68" customFormat="false" ht="15" hidden="false" customHeight="false" outlineLevel="0" collapsed="false">
      <c r="A68" s="5" t="n">
        <v>1896</v>
      </c>
      <c r="B68" s="7" t="n">
        <f aca="false">$I$2*(1-(A68-1830)*2/300)+$I$3*(1-(A68-1840)*2/300)+$I$4*(1-(A68-1848)*2/300)+$I$5*(1-(A68-1850)*2/300)+$I$6*(1-(A68-1855)*2/300)+$I$7*(1-(A68-1860)*2/300)+$I$8*(1-(A68-1870)*2/300)+$I$9*(1-(A68-1872)*2/300)+$I$10*(1-(A68-1875)*2/300)+$I$11*(1-(A68-1880)*2/300)+$I$12*(1-(A68-1890)*2/300)+$I$13*(1-(A68-1895)*2/300)</f>
        <v>781368</v>
      </c>
    </row>
    <row r="69" customFormat="false" ht="15" hidden="false" customHeight="false" outlineLevel="0" collapsed="false">
      <c r="A69" s="5" t="n">
        <v>1897</v>
      </c>
      <c r="B69" s="7" t="n">
        <f aca="false">$I$2*(1-(A69-1830)*2/300)+$I$3*(1-(A69-1840)*2/300)+$I$4*(1-(A69-1848)*2/300)+$I$5*(1-(A69-1850)*2/300)+$I$6*(1-(A69-1855)*2/300)+$I$7*(1-(A69-1860)*2/300)+$I$8*(1-(A69-1870)*2/300)+$I$9*(1-(A69-1872)*2/300)+$I$10*(1-(A69-1875)*2/300)+$I$11*(1-(A69-1880)*2/300)+$I$12*(1-(A69-1890)*2/300)+$I$13*(1-(A69-1895)*2/300)</f>
        <v>774288</v>
      </c>
    </row>
    <row r="70" customFormat="false" ht="15" hidden="false" customHeight="false" outlineLevel="0" collapsed="false">
      <c r="A70" s="5" t="n">
        <v>1898</v>
      </c>
      <c r="B70" s="7" t="n">
        <f aca="false">$I$2*(1-(A70-1830)*2/300)+$I$3*(1-(A70-1840)*2/300)+$I$4*(1-(A70-1848)*2/300)+$I$5*(1-(A70-1850)*2/300)+$I$6*(1-(A70-1855)*2/300)+$I$7*(1-(A70-1860)*2/300)+$I$8*(1-(A70-1870)*2/300)+$I$9*(1-(A70-1872)*2/300)+$I$10*(1-(A70-1875)*2/300)+$I$11*(1-(A70-1880)*2/300)+$I$12*(1-(A70-1890)*2/300)+$I$13*(1-(A70-1895)*2/300)+$I$14*(1-(A70-1898)*2/300)</f>
        <v>785208</v>
      </c>
    </row>
    <row r="71" customFormat="false" ht="15" hidden="false" customHeight="false" outlineLevel="0" collapsed="false">
      <c r="A71" s="5" t="n">
        <v>1899</v>
      </c>
      <c r="B71" s="7" t="n">
        <f aca="false">$I$2*(1-(A71-1830)*2/300)+$I$3*(1-(A71-1840)*2/300)+$I$4*(1-(A71-1848)*2/300)+$I$5*(1-(A71-1850)*2/300)+$I$6*(1-(A71-1855)*2/300)+$I$7*(1-(A71-1860)*2/300)+$I$8*(1-(A71-1870)*2/300)+$I$9*(1-(A71-1872)*2/300)+$I$10*(1-(A71-1875)*2/300)+$I$11*(1-(A71-1880)*2/300)+$I$12*(1-(A71-1890)*2/300)+$I$13*(1-(A71-1895)*2/300)+$I$14*(1-(A71-1898)*2/300)</f>
        <v>778008</v>
      </c>
    </row>
    <row r="72" customFormat="false" ht="15" hidden="false" customHeight="false" outlineLevel="0" collapsed="false">
      <c r="A72" s="5" t="n">
        <v>1900</v>
      </c>
      <c r="B72" s="7" t="n">
        <f aca="false">$I$2*(1-(A72-1830)*2/300)+$I$3*(1-(A72-1840)*2/300)+$I$4*(1-(A72-1848)*2/300)+$I$5*(1-(A72-1850)*2/300)+$I$6*(1-(A72-1855)*2/300)+$I$7*(1-(A72-1860)*2/300)+$I$8*(1-(A72-1870)*2/300)+$I$9*(1-(A72-1872)*2/300)+$I$10*(1-(A72-1875)*2/300)+$I$11*(1-(A72-1880)*2/300)+$I$12*(1-(A72-1890)*2/300)+$I$13*(1-(A72-1895)*2/300)+$I$14*(1-(A72-1898)*2/300)+$I$15*(1-(A72-1900)*2/300)</f>
        <v>1026408</v>
      </c>
    </row>
    <row r="73" customFormat="false" ht="15" hidden="false" customHeight="false" outlineLevel="0" collapsed="false">
      <c r="A73" s="5" t="n">
        <v>1901</v>
      </c>
      <c r="B73" s="7" t="n">
        <f aca="false">$I$2*(1-(A73-1830)*2/300)+$I$3*(1-(A73-1840)*2/300)+$I$4*(1-(A73-1848)*2/300)+$I$5*(1-(A73-1850)*2/300)+$I$6*(1-(A73-1855)*2/300)+$I$7*(1-(A73-1860)*2/300)+$I$8*(1-(A73-1870)*2/300)+$I$9*(1-(A73-1872)*2/300)+$I$10*(1-(A73-1875)*2/300)+$I$11*(1-(A73-1880)*2/300)+$I$12*(1-(A73-1890)*2/300)+$I$13*(1-(A73-1895)*2/300)+$I$14*(1-(A73-1898)*2/300)+$I$15*(1-(A73-1900)*2/300)</f>
        <v>1017504</v>
      </c>
    </row>
    <row r="74" customFormat="false" ht="15" hidden="false" customHeight="false" outlineLevel="0" collapsed="false">
      <c r="A74" s="5" t="n">
        <v>1902</v>
      </c>
      <c r="B74" s="7" t="n">
        <f aca="false">$I$2*(1-(A74-1830)*2/300)+$I$3*(1-(A74-1840)*2/300)+$I$4*(1-(A74-1848)*2/300)+$I$5*(1-(A74-1850)*2/300)+$I$6*(1-(A74-1855)*2/300)+$I$7*(1-(A74-1860)*2/300)+$I$8*(1-(A74-1870)*2/300)+$I$9*(1-(A74-1872)*2/300)+$I$10*(1-(A74-1875)*2/300)+$I$11*(1-(A74-1880)*2/300)+$I$12*(1-(A74-1890)*2/300)+$I$13*(1-(A74-1895)*2/300)+$I$14*(1-(A74-1898)*2/300)+$I$15*(1-(A74-1900)*2/300)</f>
        <v>1008600</v>
      </c>
    </row>
    <row r="75" customFormat="false" ht="15" hidden="false" customHeight="false" outlineLevel="0" collapsed="false">
      <c r="A75" s="5" t="n">
        <v>1903</v>
      </c>
      <c r="B75" s="7" t="n">
        <f aca="false">$I$2*(1-(A75-1830)*2/300)+$I$3*(1-(A75-1840)*2/300)+$I$4*(1-(A75-1848)*2/300)+$I$5*(1-(A75-1850)*2/300)+$I$6*(1-(A75-1855)*2/300)+$I$7*(1-(A75-1860)*2/300)+$I$8*(1-(A75-1870)*2/300)+$I$9*(1-(A75-1872)*2/300)+$I$10*(1-(A75-1875)*2/300)+$I$11*(1-(A75-1880)*2/300)+$I$12*(1-(A75-1890)*2/300)+$I$13*(1-(A75-1895)*2/300)+$I$14*(1-(A75-1898)*2/300)+$I$15*(1-(A75-1900)*2/300)</f>
        <v>999696</v>
      </c>
    </row>
    <row r="76" customFormat="false" ht="15" hidden="false" customHeight="false" outlineLevel="0" collapsed="false">
      <c r="A76" s="5" t="n">
        <v>1904</v>
      </c>
      <c r="B76" s="7" t="n">
        <f aca="false">$I$2*(1-(A76-1830)*2/300)+$I$3*(1-(A76-1840)*2/300)+$I$4*(1-(A76-1848)*2/300)+$I$5*(1-(A76-1850)*2/300)+$I$6*(1-(A76-1855)*2/300)+$I$7*(1-(A76-1860)*2/300)+$I$8*(1-(A76-1870)*2/300)+$I$9*(1-(A76-1872)*2/300)+$I$10*(1-(A76-1875)*2/300)+$I$11*(1-(A76-1880)*2/300)+$I$12*(1-(A76-1890)*2/300)+$I$13*(1-(A76-1895)*2/300)+$I$14*(1-(A76-1898)*2/300)+$I$15*(1-(A76-1900)*2/300)</f>
        <v>990792</v>
      </c>
    </row>
    <row r="77" customFormat="false" ht="15" hidden="false" customHeight="false" outlineLevel="0" collapsed="false">
      <c r="A77" s="5" t="n">
        <v>1905</v>
      </c>
      <c r="B77" s="7" t="n">
        <f aca="false">$I$2*(1-(A77-1830)*2/300)+$I$3*(1-(A77-1840)*2/300)+$I$4*(1-(A77-1848)*2/300)+$I$5*(1-(A77-1850)*2/300)+$I$6*(1-(A77-1855)*2/300)+$I$7*(1-(A77-1860)*2/300)+$I$8*(1-(A77-1870)*2/300)+$I$9*(1-(A77-1872)*2/300)+$I$10*(1-(A77-1875)*2/300)+$I$11*(1-(A77-1880)*2/300)+$I$12*(1-(A77-1890)*2/300)+$I$13*(1-(A77-1895)*2/300)+$I$14*(1-(A77-1898)*2/300)+$I$15*(1-(A77-1900)*2/300)+$I$16*(1-(A77-1905)*2/300)</f>
        <v>1003488</v>
      </c>
    </row>
    <row r="78" customFormat="false" ht="15" hidden="false" customHeight="false" outlineLevel="0" collapsed="false">
      <c r="A78" s="5" t="n">
        <v>1906</v>
      </c>
      <c r="B78" s="7" t="n">
        <f aca="false">$I$2*(1-(A78-1830)*2/300)+$I$3*(1-(A78-1840)*2/300)+$I$4*(1-(A78-1848)*2/300)+$I$5*(1-(A78-1850)*2/300)+$I$6*(1-(A78-1855)*2/300)+$I$7*(1-(A78-1860)*2/300)+$I$8*(1-(A78-1870)*2/300)+$I$9*(1-(A78-1872)*2/300)+$I$10*(1-(A78-1875)*2/300)+$I$11*(1-(A78-1880)*2/300)+$I$12*(1-(A78-1890)*2/300)+$I$13*(1-(A78-1895)*2/300)+$I$14*(1-(A78-1898)*2/300)+$I$15*(1-(A78-1900)*2/300)+$I$16*(1-(A78-1905)*2/300)</f>
        <v>994440</v>
      </c>
    </row>
    <row r="79" customFormat="false" ht="15" hidden="false" customHeight="false" outlineLevel="0" collapsed="false">
      <c r="A79" s="5" t="n">
        <v>1907</v>
      </c>
      <c r="B79" s="7" t="n">
        <f aca="false">$I$2*(1-(A79-1830)*2/300)+$I$3*(1-(A79-1840)*2/300)+$I$4*(1-(A79-1848)*2/300)+$I$5*(1-(A79-1850)*2/300)+$I$6*(1-(A79-1855)*2/300)+$I$7*(1-(A79-1860)*2/300)+$I$8*(1-(A79-1870)*2/300)+$I$9*(1-(A79-1872)*2/300)+$I$10*(1-(A79-1875)*2/300)+$I$11*(1-(A79-1880)*2/300)+$I$12*(1-(A79-1890)*2/300)+$I$13*(1-(A79-1895)*2/300)+$I$14*(1-(A79-1898)*2/300)+$I$15*(1-(A79-1900)*2/300)+$I$16*(1-(A79-1905)*2/300)</f>
        <v>985392</v>
      </c>
    </row>
    <row r="80" customFormat="false" ht="15" hidden="false" customHeight="false" outlineLevel="0" collapsed="false">
      <c r="A80" s="5" t="n">
        <v>1908</v>
      </c>
      <c r="B80" s="7" t="n">
        <f aca="false">$I$2*(1-(A80-1830)*2/300)+$I$3*(1-(A80-1840)*2/300)+$I$4*(1-(A80-1848)*2/300)+$I$5*(1-(A80-1850)*2/300)+$I$6*(1-(A80-1855)*2/300)+$I$7*(1-(A80-1860)*2/300)+$I$8*(1-(A80-1870)*2/300)+$I$9*(1-(A80-1872)*2/300)+$I$10*(1-(A80-1875)*2/300)+$I$11*(1-(A80-1880)*2/300)+$I$12*(1-(A80-1890)*2/300)+$I$13*(1-(A80-1895)*2/300)+$I$14*(1-(A80-1898)*2/300)+$I$15*(1-(A80-1900)*2/300)+$I$16*(1-(A80-1905)*2/300)</f>
        <v>976344</v>
      </c>
    </row>
    <row r="81" customFormat="false" ht="15" hidden="false" customHeight="false" outlineLevel="0" collapsed="false">
      <c r="A81" s="5" t="n">
        <v>1909</v>
      </c>
      <c r="B81" s="7" t="n">
        <f aca="false">$I$2*(1-(A81-1830)*2/300)+$I$3*(1-(A81-1840)*2/300)+$I$4*(1-(A81-1848)*2/300)+$I$5*(1-(A81-1850)*2/300)+$I$6*(1-(A81-1855)*2/300)+$I$7*(1-(A81-1860)*2/300)+$I$8*(1-(A81-1870)*2/300)+$I$9*(1-(A81-1872)*2/300)+$I$10*(1-(A81-1875)*2/300)+$I$11*(1-(A81-1880)*2/300)+$I$12*(1-(A81-1890)*2/300)+$I$13*(1-(A81-1895)*2/300)+$I$14*(1-(A81-1898)*2/300)+$I$15*(1-(A81-1900)*2/300)+$I$16*(1-(A81-1905)*2/300)</f>
        <v>967296</v>
      </c>
    </row>
    <row r="82" customFormat="false" ht="15" hidden="false" customHeight="false" outlineLevel="0" collapsed="false">
      <c r="A82" s="5" t="n">
        <v>1910</v>
      </c>
      <c r="B82" s="7" t="n">
        <f aca="false">$I$2*(1-(A82-1830)*2/300)+$I$3*(1-(A82-1840)*2/300)+$I$4*(1-(A82-1848)*2/300)+$I$5*(1-(A82-1850)*2/300)+$I$6*(1-(A82-1855)*2/300)+$I$7*(1-(A82-1860)*2/300)+$I$8*(1-(A82-1870)*2/300)+$I$9*(1-(A82-1872)*2/300)+$I$10*(1-(A82-1875)*2/300)+$I$11*(1-(A82-1880)*2/300)+$I$12*(1-(A82-1890)*2/300)+$I$13*(1-(A82-1895)*2/300)+$I$14*(1-(A82-1898)*2/300)+$I$15*(1-(A82-1900)*2/300)+$I$16*(1-(A82-1905)*2/300)+$I$17*(1-(A82-1910)*2/300)</f>
        <v>979848</v>
      </c>
    </row>
    <row r="83" customFormat="false" ht="15" hidden="false" customHeight="false" outlineLevel="0" collapsed="false">
      <c r="A83" s="5" t="n">
        <v>1911</v>
      </c>
      <c r="B83" s="7" t="n">
        <f aca="false">$I$2*(1-(A83-1830)*2/300)+$I$3*(1-(A83-1840)*2/300)+$I$4*(1-(A83-1848)*2/300)+$I$5*(1-(A83-1850)*2/300)+$I$6*(1-(A83-1855)*2/300)+$I$7*(1-(A83-1860)*2/300)+$I$8*(1-(A83-1870)*2/300)+$I$9*(1-(A83-1872)*2/300)+$I$10*(1-(A83-1875)*2/300)+$I$11*(1-(A83-1880)*2/300)+$I$12*(1-(A83-1890)*2/300)+$I$13*(1-(A83-1895)*2/300)+$I$14*(1-(A83-1898)*2/300)+$I$15*(1-(A83-1900)*2/300)+$I$16*(1-(A83-1905)*2/300)+$I$17*(1-(A83-1910)*2/300)</f>
        <v>970656</v>
      </c>
    </row>
    <row r="84" customFormat="false" ht="15" hidden="false" customHeight="false" outlineLevel="0" collapsed="false">
      <c r="A84" s="5" t="n">
        <v>1912</v>
      </c>
      <c r="B84" s="7" t="n">
        <f aca="false">$I$2*(1-(A84-1830)*2/300)+$I$3*(1-(A84-1840)*2/300)+$I$4*(1-(A84-1848)*2/300)+$I$5*(1-(A84-1850)*2/300)+$I$6*(1-(A84-1855)*2/300)+$I$7*(1-(A84-1860)*2/300)+$I$8*(1-(A84-1870)*2/300)+$I$9*(1-(A84-1872)*2/300)+$I$10*(1-(A84-1875)*2/300)+$I$11*(1-(A84-1880)*2/300)+$I$12*(1-(A84-1890)*2/300)+$I$13*(1-(A84-1895)*2/300)+$I$14*(1-(A84-1898)*2/300)+$I$15*(1-(A84-1900)*2/300)+$I$16*(1-(A84-1905)*2/300)+$I$17*(1-(A84-1910)*2/300)</f>
        <v>961464</v>
      </c>
    </row>
    <row r="85" customFormat="false" ht="15" hidden="false" customHeight="false" outlineLevel="0" collapsed="false">
      <c r="A85" s="5" t="n">
        <v>1913</v>
      </c>
      <c r="B85" s="7" t="n">
        <f aca="false">$I$2*(1-(A85-1830)*2/300)+$I$3*(1-(A85-1840)*2/300)+$I$4*(1-(A85-1848)*2/300)+$I$5*(1-(A85-1850)*2/300)+$I$6*(1-(A85-1855)*2/300)+$I$7*(1-(A85-1860)*2/300)+$I$8*(1-(A85-1870)*2/300)+$I$9*(1-(A85-1872)*2/300)+$I$10*(1-(A85-1875)*2/300)+$I$11*(1-(A85-1880)*2/300)+$I$12*(1-(A85-1890)*2/300)+$I$13*(1-(A85-1895)*2/300)+$I$14*(1-(A85-1898)*2/300)+$I$15*(1-(A85-1900)*2/300)+$I$16*(1-(A85-1905)*2/300)+$I$17*(1-(A85-1910)*2/300)</f>
        <v>952272</v>
      </c>
    </row>
    <row r="86" customFormat="false" ht="15" hidden="false" customHeight="false" outlineLevel="0" collapsed="false">
      <c r="A86" s="5" t="n">
        <v>1914</v>
      </c>
      <c r="B86" s="7" t="n">
        <f aca="false">$I$2*(1-(A86-1830)*2/300)+$I$3*(1-(A86-1840)*2/300)+$I$4*(1-(A86-1848)*2/300)+$I$5*(1-(A86-1850)*2/300)+$I$6*(1-(A86-1855)*2/300)+$I$7*(1-(A86-1860)*2/300)+$I$8*(1-(A86-1870)*2/300)+$I$9*(1-(A86-1872)*2/300)+$I$10*(1-(A86-1875)*2/300)+$I$11*(1-(A86-1880)*2/300)+$I$12*(1-(A86-1890)*2/300)+$I$13*(1-(A86-1895)*2/300)+$I$14*(1-(A86-1898)*2/300)+$I$15*(1-(A86-1900)*2/300)+$I$16*(1-(A86-1905)*2/300)+$I$17*(1-(A86-1910)*2/300)+$I$18*(1-(A86-1914)*2/300)</f>
        <v>986280</v>
      </c>
    </row>
    <row r="87" customFormat="false" ht="15" hidden="false" customHeight="false" outlineLevel="0" collapsed="false">
      <c r="A87" s="5" t="n">
        <v>1915</v>
      </c>
      <c r="B87" s="7" t="n">
        <f aca="false">$I$2*(1-(A87-1830)*2/300)+$I$3*(1-(A87-1840)*2/300)+$I$4*(1-(A87-1848)*2/300)+$I$5*(1-(A87-1850)*2/300)+$I$6*(1-(A87-1855)*2/300)+$I$7*(1-(A87-1860)*2/300)+$I$8*(1-(A87-1870)*2/300)+$I$9*(1-(A87-1872)*2/300)+$I$10*(1-(A87-1875)*2/300)+$I$11*(1-(A87-1880)*2/300)+$I$12*(1-(A87-1890)*2/300)+$I$13*(1-(A87-1895)*2/300)+$I$14*(1-(A87-1898)*2/300)+$I$15*(1-(A87-1900)*2/300)+$I$16*(1-(A87-1905)*2/300)+$I$17*(1-(A87-1910)*2/300)+$I$18*(1-(A87-1914)*2/300)+$I$19*(1-(A87-1915)*2/300)</f>
        <v>998400</v>
      </c>
    </row>
    <row r="88" customFormat="false" ht="15" hidden="false" customHeight="false" outlineLevel="0" collapsed="false">
      <c r="A88" s="5" t="n">
        <v>1916</v>
      </c>
      <c r="B88" s="7" t="n">
        <f aca="false">$I$2*(1-(A88-1830)*2/300)+$I$3*(1-(A88-1840)*2/300)+$I$4*(1-(A88-1848)*2/300)+$I$5*(1-(A88-1850)*2/300)+$I$6*(1-(A88-1855)*2/300)+$I$7*(1-(A88-1860)*2/300)+$I$8*(1-(A88-1870)*2/300)+$I$9*(1-(A88-1872)*2/300)+$I$10*(1-(A88-1875)*2/300)+$I$11*(1-(A88-1880)*2/300)+$I$12*(1-(A88-1890)*2/300)+$I$13*(1-(A88-1895)*2/300)+$I$14*(1-(A88-1898)*2/300)+$I$15*(1-(A88-1900)*2/300)+$I$16*(1-(A88-1905)*2/300)+$I$17*(1-(A88-1910)*2/300)+$I$18*(1-(A88-1914)*2/300)+$I$19*(1-(A88-1915)*2/300)</f>
        <v>988776</v>
      </c>
    </row>
    <row r="89" customFormat="false" ht="15" hidden="false" customHeight="false" outlineLevel="0" collapsed="false">
      <c r="A89" s="5" t="n">
        <v>1917</v>
      </c>
      <c r="B89" s="7" t="n">
        <f aca="false">$I$2*(1-(A89-1830)*2/300)+$I$3*(1-(A89-1840)*2/300)+$I$4*(1-(A89-1848)*2/300)+$I$5*(1-(A89-1850)*2/300)+$I$6*(1-(A89-1855)*2/300)+$I$7*(1-(A89-1860)*2/300)+$I$8*(1-(A89-1870)*2/300)+$I$9*(1-(A89-1872)*2/300)+$I$10*(1-(A89-1875)*2/300)+$I$11*(1-(A89-1880)*2/300)+$I$12*(1-(A89-1890)*2/300)+$I$13*(1-(A89-1895)*2/300)+$I$14*(1-(A89-1898)*2/300)+$I$15*(1-(A89-1900)*2/300)+$I$16*(1-(A89-1905)*2/300)+$I$17*(1-(A89-1910)*2/300)+$I$18*(1-(A89-1914)*2/300)+$I$19*(1-(A89-1915)*2/300)</f>
        <v>979152</v>
      </c>
    </row>
    <row r="90" customFormat="false" ht="15" hidden="false" customHeight="false" outlineLevel="0" collapsed="false">
      <c r="A90" s="5" t="n">
        <v>1918</v>
      </c>
      <c r="B90" s="7" t="n">
        <f aca="false">$I$2*(1-(A90-1830)*2/300)+$I$3*(1-(A90-1840)*2/300)+$I$4*(1-(A90-1848)*2/300)+$I$5*(1-(A90-1850)*2/300)+$I$6*(1-(A90-1855)*2/300)+$I$7*(1-(A90-1860)*2/300)+$I$8*(1-(A90-1870)*2/300)+$I$9*(1-(A90-1872)*2/300)+$I$10*(1-(A90-1875)*2/300)+$I$11*(1-(A90-1880)*2/300)+$I$12*(1-(A90-1890)*2/300)+$I$13*(1-(A90-1895)*2/300)+$I$14*(1-(A90-1898)*2/300)+$I$15*(1-(A90-1900)*2/300)+$I$16*(1-(A90-1905)*2/300)+$I$17*(1-(A90-1910)*2/300)+$I$18*(1-(A90-1914)*2/300)+$I$19*(1-(A90-1915)*2/300)</f>
        <v>969528</v>
      </c>
    </row>
    <row r="91" customFormat="false" ht="15" hidden="false" customHeight="false" outlineLevel="0" collapsed="false">
      <c r="A91" s="5" t="n">
        <v>1919</v>
      </c>
      <c r="B91" s="7" t="n">
        <f aca="false">$I$2*(1-(A91-1830)*2/300)+$I$3*(1-(A91-1840)*2/300)+$I$4*(1-(A91-1848)*2/300)+$I$5*(1-(A91-1850)*2/300)+$I$6*(1-(A91-1855)*2/300)+$I$7*(1-(A91-1860)*2/300)+$I$8*(1-(A91-1870)*2/300)+$I$9*(1-(A91-1872)*2/300)+$I$10*(1-(A91-1875)*2/300)+$I$11*(1-(A91-1880)*2/300)+$I$12*(1-(A91-1890)*2/300)+$I$13*(1-(A91-1895)*2/300)+$I$14*(1-(A91-1898)*2/300)+$I$15*(1-(A91-1900)*2/300)+$I$16*(1-(A91-1905)*2/300)+$I$17*(1-(A91-1910)*2/300)+$I$18*(1-(A91-1914)*2/300)+$I$19*(1-(A91-1915)*2/300)+$I$20*(1-(A91-1919)*2/300)</f>
        <v>1154304</v>
      </c>
    </row>
    <row r="92" customFormat="false" ht="15" hidden="false" customHeight="false" outlineLevel="0" collapsed="false">
      <c r="A92" s="5" t="n">
        <v>1920</v>
      </c>
      <c r="B92" s="7" t="n">
        <f aca="false">$I$2*(1-(A92-1830)*2/300)+$I$3*(1-(A92-1840)*2/300)+$I$4*(1-(A92-1848)*2/300)+$I$5*(1-(A92-1850)*2/300)+$I$6*(1-(A92-1855)*2/300)+$I$7*(1-(A92-1860)*2/300)+$I$8*(1-(A92-1870)*2/300)+$I$9*(1-(A92-1872)*2/300)+$I$10*(1-(A92-1875)*2/300)+$I$11*(1-(A92-1880)*2/300)+$I$12*(1-(A92-1890)*2/300)+$I$13*(1-(A92-1895)*2/300)+$I$14*(1-(A92-1898)*2/300)+$I$15*(1-(A92-1900)*2/300)+$I$16*(1-(A92-1905)*2/300)+$I$17*(1-(A92-1910)*2/300)+$I$18*(1-(A92-1914)*2/300)+$I$19*(1-(A92-1915)*2/300)+$I$20*(1-(A92-1919)*2/300)</f>
        <v>1143384</v>
      </c>
    </row>
    <row r="93" customFormat="false" ht="15" hidden="false" customHeight="false" outlineLevel="0" collapsed="false">
      <c r="A93" s="5" t="n">
        <v>1921</v>
      </c>
      <c r="B93" s="7" t="n">
        <f aca="false">$I$2*(1-(A93-1830)*2/300)+$I$3*(1-(A93-1840)*2/300)+$I$4*(1-(A93-1848)*2/300)+$I$5*(1-(A93-1850)*2/300)+$I$6*(1-(A93-1855)*2/300)+$I$7*(1-(A93-1860)*2/300)+$I$8*(1-(A93-1870)*2/300)+$I$9*(1-(A93-1872)*2/300)+$I$10*(1-(A93-1875)*2/300)+$I$11*(1-(A93-1880)*2/300)+$I$12*(1-(A93-1890)*2/300)+$I$13*(1-(A93-1895)*2/300)+$I$14*(1-(A93-1898)*2/300)+$I$15*(1-(A93-1900)*2/300)+$I$16*(1-(A93-1905)*2/300)+$I$17*(1-(A93-1910)*2/300)+$I$18*(1-(A93-1914)*2/300)+$I$19*(1-(A93-1915)*2/300)+$I$20*(1-(A93-1919)*2/300)</f>
        <v>1132464</v>
      </c>
    </row>
    <row r="94" customFormat="false" ht="15" hidden="false" customHeight="false" outlineLevel="0" collapsed="false">
      <c r="A94" s="5" t="n">
        <v>1922</v>
      </c>
      <c r="B94" s="7" t="n">
        <f aca="false">$I$2*(1-(A94-1830)*2/300)+$I$3*(1-(A94-1840)*2/300)+$I$4*(1-(A94-1848)*2/300)+$I$5*(1-(A94-1850)*2/300)+$I$6*(1-(A94-1855)*2/300)+$I$7*(1-(A94-1860)*2/300)+$I$8*(1-(A94-1870)*2/300)+$I$9*(1-(A94-1872)*2/300)+$I$10*(1-(A94-1875)*2/300)+$I$11*(1-(A94-1880)*2/300)+$I$12*(1-(A94-1890)*2/300)+$I$13*(1-(A94-1895)*2/300)+$I$14*(1-(A94-1898)*2/300)+$I$15*(1-(A94-1900)*2/300)+$I$16*(1-(A94-1905)*2/300)+$I$17*(1-(A94-1910)*2/300)+$I$18*(1-(A94-1914)*2/300)+$I$19*(1-(A94-1915)*2/300)+$I$20*(1-(A94-1919)*2/300)</f>
        <v>1121544</v>
      </c>
    </row>
    <row r="95" customFormat="false" ht="15" hidden="false" customHeight="false" outlineLevel="0" collapsed="false">
      <c r="A95" s="5" t="n">
        <v>1923</v>
      </c>
      <c r="B95" s="7" t="n">
        <f aca="false">$I$2*(1-(A95-1830)*2/300)+$I$3*(1-(A95-1840)*2/300)+$I$4*(1-(A95-1848)*2/300)+$I$5*(1-(A95-1850)*2/300)+$I$6*(1-(A95-1855)*2/300)+$I$7*(1-(A95-1860)*2/300)+$I$8*(1-(A95-1870)*2/300)+$I$9*(1-(A95-1872)*2/300)+$I$10*(1-(A95-1875)*2/300)+$I$11*(1-(A95-1880)*2/300)+$I$12*(1-(A95-1890)*2/300)+$I$13*(1-(A95-1895)*2/300)+$I$14*(1-(A95-1898)*2/300)+$I$15*(1-(A95-1900)*2/300)+$I$16*(1-(A95-1905)*2/300)+$I$17*(1-(A95-1910)*2/300)+$I$18*(1-(A95-1914)*2/300)+$I$19*(1-(A95-1915)*2/300)+$I$20*(1-(A95-1919)*2/300)</f>
        <v>1110624</v>
      </c>
    </row>
    <row r="96" customFormat="false" ht="15" hidden="false" customHeight="false" outlineLevel="0" collapsed="false">
      <c r="A96" s="5" t="n">
        <v>1924</v>
      </c>
      <c r="B96" s="7" t="n">
        <f aca="false">$I$2*(1-(A96-1830)*2/300)+$I$3*(1-(A96-1840)*2/300)+$I$4*(1-(A96-1848)*2/300)+$I$5*(1-(A96-1850)*2/300)+$I$6*(1-(A96-1855)*2/300)+$I$7*(1-(A96-1860)*2/300)+$I$8*(1-(A96-1870)*2/300)+$I$9*(1-(A96-1872)*2/300)+$I$10*(1-(A96-1875)*2/300)+$I$11*(1-(A96-1880)*2/300)+$I$12*(1-(A96-1890)*2/300)+$I$13*(1-(A96-1895)*2/300)+$I$14*(1-(A96-1898)*2/300)+$I$15*(1-(A96-1900)*2/300)+$I$16*(1-(A96-1905)*2/300)+$I$17*(1-(A96-1910)*2/300)+$I$18*(1-(A96-1914)*2/300)+$I$19*(1-(A96-1915)*2/300)+$I$20*(1-(A96-1919)*2/300)</f>
        <v>1099704</v>
      </c>
    </row>
    <row r="97" customFormat="false" ht="15" hidden="false" customHeight="false" outlineLevel="0" collapsed="false">
      <c r="A97" s="5" t="n">
        <v>1925</v>
      </c>
      <c r="B97" s="7" t="n">
        <f aca="false">$I$2*(1-(A97-1830)*2/300)+$I$3*(1-(A97-1840)*2/300)+$I$4*(1-(A97-1848)*2/300)+$I$5*(1-(A97-1850)*2/300)+$I$6*(1-(A97-1855)*2/300)+$I$7*(1-(A97-1860)*2/300)+$I$8*(1-(A97-1870)*2/300)+$I$9*(1-(A97-1872)*2/300)+$I$10*(1-(A97-1875)*2/300)+$I$11*(1-(A97-1880)*2/300)+$I$12*(1-(A97-1890)*2/300)+$I$13*(1-(A97-1895)*2/300)+$I$14*(1-(A97-1898)*2/300)+$I$15*(1-(A97-1900)*2/300)+$I$16*(1-(A97-1905)*2/300)+$I$17*(1-(A97-1910)*2/300)+$I$18*(1-(A97-1914)*2/300)+$I$19*(1-(A97-1915)*2/300)+$I$20*(1-(A97-1919)*2/300)</f>
        <v>1088784</v>
      </c>
    </row>
    <row r="98" customFormat="false" ht="15" hidden="false" customHeight="false" outlineLevel="0" collapsed="false">
      <c r="A98" s="5" t="n">
        <v>1926</v>
      </c>
      <c r="B98" s="7" t="n">
        <f aca="false">$I$2*(1-(A98-1830)*2/300)+$I$3*(1-(A98-1840)*2/300)+$I$4*(1-(A98-1848)*2/300)+$I$5*(1-(A98-1850)*2/300)+$I$6*(1-(A98-1855)*2/300)+$I$7*(1-(A98-1860)*2/300)+$I$8*(1-(A98-1870)*2/300)+$I$9*(1-(A98-1872)*2/300)+$I$10*(1-(A98-1875)*2/300)+$I$11*(1-(A98-1880)*2/300)+$I$12*(1-(A98-1890)*2/300)+$I$13*(1-(A98-1895)*2/300)+$I$14*(1-(A98-1898)*2/300)+$I$15*(1-(A98-1900)*2/300)+$I$16*(1-(A98-1905)*2/300)+$I$17*(1-(A98-1910)*2/300)+$I$18*(1-(A98-1914)*2/300)+$I$19*(1-(A98-1915)*2/300)+$I$20*(1-(A98-1919)*2/300)</f>
        <v>1077864</v>
      </c>
    </row>
    <row r="99" customFormat="false" ht="15" hidden="false" customHeight="false" outlineLevel="0" collapsed="false">
      <c r="A99" s="5" t="n">
        <v>1927</v>
      </c>
      <c r="B99" s="7" t="n">
        <f aca="false">$I$2*(1-(A99-1830)*2/300)+$I$3*(1-(A99-1840)*2/300)+$I$4*(1-(A99-1848)*2/300)+$I$5*(1-(A99-1850)*2/300)+$I$6*(1-(A99-1855)*2/300)+$I$7*(1-(A99-1860)*2/300)+$I$8*(1-(A99-1870)*2/300)+$I$9*(1-(A99-1872)*2/300)+$I$10*(1-(A99-1875)*2/300)+$I$11*(1-(A99-1880)*2/300)+$I$12*(1-(A99-1890)*2/300)+$I$13*(1-(A99-1895)*2/300)+$I$14*(1-(A99-1898)*2/300)+$I$15*(1-(A99-1900)*2/300)+$I$16*(1-(A99-1905)*2/300)+$I$17*(1-(A99-1910)*2/300)+$I$18*(1-(A99-1914)*2/300)+$I$19*(1-(A99-1915)*2/300)+$I$20*(1-(A99-1919)*2/300)</f>
        <v>1066944</v>
      </c>
    </row>
    <row r="100" customFormat="false" ht="15" hidden="false" customHeight="false" outlineLevel="0" collapsed="false">
      <c r="A100" s="5" t="n">
        <v>1928</v>
      </c>
      <c r="B100" s="7" t="n">
        <f aca="false">$I$2*(1-(A100-1830)*2/300)+$I$3*(1-(A100-1840)*2/300)+$I$4*(1-(A100-1848)*2/300)+$I$5*(1-(A100-1850)*2/300)+$I$6*(1-(A100-1855)*2/300)+$I$7*(1-(A100-1860)*2/300)+$I$8*(1-(A100-1870)*2/300)+$I$9*(1-(A100-1872)*2/300)+$I$10*(1-(A100-1875)*2/300)+$I$11*(1-(A100-1880)*2/300)+$I$12*(1-(A100-1890)*2/300)+$I$13*(1-(A100-1895)*2/300)+$I$14*(1-(A100-1898)*2/300)+$I$15*(1-(A100-1900)*2/300)+$I$16*(1-(A100-1905)*2/300)+$I$17*(1-(A100-1910)*2/300)+$I$18*(1-(A100-1914)*2/300)+$I$19*(1-(A100-1915)*2/300)+$I$20*(1-(A100-1919)*2/300)</f>
        <v>1056024</v>
      </c>
    </row>
    <row r="101" customFormat="false" ht="15" hidden="false" customHeight="false" outlineLevel="0" collapsed="false">
      <c r="A101" s="5" t="n">
        <v>1929</v>
      </c>
      <c r="B101" s="7" t="n">
        <f aca="false">$I$2*(1-(A101-1830)*2/300)+$I$3*(1-(A101-1840)*2/300)+$I$4*(1-(A101-1848)*2/300)+$I$5*(1-(A101-1850)*2/300)+$I$6*(1-(A101-1855)*2/300)+$I$7*(1-(A101-1860)*2/300)+$I$8*(1-(A101-1870)*2/300)+$I$9*(1-(A101-1872)*2/300)+$I$10*(1-(A101-1875)*2/300)+$I$11*(1-(A101-1880)*2/300)+$I$12*(1-(A101-1890)*2/300)+$I$13*(1-(A101-1895)*2/300)+$I$14*(1-(A101-1898)*2/300)+$I$15*(1-(A101-1900)*2/300)+$I$16*(1-(A101-1905)*2/300)+$I$17*(1-(A101-1910)*2/300)+$I$18*(1-(A101-1914)*2/300)+$I$19*(1-(A101-1915)*2/300)+$I$20*(1-(A101-1919)*2/300)</f>
        <v>1045104</v>
      </c>
    </row>
    <row r="102" customFormat="false" ht="15" hidden="false" customHeight="false" outlineLevel="0" collapsed="false">
      <c r="A102" s="5" t="n">
        <v>1930</v>
      </c>
      <c r="B102" s="7" t="n">
        <f aca="false">$I$2*(1-(A102-1830)*2/300)+$I$3*(1-(A102-1840)*2/300)+$I$4*(1-(A102-1848)*2/300)+$I$5*(1-(A102-1850)*2/300)+$I$6*(1-(A102-1855)*2/300)+$I$7*(1-(A102-1860)*2/300)+$I$8*(1-(A102-1870)*2/300)+$I$9*(1-(A102-1872)*2/300)+$I$10*(1-(A102-1875)*2/300)+$I$11*(1-(A102-1880)*2/300)+$I$12*(1-(A102-1890)*2/300)+$I$13*(1-(A102-1895)*2/300)+$I$14*(1-(A102-1898)*2/300)+$I$15*(1-(A102-1900)*2/300)+$I$16*(1-(A102-1905)*2/300)+$I$17*(1-(A102-1910)*2/300)+$I$18*(1-(A102-1914)*2/300)+$I$19*(1-(A102-1915)*2/300)+$I$20*(1-(A102-1919)*2/300)</f>
        <v>1034184</v>
      </c>
    </row>
    <row r="103" customFormat="false" ht="15" hidden="false" customHeight="false" outlineLevel="0" collapsed="false">
      <c r="A103" s="5" t="n">
        <v>1931</v>
      </c>
      <c r="B103" s="7" t="n">
        <f aca="false">$I$2*(1-(A103-1830)*2/300)+$I$3*(1-(A103-1840)*2/300)+$I$4*(1-(A103-1848)*2/300)+$I$5*(1-(A103-1850)*2/300)+$I$6*(1-(A103-1855)*2/300)+$I$7*(1-(A103-1860)*2/300)+$I$8*(1-(A103-1870)*2/300)+$I$9*(1-(A103-1872)*2/300)+$I$10*(1-(A103-1875)*2/300)+$I$11*(1-(A103-1880)*2/300)+$I$12*(1-(A103-1890)*2/300)+$I$13*(1-(A103-1895)*2/300)+$I$14*(1-(A103-1898)*2/300)+$I$15*(1-(A103-1900)*2/300)+$I$16*(1-(A103-1905)*2/300)+$I$17*(1-(A103-1910)*2/300)+$I$18*(1-(A103-1914)*2/300)+$I$19*(1-(A103-1915)*2/300)+$I$20*(1-(A103-1919)*2/300)</f>
        <v>1023264</v>
      </c>
    </row>
    <row r="104" customFormat="false" ht="15" hidden="false" customHeight="false" outlineLevel="0" collapsed="false">
      <c r="A104" s="5" t="n">
        <v>1932</v>
      </c>
      <c r="B104" s="7" t="n">
        <f aca="false">$I$2*(1-(A104-1830)*2/300)+$I$3*(1-(A104-1840)*2/300)+$I$4*(1-(A104-1848)*2/300)+$I$5*(1-(A104-1850)*2/300)+$I$6*(1-(A104-1855)*2/300)+$I$7*(1-(A104-1860)*2/300)+$I$8*(1-(A104-1870)*2/300)+$I$9*(1-(A104-1872)*2/300)+$I$10*(1-(A104-1875)*2/300)+$I$11*(1-(A104-1880)*2/300)+$I$12*(1-(A104-1890)*2/300)+$I$13*(1-(A104-1895)*2/300)+$I$14*(1-(A104-1898)*2/300)+$I$15*(1-(A104-1900)*2/300)+$I$16*(1-(A104-1905)*2/300)+$I$17*(1-(A104-1910)*2/300)+$I$18*(1-(A104-1914)*2/300)+$I$19*(1-(A104-1915)*2/300)+$I$20*(1-(A104-1919)*2/300)</f>
        <v>1012344</v>
      </c>
    </row>
    <row r="105" customFormat="false" ht="15" hidden="false" customHeight="false" outlineLevel="0" collapsed="false">
      <c r="A105" s="5" t="n">
        <v>1933</v>
      </c>
      <c r="B105" s="7" t="n">
        <f aca="false">$I$2*(1-(A105-1830)*2/300)+$I$3*(1-(A105-1840)*2/300)+$I$4*(1-(A105-1848)*2/300)+$I$5*(1-(A105-1850)*2/300)+$I$6*(1-(A105-1855)*2/300)+$I$7*(1-(A105-1860)*2/300)+$I$8*(1-(A105-1870)*2/300)+$I$9*(1-(A105-1872)*2/300)+$I$10*(1-(A105-1875)*2/300)+$I$11*(1-(A105-1880)*2/300)+$I$12*(1-(A105-1890)*2/300)+$I$13*(1-(A105-1895)*2/300)+$I$14*(1-(A105-1898)*2/300)+$I$15*(1-(A105-1900)*2/300)+$I$16*(1-(A105-1905)*2/300)+$I$17*(1-(A105-1910)*2/300)+$I$18*(1-(A105-1914)*2/300)+$I$19*(1-(A105-1915)*2/300)+$I$20*(1-(A105-1919)*2/300)</f>
        <v>1001424</v>
      </c>
    </row>
    <row r="106" customFormat="false" ht="15" hidden="false" customHeight="false" outlineLevel="0" collapsed="false">
      <c r="A106" s="5" t="n">
        <v>1934</v>
      </c>
      <c r="B106" s="7" t="n">
        <f aca="false">$I$2*(1-(A106-1830)*2/300)+$I$3*(1-(A106-1840)*2/300)+$I$4*(1-(A106-1848)*2/300)+$I$5*(1-(A106-1850)*2/300)+$I$6*(1-(A106-1855)*2/300)+$I$7*(1-(A106-1860)*2/300)+$I$8*(1-(A106-1870)*2/300)+$I$9*(1-(A106-1872)*2/300)+$I$10*(1-(A106-1875)*2/300)+$I$11*(1-(A106-1880)*2/300)+$I$12*(1-(A106-1890)*2/300)+$I$13*(1-(A106-1895)*2/300)+$I$14*(1-(A106-1898)*2/300)+$I$15*(1-(A106-1900)*2/300)+$I$16*(1-(A106-1905)*2/300)+$I$17*(1-(A106-1910)*2/300)+$I$18*(1-(A106-1914)*2/300)+$I$19*(1-(A106-1915)*2/300)+$I$20*(1-(A106-1919)*2/300)</f>
        <v>990504</v>
      </c>
    </row>
    <row r="107" customFormat="false" ht="15" hidden="false" customHeight="false" outlineLevel="0" collapsed="false">
      <c r="A107" s="5" t="n">
        <v>1935</v>
      </c>
      <c r="B107" s="7" t="n">
        <f aca="false">$I$2*(1-(A107-1830)*2/300)+$I$3*(1-(A107-1840)*2/300)+$I$4*(1-(A107-1848)*2/300)+$I$5*(1-(A107-1850)*2/300)+$I$6*(1-(A107-1855)*2/300)+$I$7*(1-(A107-1860)*2/300)+$I$8*(1-(A107-1870)*2/300)+$I$9*(1-(A107-1872)*2/300)+$I$10*(1-(A107-1875)*2/300)+$I$11*(1-(A107-1880)*2/300)+$I$12*(1-(A107-1890)*2/300)+$I$13*(1-(A107-1895)*2/300)+$I$14*(1-(A107-1898)*2/300)+$I$15*(1-(A107-1900)*2/300)+$I$16*(1-(A107-1905)*2/300)+$I$17*(1-(A107-1910)*2/300)+$I$18*(1-(A107-1914)*2/300)+$I$19*(1-(A107-1915)*2/300)+$I$20*(1-(A107-1919)*2/300)</f>
        <v>979584</v>
      </c>
    </row>
    <row r="108" customFormat="false" ht="15" hidden="false" customHeight="false" outlineLevel="0" collapsed="false">
      <c r="A108" s="5" t="n">
        <v>1936</v>
      </c>
      <c r="B108" s="7" t="n">
        <f aca="false">$I$2*(1-(A108-1830)*2/300)+$I$3*(1-(A108-1840)*2/300)+$I$4*(1-(A108-1848)*2/300)+$I$5*(1-(A108-1850)*2/300)+$I$6*(1-(A108-1855)*2/300)+$I$7*(1-(A108-1860)*2/300)+$I$8*(1-(A108-1870)*2/300)+$I$9*(1-(A108-1872)*2/300)+$I$10*(1-(A108-1875)*2/300)+$I$11*(1-(A108-1880)*2/300)+$I$12*(1-(A108-1890)*2/300)+$I$13*(1-(A108-1895)*2/300)+$I$14*(1-(A108-1898)*2/300)+$I$15*(1-(A108-1900)*2/300)+$I$16*(1-(A108-1905)*2/300)+$I$17*(1-(A108-1910)*2/300)+$I$18*(1-(A108-1914)*2/300)+$I$19*(1-(A108-1915)*2/300)+$I$20*(1-(A108-1919)*2/300)</f>
        <v>968664</v>
      </c>
    </row>
  </sheetData>
  <dataValidations count="1">
    <dataValidation allowBlank="true" errorStyle="stop" operator="equal" showDropDown="false" showErrorMessage="true" showInputMessage="false" sqref="H23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7"/>
  <sheetViews>
    <sheetView showFormulas="false" showGridLines="true" showRowColHeaders="true" showZeros="true" rightToLeft="false" tabSelected="false" showOutlineSymbols="true" defaultGridColor="true" view="normal" topLeftCell="A97" colorId="64" zoomScale="120" zoomScaleNormal="120" zoomScalePageLayoutView="100" workbookViewId="0">
      <selection pane="topLeft" activeCell="G51" activeCellId="0" sqref="G51"/>
    </sheetView>
  </sheetViews>
  <sheetFormatPr defaultColWidth="8.855468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15.85"/>
    <col collapsed="false" customWidth="true" hidden="false" outlineLevel="0" max="5" min="5" style="1" width="10.57"/>
    <col collapsed="false" customWidth="true" hidden="false" outlineLevel="0" max="6" min="6" style="1" width="17.86"/>
    <col collapsed="false" customWidth="true" hidden="false" outlineLevel="0" max="7" min="7" style="1" width="12.42"/>
    <col collapsed="false" customWidth="false" hidden="false" outlineLevel="0" max="16384" min="8" style="1" width="8.85"/>
  </cols>
  <sheetData>
    <row r="1" customFormat="false" ht="15" hidden="false" customHeight="false" outlineLevel="0" collapsed="false">
      <c r="A1" s="5" t="s">
        <v>0</v>
      </c>
      <c r="B1" s="5" t="s">
        <v>66</v>
      </c>
      <c r="C1" s="5" t="s">
        <v>67</v>
      </c>
      <c r="D1" s="5" t="s">
        <v>1</v>
      </c>
      <c r="E1" s="5" t="s">
        <v>3</v>
      </c>
      <c r="F1" s="5" t="s">
        <v>68</v>
      </c>
    </row>
    <row r="2" customFormat="false" ht="15" hidden="false" customHeight="false" outlineLevel="0" collapsed="false">
      <c r="A2" s="5" t="n">
        <v>1830</v>
      </c>
      <c r="B2" s="12" t="n">
        <v>0.1</v>
      </c>
      <c r="C2" s="12" t="n">
        <v>-0.1</v>
      </c>
      <c r="D2" s="13" t="n">
        <v>0.01</v>
      </c>
      <c r="E2" s="14" t="n">
        <v>0.512</v>
      </c>
      <c r="F2" s="13" t="n">
        <f aca="false">(D2-0.005)*0.1/0.035*(1+B2+C2)*0.01*120</f>
        <v>0.0171428571428571</v>
      </c>
    </row>
    <row r="3" customFormat="false" ht="15" hidden="false" customHeight="false" outlineLevel="0" collapsed="false">
      <c r="A3" s="5" t="n">
        <v>1840</v>
      </c>
      <c r="B3" s="12" t="n">
        <v>0.2</v>
      </c>
      <c r="C3" s="12" t="n">
        <v>-0.03</v>
      </c>
      <c r="D3" s="13" t="n">
        <v>0.02</v>
      </c>
      <c r="E3" s="14" t="n">
        <f aca="false">MIN(1,E2+F2)</f>
        <v>0.529142857142857</v>
      </c>
      <c r="F3" s="13" t="n">
        <f aca="false">(D3-0.005)*0.1/0.035*(1+B3+C3)*0.01*120</f>
        <v>0.0601714285714286</v>
      </c>
    </row>
    <row r="4" customFormat="false" ht="15" hidden="false" customHeight="false" outlineLevel="0" collapsed="false">
      <c r="A4" s="5" t="n">
        <v>1850</v>
      </c>
      <c r="B4" s="12" t="n">
        <v>0.7</v>
      </c>
      <c r="C4" s="12" t="n">
        <v>0.02</v>
      </c>
      <c r="D4" s="13" t="n">
        <v>0.025</v>
      </c>
      <c r="E4" s="14" t="n">
        <f aca="false">MIN(1,E3+F3)</f>
        <v>0.589314285714286</v>
      </c>
      <c r="F4" s="13" t="n">
        <f aca="false">(D4-0.005)*0.1/0.035*(1+B4+C4)*0.01*120</f>
        <v>0.117942857142857</v>
      </c>
    </row>
    <row r="5" customFormat="false" ht="15" hidden="false" customHeight="false" outlineLevel="0" collapsed="false">
      <c r="A5" s="5" t="n">
        <v>1860</v>
      </c>
      <c r="B5" s="12" t="n">
        <v>0.7</v>
      </c>
      <c r="C5" s="12" t="n">
        <v>0.17</v>
      </c>
      <c r="D5" s="13" t="n">
        <v>0.03</v>
      </c>
      <c r="E5" s="14" t="n">
        <f aca="false">MIN(1,E4+F4)</f>
        <v>0.707257142857143</v>
      </c>
      <c r="F5" s="13" t="n">
        <f aca="false">(D5-0.005)*0.1/0.035*(1+B5+C5)*0.01*120</f>
        <v>0.160285714285714</v>
      </c>
    </row>
    <row r="6" customFormat="false" ht="15" hidden="false" customHeight="false" outlineLevel="0" collapsed="false">
      <c r="A6" s="5" t="n">
        <v>1870</v>
      </c>
      <c r="B6" s="12" t="n">
        <v>0.9</v>
      </c>
      <c r="C6" s="12" t="n">
        <v>0.32</v>
      </c>
      <c r="D6" s="13" t="n">
        <v>0.04</v>
      </c>
      <c r="E6" s="14" t="n">
        <f aca="false">MIN(1,E5+F5)</f>
        <v>0.867542857142857</v>
      </c>
      <c r="F6" s="13" t="n">
        <f aca="false">(D6-0.005)*0.1/0.035*(1+B6+C6)*0.01*120</f>
        <v>0.2664</v>
      </c>
    </row>
    <row r="7" customFormat="false" ht="15" hidden="false" customHeight="false" outlineLevel="0" collapsed="false">
      <c r="A7" s="5" t="n">
        <v>1880</v>
      </c>
      <c r="B7" s="12" t="n">
        <v>0.9</v>
      </c>
      <c r="C7" s="12" t="n">
        <v>0.32</v>
      </c>
      <c r="D7" s="13" t="n">
        <v>0.04</v>
      </c>
      <c r="E7" s="14" t="n">
        <f aca="false">MIN(1,E6+F6)</f>
        <v>1</v>
      </c>
      <c r="F7" s="13" t="n">
        <f aca="false">(D7-0.005)*0.1/0.035*(1+B7+C7)*0.01*120</f>
        <v>0.2664</v>
      </c>
    </row>
    <row r="8" customFormat="false" ht="15" hidden="false" customHeight="false" outlineLevel="0" collapsed="false">
      <c r="A8" s="5" t="n">
        <v>1890</v>
      </c>
      <c r="B8" s="12" t="n">
        <v>1.15</v>
      </c>
      <c r="C8" s="12" t="n">
        <v>0.32</v>
      </c>
      <c r="D8" s="13" t="n">
        <v>0.04</v>
      </c>
      <c r="E8" s="14" t="n">
        <f aca="false">MIN(1,E7+F7)</f>
        <v>1</v>
      </c>
      <c r="F8" s="13" t="n">
        <f aca="false">(D8-0.005)*0.1/0.035*(1+B8+C8)*0.01*120</f>
        <v>0.2964</v>
      </c>
    </row>
    <row r="9" customFormat="false" ht="15" hidden="false" customHeight="false" outlineLevel="0" collapsed="false">
      <c r="A9" s="5" t="n">
        <v>1900</v>
      </c>
      <c r="B9" s="12" t="n">
        <v>1.35</v>
      </c>
      <c r="C9" s="12" t="n">
        <v>0.32</v>
      </c>
      <c r="D9" s="13" t="n">
        <v>0.04</v>
      </c>
      <c r="E9" s="14" t="n">
        <f aca="false">MIN(1,E8+F8)</f>
        <v>1</v>
      </c>
      <c r="F9" s="13" t="n">
        <f aca="false">(D9-0.005)*0.1/0.035*(1+B9+C9)*0.01*120</f>
        <v>0.3204</v>
      </c>
    </row>
    <row r="10" customFormat="false" ht="15" hidden="false" customHeight="false" outlineLevel="0" collapsed="false">
      <c r="A10" s="5" t="n">
        <v>1910</v>
      </c>
      <c r="B10" s="12" t="n">
        <v>1.35</v>
      </c>
      <c r="C10" s="12" t="n">
        <v>0.32</v>
      </c>
      <c r="D10" s="13" t="n">
        <v>0.04</v>
      </c>
      <c r="E10" s="14" t="n">
        <f aca="false">MIN(1,E9+F9)</f>
        <v>1</v>
      </c>
      <c r="F10" s="13" t="n">
        <f aca="false">(D10-0.005)*0.1/0.035*(1+B10+C10)*0.01*120</f>
        <v>0.3204</v>
      </c>
    </row>
    <row r="11" customFormat="false" ht="15" hidden="false" customHeight="false" outlineLevel="0" collapsed="false">
      <c r="A11" s="5" t="n">
        <v>1920</v>
      </c>
      <c r="B11" s="12" t="n">
        <v>1.35</v>
      </c>
      <c r="C11" s="12" t="n">
        <v>0.32</v>
      </c>
      <c r="D11" s="13" t="n">
        <v>0.04</v>
      </c>
      <c r="E11" s="14" t="n">
        <f aca="false">MIN(1,E10+F10)</f>
        <v>1</v>
      </c>
      <c r="F11" s="13" t="n">
        <f aca="false">(D11-0.005)*0.1/0.035*(1+B11+C11)*0.01*120</f>
        <v>0.3204</v>
      </c>
    </row>
    <row r="12" customFormat="false" ht="15" hidden="false" customHeight="false" outlineLevel="0" collapsed="false">
      <c r="A12" s="5" t="n">
        <v>1930</v>
      </c>
      <c r="B12" s="12" t="n">
        <v>1.35</v>
      </c>
      <c r="C12" s="12" t="n">
        <v>0.32</v>
      </c>
      <c r="D12" s="13" t="n">
        <v>0.04</v>
      </c>
      <c r="E12" s="14" t="n">
        <f aca="false">MIN(1,E11+F11)</f>
        <v>1</v>
      </c>
      <c r="F12" s="13" t="n">
        <f aca="false">(D12-0.005)*0.1/0.035*(1+B12+C12)*0.01*120</f>
        <v>0.3204</v>
      </c>
    </row>
    <row r="13" customFormat="false" ht="15" hidden="false" customHeight="false" outlineLevel="0" collapsed="false">
      <c r="A13" s="5"/>
      <c r="B13" s="12"/>
      <c r="C13" s="12"/>
      <c r="D13" s="13"/>
      <c r="E13" s="14"/>
      <c r="F13" s="13"/>
    </row>
    <row r="14" customFormat="false" ht="15" hidden="false" customHeight="false" outlineLevel="0" collapsed="false">
      <c r="A14" s="5" t="s">
        <v>69</v>
      </c>
      <c r="B14" s="12" t="n">
        <v>0</v>
      </c>
      <c r="C14" s="12" t="n">
        <v>0</v>
      </c>
      <c r="D14" s="13" t="n">
        <v>0.04</v>
      </c>
      <c r="E14" s="14" t="n">
        <v>0.01</v>
      </c>
      <c r="F14" s="13" t="n">
        <f aca="false">(D14-0.005)*0.1/0.035*(1+B14+C14)*0.01*120</f>
        <v>0.12</v>
      </c>
    </row>
    <row r="15" customFormat="false" ht="15" hidden="false" customHeight="false" outlineLevel="0" collapsed="false">
      <c r="A15" s="5" t="s">
        <v>69</v>
      </c>
      <c r="B15" s="12" t="n">
        <v>0</v>
      </c>
      <c r="C15" s="12" t="n">
        <v>0</v>
      </c>
      <c r="D15" s="13" t="n">
        <v>0.04</v>
      </c>
      <c r="E15" s="14" t="n">
        <f aca="false">SUM(E14,F14)</f>
        <v>0.13</v>
      </c>
      <c r="F15" s="13" t="n">
        <f aca="false">(D15-0.005)*0.1/0.035*(1+B15+C15)*0.01*120</f>
        <v>0.12</v>
      </c>
    </row>
    <row r="16" customFormat="false" ht="15" hidden="false" customHeight="false" outlineLevel="0" collapsed="false">
      <c r="D16" s="10"/>
      <c r="E16" s="15"/>
    </row>
    <row r="17" customFormat="false" ht="15" hidden="false" customHeight="false" outlineLevel="0" collapsed="false">
      <c r="A17" s="5" t="s">
        <v>69</v>
      </c>
      <c r="B17" s="12" t="n">
        <v>1</v>
      </c>
      <c r="C17" s="12" t="n">
        <v>0</v>
      </c>
      <c r="D17" s="13" t="n">
        <v>0.01</v>
      </c>
      <c r="E17" s="14" t="n">
        <v>0.01</v>
      </c>
      <c r="F17" s="13" t="n">
        <f aca="false">(D17-0.005)*0.1/0.035*(1+B17+C17)*0.01*120</f>
        <v>0.0342857142857143</v>
      </c>
    </row>
    <row r="18" customFormat="false" ht="15" hidden="false" customHeight="false" outlineLevel="0" collapsed="false">
      <c r="A18" s="5" t="s">
        <v>69</v>
      </c>
      <c r="B18" s="12" t="n">
        <v>1</v>
      </c>
      <c r="C18" s="12" t="n">
        <v>0</v>
      </c>
      <c r="D18" s="13" t="n">
        <v>0.04</v>
      </c>
      <c r="E18" s="14" t="n">
        <f aca="false">SUM(E17,F17)</f>
        <v>0.0442857142857143</v>
      </c>
      <c r="F18" s="13" t="n">
        <f aca="false">(D18-0.005)*0.1/0.035*(1+B18+C18)*0.01*120</f>
        <v>0.24</v>
      </c>
    </row>
    <row r="20" customFormat="false" ht="15" hidden="false" customHeight="false" outlineLevel="0" collapsed="false">
      <c r="A20" s="5" t="s">
        <v>0</v>
      </c>
      <c r="B20" s="5" t="s">
        <v>66</v>
      </c>
      <c r="C20" s="5" t="s">
        <v>67</v>
      </c>
      <c r="D20" s="5" t="s">
        <v>1</v>
      </c>
      <c r="E20" s="5" t="s">
        <v>3</v>
      </c>
      <c r="F20" s="5" t="s">
        <v>68</v>
      </c>
    </row>
    <row r="21" customFormat="false" ht="15" hidden="false" customHeight="false" outlineLevel="0" collapsed="false">
      <c r="A21" s="5" t="n">
        <v>1830</v>
      </c>
      <c r="B21" s="12" t="n">
        <v>0.1</v>
      </c>
      <c r="C21" s="12" t="n">
        <v>-0.1</v>
      </c>
      <c r="D21" s="13" t="n">
        <v>0.01</v>
      </c>
      <c r="E21" s="14" t="n">
        <v>0.1</v>
      </c>
      <c r="F21" s="13" t="n">
        <f aca="false">(D21-0.005)*0.1/0.035*(1+B21+C21)*0.01*12</f>
        <v>0.00171428571428571</v>
      </c>
    </row>
    <row r="22" customFormat="false" ht="15" hidden="false" customHeight="false" outlineLevel="0" collapsed="false">
      <c r="A22" s="5" t="n">
        <v>1831</v>
      </c>
      <c r="B22" s="12" t="n">
        <v>0.1</v>
      </c>
      <c r="C22" s="12" t="n">
        <v>-0.1</v>
      </c>
      <c r="D22" s="13" t="n">
        <v>0.0105</v>
      </c>
      <c r="E22" s="14" t="n">
        <f aca="false">MIN(1,E21+F21)</f>
        <v>0.101714285714286</v>
      </c>
      <c r="F22" s="13" t="n">
        <f aca="false">(D22-0.005)*0.1/0.035*(1+B22+C22)*0.01*12</f>
        <v>0.00188571428571429</v>
      </c>
    </row>
    <row r="23" customFormat="false" ht="15" hidden="false" customHeight="false" outlineLevel="0" collapsed="false">
      <c r="A23" s="5" t="n">
        <v>1832</v>
      </c>
      <c r="B23" s="12" t="n">
        <v>0.1</v>
      </c>
      <c r="C23" s="12" t="n">
        <v>-0.1</v>
      </c>
      <c r="D23" s="13" t="n">
        <v>0.011</v>
      </c>
      <c r="E23" s="14" t="n">
        <f aca="false">MIN(1,E22+F22)</f>
        <v>0.1036</v>
      </c>
      <c r="F23" s="13" t="n">
        <f aca="false">(D23-0.005)*0.1/0.035*(1+B23+C23)*0.01*12</f>
        <v>0.00205714285714286</v>
      </c>
    </row>
    <row r="24" customFormat="false" ht="15" hidden="false" customHeight="false" outlineLevel="0" collapsed="false">
      <c r="A24" s="5" t="n">
        <v>1833</v>
      </c>
      <c r="B24" s="12" t="n">
        <v>0.1</v>
      </c>
      <c r="C24" s="12" t="n">
        <v>-0.1</v>
      </c>
      <c r="D24" s="13" t="n">
        <v>0.0115</v>
      </c>
      <c r="E24" s="14" t="n">
        <f aca="false">MIN(1,E23+F23)</f>
        <v>0.105657142857143</v>
      </c>
      <c r="F24" s="13" t="n">
        <f aca="false">(D24-0.005)*0.1/0.035*(1+B24+C24)*0.01*12</f>
        <v>0.00222857142857143</v>
      </c>
    </row>
    <row r="25" customFormat="false" ht="15" hidden="false" customHeight="false" outlineLevel="0" collapsed="false">
      <c r="A25" s="5" t="n">
        <v>1834</v>
      </c>
      <c r="B25" s="12" t="n">
        <v>0.1</v>
      </c>
      <c r="C25" s="12" t="n">
        <v>-0.1</v>
      </c>
      <c r="D25" s="13" t="n">
        <v>0.012</v>
      </c>
      <c r="E25" s="14" t="n">
        <f aca="false">MIN(1,E24+F24)</f>
        <v>0.107885714285714</v>
      </c>
      <c r="F25" s="13" t="n">
        <f aca="false">(D25-0.005)*0.1/0.035*(1+B25+C25)*0.01*12</f>
        <v>0.0024</v>
      </c>
    </row>
    <row r="26" customFormat="false" ht="15" hidden="false" customHeight="false" outlineLevel="0" collapsed="false">
      <c r="A26" s="5" t="n">
        <v>1835</v>
      </c>
      <c r="B26" s="12" t="n">
        <v>0.1</v>
      </c>
      <c r="C26" s="12" t="n">
        <v>-0.1</v>
      </c>
      <c r="D26" s="13" t="n">
        <v>0.0125</v>
      </c>
      <c r="E26" s="14" t="n">
        <f aca="false">MIN(1,E25+F25)</f>
        <v>0.110285714285714</v>
      </c>
      <c r="F26" s="13" t="n">
        <f aca="false">(D26-0.005)*0.1/0.035*(1+B26+C26)*0.01*12</f>
        <v>0.00257142857142857</v>
      </c>
    </row>
    <row r="27" customFormat="false" ht="15" hidden="false" customHeight="false" outlineLevel="0" collapsed="false">
      <c r="A27" s="5" t="n">
        <v>1836</v>
      </c>
      <c r="B27" s="12" t="n">
        <v>0.1</v>
      </c>
      <c r="C27" s="12" t="n">
        <v>-0.1</v>
      </c>
      <c r="D27" s="13" t="n">
        <v>0.013</v>
      </c>
      <c r="E27" s="14" t="n">
        <f aca="false">MIN(1,E26+F26)</f>
        <v>0.112857142857143</v>
      </c>
      <c r="F27" s="13" t="n">
        <f aca="false">(D27-0.005)*0.1/0.035*(1+B27+C27)*0.01*12</f>
        <v>0.00274285714285714</v>
      </c>
    </row>
    <row r="28" customFormat="false" ht="15" hidden="false" customHeight="false" outlineLevel="0" collapsed="false">
      <c r="A28" s="5" t="n">
        <v>1837</v>
      </c>
      <c r="B28" s="12" t="n">
        <v>0.1</v>
      </c>
      <c r="C28" s="12" t="n">
        <v>-0.1</v>
      </c>
      <c r="D28" s="13" t="n">
        <v>0.0135</v>
      </c>
      <c r="E28" s="14" t="n">
        <f aca="false">MIN(1,E27+F27)</f>
        <v>0.1156</v>
      </c>
      <c r="F28" s="13" t="n">
        <f aca="false">(D28-0.005)*0.1/0.035*(1+B28+C28)*0.01*12</f>
        <v>0.00291428571428571</v>
      </c>
    </row>
    <row r="29" customFormat="false" ht="15" hidden="false" customHeight="false" outlineLevel="0" collapsed="false">
      <c r="A29" s="5" t="n">
        <v>1838</v>
      </c>
      <c r="B29" s="12" t="n">
        <v>0.1</v>
      </c>
      <c r="C29" s="12" t="n">
        <v>-0.1</v>
      </c>
      <c r="D29" s="13" t="n">
        <v>0.014</v>
      </c>
      <c r="E29" s="14" t="n">
        <f aca="false">MIN(1,E28+F28)</f>
        <v>0.118514285714286</v>
      </c>
      <c r="F29" s="13" t="n">
        <f aca="false">(D29-0.005)*0.1/0.035*(1+B29+C29)*0.01*12</f>
        <v>0.00308571428571429</v>
      </c>
    </row>
    <row r="30" customFormat="false" ht="15" hidden="false" customHeight="false" outlineLevel="0" collapsed="false">
      <c r="A30" s="5" t="n">
        <v>1839</v>
      </c>
      <c r="B30" s="12" t="n">
        <v>0.1</v>
      </c>
      <c r="C30" s="12" t="n">
        <v>-0.1</v>
      </c>
      <c r="D30" s="13" t="n">
        <v>0.0145</v>
      </c>
      <c r="E30" s="14" t="n">
        <f aca="false">MIN(1,E29+F29)</f>
        <v>0.1216</v>
      </c>
      <c r="F30" s="13" t="n">
        <f aca="false">(D30-0.005)*0.1/0.035*(1+B30+C30)*0.01*12</f>
        <v>0.00325714285714286</v>
      </c>
    </row>
    <row r="31" customFormat="false" ht="15" hidden="false" customHeight="false" outlineLevel="0" collapsed="false">
      <c r="A31" s="5" t="n">
        <v>1840</v>
      </c>
      <c r="B31" s="12" t="n">
        <v>0.1</v>
      </c>
      <c r="C31" s="12" t="n">
        <v>-0.1</v>
      </c>
      <c r="D31" s="13" t="n">
        <v>0.015</v>
      </c>
      <c r="E31" s="14" t="n">
        <f aca="false">MIN(1,E30+F30)</f>
        <v>0.124857142857143</v>
      </c>
      <c r="F31" s="13" t="n">
        <f aca="false">(D31-0.005)*0.1/0.035*(1+B31+C31)*0.01*12</f>
        <v>0.00342857142857143</v>
      </c>
    </row>
    <row r="32" customFormat="false" ht="15" hidden="false" customHeight="false" outlineLevel="0" collapsed="false">
      <c r="A32" s="5" t="n">
        <v>1841</v>
      </c>
      <c r="B32" s="12" t="n">
        <v>0.1</v>
      </c>
      <c r="C32" s="12" t="n">
        <v>-0.1</v>
      </c>
      <c r="D32" s="13" t="n">
        <v>0.0155</v>
      </c>
      <c r="E32" s="14" t="n">
        <f aca="false">MIN(1,E31+F31)</f>
        <v>0.128285714285714</v>
      </c>
      <c r="F32" s="13" t="n">
        <f aca="false">(D32-0.005)*0.1/0.035*(1+B32+C32)*0.01*12</f>
        <v>0.0036</v>
      </c>
    </row>
    <row r="33" customFormat="false" ht="15" hidden="false" customHeight="false" outlineLevel="0" collapsed="false">
      <c r="A33" s="5" t="n">
        <v>1842</v>
      </c>
      <c r="B33" s="12" t="n">
        <v>0.1</v>
      </c>
      <c r="C33" s="12" t="n">
        <v>-0.1</v>
      </c>
      <c r="D33" s="13" t="n">
        <v>0.016</v>
      </c>
      <c r="E33" s="14" t="n">
        <f aca="false">MIN(1,E32+F32)</f>
        <v>0.131885714285714</v>
      </c>
      <c r="F33" s="13" t="n">
        <f aca="false">(D33-0.005)*0.1/0.035*(1+B33+C33)*0.01*12</f>
        <v>0.00377142857142857</v>
      </c>
    </row>
    <row r="34" customFormat="false" ht="15" hidden="false" customHeight="false" outlineLevel="0" collapsed="false">
      <c r="A34" s="5" t="n">
        <v>1843</v>
      </c>
      <c r="B34" s="12" t="n">
        <v>0.1</v>
      </c>
      <c r="C34" s="12" t="n">
        <v>-0.03</v>
      </c>
      <c r="D34" s="13" t="n">
        <v>0.0165</v>
      </c>
      <c r="E34" s="14" t="n">
        <f aca="false">MIN(1,E33+F33)</f>
        <v>0.135657142857143</v>
      </c>
      <c r="F34" s="13" t="n">
        <f aca="false">(D34-0.005)*0.1/0.035*(1+B34+C34)*0.01*12</f>
        <v>0.00421885714285714</v>
      </c>
    </row>
    <row r="35" customFormat="false" ht="15" hidden="false" customHeight="false" outlineLevel="0" collapsed="false">
      <c r="A35" s="5" t="n">
        <v>1844</v>
      </c>
      <c r="B35" s="12" t="n">
        <v>0.2</v>
      </c>
      <c r="C35" s="12" t="n">
        <v>-0.03</v>
      </c>
      <c r="D35" s="13" t="n">
        <v>0.017</v>
      </c>
      <c r="E35" s="14" t="n">
        <f aca="false">MIN(1,E34+F34)</f>
        <v>0.139876</v>
      </c>
      <c r="F35" s="13" t="n">
        <f aca="false">(D35-0.005)*0.1/0.035*(1+B35+C35)*0.01*12</f>
        <v>0.00481371428571429</v>
      </c>
    </row>
    <row r="36" customFormat="false" ht="15" hidden="false" customHeight="false" outlineLevel="0" collapsed="false">
      <c r="A36" s="5" t="n">
        <v>1845</v>
      </c>
      <c r="B36" s="12" t="n">
        <v>0.2</v>
      </c>
      <c r="C36" s="12" t="n">
        <v>-0.03</v>
      </c>
      <c r="D36" s="13" t="n">
        <v>0.0175</v>
      </c>
      <c r="E36" s="14" t="n">
        <f aca="false">MIN(1,E35+F35)</f>
        <v>0.144689714285714</v>
      </c>
      <c r="F36" s="13" t="n">
        <f aca="false">(D36-0.005)*0.1/0.035*(1+B36+C36)*0.01*12</f>
        <v>0.00501428571428571</v>
      </c>
    </row>
    <row r="37" customFormat="false" ht="15" hidden="false" customHeight="false" outlineLevel="0" collapsed="false">
      <c r="A37" s="5" t="n">
        <v>1846</v>
      </c>
      <c r="B37" s="12" t="n">
        <v>0.2</v>
      </c>
      <c r="C37" s="12" t="n">
        <v>-0.03</v>
      </c>
      <c r="D37" s="13" t="n">
        <v>0.018</v>
      </c>
      <c r="E37" s="14" t="n">
        <f aca="false">MIN(1,E36+F36)</f>
        <v>0.149704</v>
      </c>
      <c r="F37" s="13" t="n">
        <f aca="false">(D37-0.005)*0.1/0.035*(1+B37+C37)*0.01*12</f>
        <v>0.00521485714285714</v>
      </c>
    </row>
    <row r="38" customFormat="false" ht="15" hidden="false" customHeight="false" outlineLevel="0" collapsed="false">
      <c r="A38" s="5" t="n">
        <v>1847</v>
      </c>
      <c r="B38" s="12" t="n">
        <v>0.2</v>
      </c>
      <c r="C38" s="12" t="n">
        <v>-0.03</v>
      </c>
      <c r="D38" s="13" t="n">
        <v>0.0185</v>
      </c>
      <c r="E38" s="14" t="n">
        <f aca="false">MIN(1,E37+F37)</f>
        <v>0.154918857142857</v>
      </c>
      <c r="F38" s="13" t="n">
        <f aca="false">(D38-0.005)*0.1/0.035*(1+B38+C38)*0.01*12</f>
        <v>0.00541542857142857</v>
      </c>
    </row>
    <row r="39" customFormat="false" ht="15" hidden="false" customHeight="false" outlineLevel="0" collapsed="false">
      <c r="A39" s="5" t="n">
        <v>1848</v>
      </c>
      <c r="B39" s="12" t="n">
        <v>0.2</v>
      </c>
      <c r="C39" s="12" t="n">
        <v>-0.03</v>
      </c>
      <c r="D39" s="13" t="n">
        <v>0.019</v>
      </c>
      <c r="E39" s="14" t="n">
        <f aca="false">MIN(1,E38+F38)</f>
        <v>0.160334285714286</v>
      </c>
      <c r="F39" s="13" t="n">
        <f aca="false">(D39-0.005)*0.1/0.035*(1+B39+C39)*0.01*12</f>
        <v>0.005616</v>
      </c>
    </row>
    <row r="40" customFormat="false" ht="15" hidden="false" customHeight="false" outlineLevel="0" collapsed="false">
      <c r="A40" s="5" t="n">
        <v>1849</v>
      </c>
      <c r="B40" s="12" t="n">
        <v>0.2</v>
      </c>
      <c r="C40" s="12" t="n">
        <v>-0.03</v>
      </c>
      <c r="D40" s="13" t="n">
        <v>0.0195</v>
      </c>
      <c r="E40" s="14" t="n">
        <f aca="false">MIN(1,E39+F39)</f>
        <v>0.165950285714286</v>
      </c>
      <c r="F40" s="13" t="n">
        <f aca="false">(D40-0.005)*0.1/0.035*(1+B40+C40)*0.01*12</f>
        <v>0.00581657142857143</v>
      </c>
    </row>
    <row r="41" customFormat="false" ht="15" hidden="false" customHeight="false" outlineLevel="0" collapsed="false">
      <c r="A41" s="5" t="n">
        <v>1850</v>
      </c>
      <c r="B41" s="12" t="n">
        <v>0.2</v>
      </c>
      <c r="C41" s="12" t="n">
        <v>-0.03</v>
      </c>
      <c r="D41" s="13" t="n">
        <v>0.02</v>
      </c>
      <c r="E41" s="14" t="n">
        <f aca="false">MIN(1,E40+F40)</f>
        <v>0.171766857142857</v>
      </c>
      <c r="F41" s="13" t="n">
        <f aca="false">(D41-0.005)*0.1/0.035*(1+B41+C41)*0.01*12</f>
        <v>0.00601714285714286</v>
      </c>
    </row>
    <row r="42" customFormat="false" ht="15" hidden="false" customHeight="false" outlineLevel="0" collapsed="false">
      <c r="A42" s="5" t="n">
        <v>1851</v>
      </c>
      <c r="B42" s="12" t="n">
        <v>0.3</v>
      </c>
      <c r="C42" s="12" t="n">
        <v>-0.03</v>
      </c>
      <c r="D42" s="13" t="n">
        <v>0.0205</v>
      </c>
      <c r="E42" s="14" t="n">
        <f aca="false">MIN(1,E41+F41)</f>
        <v>0.177784</v>
      </c>
      <c r="F42" s="13" t="n">
        <f aca="false">(D42-0.005)*0.1/0.035*(1+B42+C42)*0.01*12</f>
        <v>0.00674914285714286</v>
      </c>
    </row>
    <row r="43" customFormat="false" ht="15" hidden="false" customHeight="false" outlineLevel="0" collapsed="false">
      <c r="A43" s="5" t="n">
        <v>1852</v>
      </c>
      <c r="B43" s="12" t="n">
        <v>0.3</v>
      </c>
      <c r="C43" s="12" t="n">
        <v>-0.03</v>
      </c>
      <c r="D43" s="13" t="n">
        <v>0.021</v>
      </c>
      <c r="E43" s="14" t="n">
        <f aca="false">MIN(1,E42+F42)</f>
        <v>0.184533142857143</v>
      </c>
      <c r="F43" s="13" t="n">
        <f aca="false">(D43-0.005)*0.1/0.035*(1+B43+C43)*0.01*12</f>
        <v>0.00696685714285714</v>
      </c>
    </row>
    <row r="44" customFormat="false" ht="15" hidden="false" customHeight="false" outlineLevel="0" collapsed="false">
      <c r="A44" s="5" t="n">
        <v>1853</v>
      </c>
      <c r="B44" s="12" t="n">
        <v>0.4</v>
      </c>
      <c r="C44" s="12" t="n">
        <v>-0.03</v>
      </c>
      <c r="D44" s="13" t="n">
        <v>0.0215</v>
      </c>
      <c r="E44" s="14" t="n">
        <f aca="false">MIN(1,E43+F43)</f>
        <v>0.1915</v>
      </c>
      <c r="F44" s="13" t="n">
        <f aca="false">(D44-0.005)*0.1/0.035*(1+B44+C44)*0.01*12</f>
        <v>0.00775028571428571</v>
      </c>
    </row>
    <row r="45" customFormat="false" ht="15" hidden="false" customHeight="false" outlineLevel="0" collapsed="false">
      <c r="A45" s="5" t="n">
        <v>1854</v>
      </c>
      <c r="B45" s="12" t="n">
        <v>0.4</v>
      </c>
      <c r="C45" s="12" t="n">
        <v>-0.03</v>
      </c>
      <c r="D45" s="13" t="n">
        <v>0.022</v>
      </c>
      <c r="E45" s="14" t="n">
        <f aca="false">MIN(1,E44+F44)</f>
        <v>0.199250285714286</v>
      </c>
      <c r="F45" s="13" t="n">
        <f aca="false">(D45-0.005)*0.1/0.035*(1+B45+C45)*0.01*12</f>
        <v>0.00798514285714286</v>
      </c>
    </row>
    <row r="46" customFormat="false" ht="15" hidden="false" customHeight="false" outlineLevel="0" collapsed="false">
      <c r="A46" s="5" t="n">
        <v>1855</v>
      </c>
      <c r="B46" s="12" t="n">
        <v>0.4</v>
      </c>
      <c r="C46" s="12" t="n">
        <v>0.02</v>
      </c>
      <c r="D46" s="13" t="n">
        <v>0.0225</v>
      </c>
      <c r="E46" s="14" t="n">
        <f aca="false">MIN(1,E45+F45)</f>
        <v>0.207235428571429</v>
      </c>
      <c r="F46" s="13" t="n">
        <f aca="false">(D46-0.005)*0.1/0.035*(1+B46+C46)*0.01*12</f>
        <v>0.00852</v>
      </c>
    </row>
    <row r="47" customFormat="false" ht="15" hidden="false" customHeight="false" outlineLevel="0" collapsed="false">
      <c r="A47" s="5" t="n">
        <v>1856</v>
      </c>
      <c r="B47" s="12" t="n">
        <v>0.7</v>
      </c>
      <c r="C47" s="12" t="n">
        <v>0.02</v>
      </c>
      <c r="D47" s="13" t="n">
        <v>0.023</v>
      </c>
      <c r="E47" s="14" t="n">
        <f aca="false">MIN(1,E46+F46)</f>
        <v>0.215755428571429</v>
      </c>
      <c r="F47" s="13" t="n">
        <f aca="false">(D47-0.005)*0.1/0.035*(1+B47+C47)*0.01*12</f>
        <v>0.0106148571428571</v>
      </c>
    </row>
    <row r="48" customFormat="false" ht="15" hidden="false" customHeight="false" outlineLevel="0" collapsed="false">
      <c r="A48" s="5" t="n">
        <v>1857</v>
      </c>
      <c r="B48" s="12" t="n">
        <v>0.7</v>
      </c>
      <c r="C48" s="12" t="n">
        <v>0.02</v>
      </c>
      <c r="D48" s="13" t="n">
        <v>0.0235</v>
      </c>
      <c r="E48" s="14" t="n">
        <f aca="false">MIN(1,E47+F47)</f>
        <v>0.226370285714286</v>
      </c>
      <c r="F48" s="13" t="n">
        <f aca="false">(D48-0.005)*0.1/0.035*(1+B48+C48)*0.01*12</f>
        <v>0.0109097142857143</v>
      </c>
    </row>
    <row r="49" customFormat="false" ht="15" hidden="false" customHeight="false" outlineLevel="0" collapsed="false">
      <c r="A49" s="5" t="n">
        <v>1858</v>
      </c>
      <c r="B49" s="12" t="n">
        <v>0.7</v>
      </c>
      <c r="C49" s="12" t="n">
        <v>0.02</v>
      </c>
      <c r="D49" s="13" t="n">
        <v>0.024</v>
      </c>
      <c r="E49" s="14" t="n">
        <f aca="false">MIN(1,E48+F48)</f>
        <v>0.23728</v>
      </c>
      <c r="F49" s="13" t="n">
        <f aca="false">(D49-0.005)*0.1/0.035*(1+B49+C49)*0.01*12</f>
        <v>0.0112045714285714</v>
      </c>
    </row>
    <row r="50" customFormat="false" ht="15" hidden="false" customHeight="false" outlineLevel="0" collapsed="false">
      <c r="A50" s="5" t="n">
        <v>1859</v>
      </c>
      <c r="B50" s="12" t="n">
        <v>0.7</v>
      </c>
      <c r="C50" s="12" t="n">
        <v>0.02</v>
      </c>
      <c r="D50" s="13" t="n">
        <v>0.0245</v>
      </c>
      <c r="E50" s="14" t="n">
        <f aca="false">MIN(1,E49+F49)</f>
        <v>0.248484571428571</v>
      </c>
      <c r="F50" s="13" t="n">
        <f aca="false">(D50-0.005)*0.1/0.035*(1+B50+C50)*0.01*12</f>
        <v>0.0114994285714286</v>
      </c>
    </row>
    <row r="51" customFormat="false" ht="15" hidden="false" customHeight="false" outlineLevel="0" collapsed="false">
      <c r="A51" s="5" t="n">
        <v>1860</v>
      </c>
      <c r="B51" s="12" t="n">
        <v>0.7</v>
      </c>
      <c r="C51" s="12" t="n">
        <v>0.02</v>
      </c>
      <c r="D51" s="13" t="n">
        <v>0.025</v>
      </c>
      <c r="E51" s="14" t="n">
        <f aca="false">MIN(1,E50+F50)</f>
        <v>0.259984</v>
      </c>
      <c r="F51" s="13" t="n">
        <f aca="false">(D51-0.005)*0.1/0.035*(1+B51+C51)*0.01*12</f>
        <v>0.0117942857142857</v>
      </c>
    </row>
    <row r="52" customFormat="false" ht="15" hidden="false" customHeight="false" outlineLevel="0" collapsed="false">
      <c r="A52" s="5" t="n">
        <v>1861</v>
      </c>
      <c r="B52" s="12" t="n">
        <v>0.7</v>
      </c>
      <c r="C52" s="12" t="n">
        <v>0.02</v>
      </c>
      <c r="D52" s="13" t="n">
        <v>0.0255</v>
      </c>
      <c r="E52" s="14" t="n">
        <f aca="false">MIN(1,E51+F51)</f>
        <v>0.271778285714286</v>
      </c>
      <c r="F52" s="13" t="n">
        <f aca="false">(D52-0.005)*0.1/0.035*(1+B52+C52)*0.01*12</f>
        <v>0.0120891428571429</v>
      </c>
    </row>
    <row r="53" customFormat="false" ht="15" hidden="false" customHeight="false" outlineLevel="0" collapsed="false">
      <c r="A53" s="5" t="n">
        <v>1862</v>
      </c>
      <c r="B53" s="12" t="n">
        <v>0.7</v>
      </c>
      <c r="C53" s="12" t="n">
        <v>0.02</v>
      </c>
      <c r="D53" s="13" t="n">
        <v>0.026</v>
      </c>
      <c r="E53" s="14" t="n">
        <f aca="false">MIN(1,E52+F52)</f>
        <v>0.283867428571429</v>
      </c>
      <c r="F53" s="13" t="n">
        <f aca="false">(D53-0.005)*0.1/0.035*(1+B53+C53)*0.01*12</f>
        <v>0.012384</v>
      </c>
    </row>
    <row r="54" customFormat="false" ht="15" hidden="false" customHeight="false" outlineLevel="0" collapsed="false">
      <c r="A54" s="5" t="n">
        <v>1863</v>
      </c>
      <c r="B54" s="12" t="n">
        <v>0.7</v>
      </c>
      <c r="C54" s="12" t="n">
        <v>0.12</v>
      </c>
      <c r="D54" s="13" t="n">
        <v>0.0265</v>
      </c>
      <c r="E54" s="14" t="n">
        <f aca="false">MIN(1,E53+F53)</f>
        <v>0.296251428571429</v>
      </c>
      <c r="F54" s="13" t="n">
        <f aca="false">(D54-0.005)*0.1/0.035*(1+B54+C54)*0.01*12</f>
        <v>0.013416</v>
      </c>
    </row>
    <row r="55" customFormat="false" ht="15" hidden="false" customHeight="false" outlineLevel="0" collapsed="false">
      <c r="A55" s="5" t="n">
        <v>1864</v>
      </c>
      <c r="B55" s="12" t="n">
        <v>0.7</v>
      </c>
      <c r="C55" s="12" t="n">
        <v>0.12</v>
      </c>
      <c r="D55" s="13" t="n">
        <v>0.027</v>
      </c>
      <c r="E55" s="14" t="n">
        <f aca="false">MIN(1,E54+F54)</f>
        <v>0.309667428571429</v>
      </c>
      <c r="F55" s="13" t="n">
        <f aca="false">(D55-0.005)*0.1/0.035*(1+B55+C55)*0.01*12</f>
        <v>0.013728</v>
      </c>
    </row>
    <row r="56" customFormat="false" ht="15" hidden="false" customHeight="false" outlineLevel="0" collapsed="false">
      <c r="A56" s="5" t="n">
        <v>1865</v>
      </c>
      <c r="B56" s="12" t="n">
        <v>0.7</v>
      </c>
      <c r="C56" s="12" t="n">
        <v>0.12</v>
      </c>
      <c r="D56" s="13" t="n">
        <v>0.0275</v>
      </c>
      <c r="E56" s="14" t="n">
        <f aca="false">MIN(1,E55+F55)</f>
        <v>0.323395428571429</v>
      </c>
      <c r="F56" s="13" t="n">
        <f aca="false">(D56-0.005)*0.1/0.035*(1+B56+C56)*0.01*12</f>
        <v>0.01404</v>
      </c>
    </row>
    <row r="57" customFormat="false" ht="15" hidden="false" customHeight="false" outlineLevel="0" collapsed="false">
      <c r="A57" s="5" t="n">
        <v>1866</v>
      </c>
      <c r="B57" s="12" t="n">
        <v>0.7</v>
      </c>
      <c r="C57" s="12" t="n">
        <v>0.12</v>
      </c>
      <c r="D57" s="13" t="n">
        <v>0.028</v>
      </c>
      <c r="E57" s="14" t="n">
        <f aca="false">MIN(1,E56+F56)</f>
        <v>0.337435428571429</v>
      </c>
      <c r="F57" s="13" t="n">
        <f aca="false">(D57-0.005)*0.1/0.035*(1+B57+C57)*0.01*12</f>
        <v>0.014352</v>
      </c>
    </row>
    <row r="58" customFormat="false" ht="15" hidden="false" customHeight="false" outlineLevel="0" collapsed="false">
      <c r="A58" s="5" t="n">
        <v>1867</v>
      </c>
      <c r="B58" s="12" t="n">
        <v>0.7</v>
      </c>
      <c r="C58" s="12" t="n">
        <v>0.12</v>
      </c>
      <c r="D58" s="13" t="n">
        <v>0.0285</v>
      </c>
      <c r="E58" s="14" t="n">
        <f aca="false">MIN(1,E57+F57)</f>
        <v>0.351787428571429</v>
      </c>
      <c r="F58" s="13" t="n">
        <f aca="false">(D58-0.005)*0.1/0.035*(1+B58+C58)*0.01*12</f>
        <v>0.014664</v>
      </c>
    </row>
    <row r="59" customFormat="false" ht="15" hidden="false" customHeight="false" outlineLevel="0" collapsed="false">
      <c r="A59" s="5" t="n">
        <v>1868</v>
      </c>
      <c r="B59" s="12" t="n">
        <v>0.7</v>
      </c>
      <c r="C59" s="12" t="n">
        <v>0.12</v>
      </c>
      <c r="D59" s="13" t="n">
        <v>0.029</v>
      </c>
      <c r="E59" s="14" t="n">
        <f aca="false">MIN(1,E58+F58)</f>
        <v>0.366451428571429</v>
      </c>
      <c r="F59" s="13" t="n">
        <f aca="false">(D59-0.005)*0.1/0.035*(1+B59+C59)*0.01*12</f>
        <v>0.014976</v>
      </c>
    </row>
    <row r="60" customFormat="false" ht="15" hidden="false" customHeight="false" outlineLevel="0" collapsed="false">
      <c r="A60" s="5" t="n">
        <v>1869</v>
      </c>
      <c r="B60" s="12" t="n">
        <v>0.7</v>
      </c>
      <c r="C60" s="12" t="n">
        <v>0.12</v>
      </c>
      <c r="D60" s="13" t="n">
        <v>0.0295</v>
      </c>
      <c r="E60" s="14" t="n">
        <f aca="false">MIN(1,E59+F59)</f>
        <v>0.381427428571429</v>
      </c>
      <c r="F60" s="13" t="n">
        <f aca="false">(D60-0.005)*0.1/0.035*(1+B60+C60)*0.01*12</f>
        <v>0.015288</v>
      </c>
    </row>
    <row r="61" customFormat="false" ht="15" hidden="false" customHeight="false" outlineLevel="0" collapsed="false">
      <c r="A61" s="5" t="n">
        <v>1870</v>
      </c>
      <c r="B61" s="12" t="n">
        <v>0.7</v>
      </c>
      <c r="C61" s="12" t="n">
        <v>0.17</v>
      </c>
      <c r="D61" s="13" t="n">
        <v>0.03</v>
      </c>
      <c r="E61" s="14" t="n">
        <f aca="false">MIN(1,E60+F60)</f>
        <v>0.396715428571429</v>
      </c>
      <c r="F61" s="13" t="n">
        <f aca="false">(D61-0.005)*0.1/0.035*(1+B61+C61)*0.01*12</f>
        <v>0.0160285714285714</v>
      </c>
    </row>
    <row r="62" customFormat="false" ht="15" hidden="false" customHeight="false" outlineLevel="0" collapsed="false">
      <c r="A62" s="5" t="n">
        <v>1871</v>
      </c>
      <c r="B62" s="12" t="n">
        <v>0.7</v>
      </c>
      <c r="C62" s="12" t="n">
        <v>0.17</v>
      </c>
      <c r="D62" s="13" t="n">
        <v>0.0305</v>
      </c>
      <c r="E62" s="14" t="n">
        <f aca="false">MIN(1,E61+F61)</f>
        <v>0.412744</v>
      </c>
      <c r="F62" s="13" t="n">
        <f aca="false">(D62-0.005)*0.1/0.035*(1+B62+C62)*0.01*12</f>
        <v>0.0163491428571429</v>
      </c>
    </row>
    <row r="63" customFormat="false" ht="15" hidden="false" customHeight="false" outlineLevel="0" collapsed="false">
      <c r="A63" s="5" t="n">
        <v>1872</v>
      </c>
      <c r="B63" s="12" t="n">
        <v>0.7</v>
      </c>
      <c r="C63" s="12" t="n">
        <v>0.17</v>
      </c>
      <c r="D63" s="13" t="n">
        <v>0.031</v>
      </c>
      <c r="E63" s="14" t="n">
        <f aca="false">MIN(1,E62+F62)</f>
        <v>0.429093142857143</v>
      </c>
      <c r="F63" s="13" t="n">
        <f aca="false">(D63-0.005)*0.1/0.035*(1+B63+C63)*0.01*12</f>
        <v>0.0166697142857143</v>
      </c>
    </row>
    <row r="64" customFormat="false" ht="15" hidden="false" customHeight="false" outlineLevel="0" collapsed="false">
      <c r="A64" s="5" t="n">
        <v>1873</v>
      </c>
      <c r="B64" s="12" t="n">
        <v>0.7</v>
      </c>
      <c r="C64" s="12" t="n">
        <v>0.17</v>
      </c>
      <c r="D64" s="13" t="n">
        <v>0.0315</v>
      </c>
      <c r="E64" s="14" t="n">
        <f aca="false">MIN(1,E63+F63)</f>
        <v>0.445762857142857</v>
      </c>
      <c r="F64" s="13" t="n">
        <f aca="false">(D64-0.005)*0.1/0.035*(1+B64+C64)*0.01*12</f>
        <v>0.0169902857142857</v>
      </c>
    </row>
    <row r="65" customFormat="false" ht="15" hidden="false" customHeight="false" outlineLevel="0" collapsed="false">
      <c r="A65" s="5" t="n">
        <v>1874</v>
      </c>
      <c r="B65" s="12" t="n">
        <v>0.7</v>
      </c>
      <c r="C65" s="12" t="n">
        <v>0.17</v>
      </c>
      <c r="D65" s="13" t="n">
        <v>0.032</v>
      </c>
      <c r="E65" s="14" t="n">
        <f aca="false">MIN(1,E64+F64)</f>
        <v>0.462753142857143</v>
      </c>
      <c r="F65" s="13" t="n">
        <f aca="false">(D65-0.005)*0.1/0.035*(1+B65+C65)*0.01*12</f>
        <v>0.0173108571428571</v>
      </c>
    </row>
    <row r="66" customFormat="false" ht="15" hidden="false" customHeight="false" outlineLevel="0" collapsed="false">
      <c r="A66" s="5" t="n">
        <v>1875</v>
      </c>
      <c r="B66" s="12" t="n">
        <v>0.7</v>
      </c>
      <c r="C66" s="12" t="n">
        <v>0.17</v>
      </c>
      <c r="D66" s="13" t="n">
        <v>0.0325</v>
      </c>
      <c r="E66" s="14" t="n">
        <f aca="false">MIN(1,E65+F65)</f>
        <v>0.480064</v>
      </c>
      <c r="F66" s="13" t="n">
        <f aca="false">(D66-0.005)*0.1/0.035*(1+B66+C66)*0.01*12</f>
        <v>0.0176314285714286</v>
      </c>
    </row>
    <row r="67" customFormat="false" ht="15" hidden="false" customHeight="false" outlineLevel="0" collapsed="false">
      <c r="A67" s="5" t="n">
        <v>1876</v>
      </c>
      <c r="B67" s="12" t="n">
        <v>0.7</v>
      </c>
      <c r="C67" s="12" t="n">
        <v>0.17</v>
      </c>
      <c r="D67" s="13" t="n">
        <v>0.033</v>
      </c>
      <c r="E67" s="14" t="n">
        <f aca="false">MIN(1,E66+F66)</f>
        <v>0.497695428571429</v>
      </c>
      <c r="F67" s="13" t="n">
        <f aca="false">(D67-0.005)*0.1/0.035*(1+B67+C67)*0.01*12</f>
        <v>0.017952</v>
      </c>
    </row>
    <row r="68" customFormat="false" ht="15" hidden="false" customHeight="false" outlineLevel="0" collapsed="false">
      <c r="A68" s="5" t="n">
        <v>1877</v>
      </c>
      <c r="B68" s="12" t="n">
        <v>0.7</v>
      </c>
      <c r="C68" s="12" t="n">
        <v>0.17</v>
      </c>
      <c r="D68" s="13" t="n">
        <v>0.0335</v>
      </c>
      <c r="E68" s="14" t="n">
        <f aca="false">MIN(1,E67+F67)</f>
        <v>0.515647428571429</v>
      </c>
      <c r="F68" s="13" t="n">
        <f aca="false">(D68-0.005)*0.1/0.035*(1+B68+C68)*0.01*12</f>
        <v>0.0182725714285714</v>
      </c>
    </row>
    <row r="69" customFormat="false" ht="15" hidden="false" customHeight="false" outlineLevel="0" collapsed="false">
      <c r="A69" s="5" t="n">
        <v>1878</v>
      </c>
      <c r="B69" s="12" t="n">
        <v>0.7</v>
      </c>
      <c r="C69" s="12" t="n">
        <v>0.17</v>
      </c>
      <c r="D69" s="13" t="n">
        <v>0.034</v>
      </c>
      <c r="E69" s="14" t="n">
        <f aca="false">MIN(1,E68+F68)</f>
        <v>0.53392</v>
      </c>
      <c r="F69" s="13" t="n">
        <f aca="false">(D69-0.005)*0.1/0.035*(1+B69+C69)*0.01*12</f>
        <v>0.0185931428571429</v>
      </c>
    </row>
    <row r="70" customFormat="false" ht="15" hidden="false" customHeight="false" outlineLevel="0" collapsed="false">
      <c r="A70" s="5" t="n">
        <v>1879</v>
      </c>
      <c r="B70" s="12" t="n">
        <v>0.7</v>
      </c>
      <c r="C70" s="12" t="n">
        <v>0.17</v>
      </c>
      <c r="D70" s="13" t="n">
        <v>0.0345</v>
      </c>
      <c r="E70" s="14" t="n">
        <f aca="false">MIN(1,E69+F69)</f>
        <v>0.552513142857143</v>
      </c>
      <c r="F70" s="13" t="n">
        <f aca="false">(D70-0.005)*0.1/0.035*(1+B70+C70)*0.01*12</f>
        <v>0.0189137142857143</v>
      </c>
    </row>
    <row r="71" customFormat="false" ht="15" hidden="false" customHeight="false" outlineLevel="0" collapsed="false">
      <c r="A71" s="5" t="n">
        <v>1880</v>
      </c>
      <c r="B71" s="12" t="n">
        <v>0.7</v>
      </c>
      <c r="C71" s="12" t="n">
        <v>0.17</v>
      </c>
      <c r="D71" s="13" t="n">
        <v>0.035</v>
      </c>
      <c r="E71" s="14" t="n">
        <f aca="false">MIN(1,E70+F70)</f>
        <v>0.571426857142857</v>
      </c>
      <c r="F71" s="13" t="n">
        <f aca="false">(D71-0.005)*0.1/0.035*(1+B71+C71)*0.01*12</f>
        <v>0.0192342857142857</v>
      </c>
    </row>
    <row r="72" customFormat="false" ht="15" hidden="false" customHeight="false" outlineLevel="0" collapsed="false">
      <c r="A72" s="5" t="n">
        <v>1881</v>
      </c>
      <c r="B72" s="12" t="n">
        <v>0.7</v>
      </c>
      <c r="C72" s="12" t="n">
        <v>0.17</v>
      </c>
      <c r="D72" s="13" t="n">
        <v>0.0355</v>
      </c>
      <c r="E72" s="14" t="n">
        <f aca="false">MIN(1,E71+F71)</f>
        <v>0.590661142857143</v>
      </c>
      <c r="F72" s="13" t="n">
        <f aca="false">(D72-0.005)*0.1/0.035*(1+B72+C72)*0.01*12</f>
        <v>0.0195548571428571</v>
      </c>
    </row>
    <row r="73" customFormat="false" ht="15" hidden="false" customHeight="false" outlineLevel="0" collapsed="false">
      <c r="A73" s="5" t="n">
        <v>1882</v>
      </c>
      <c r="B73" s="12" t="n">
        <v>0.7</v>
      </c>
      <c r="C73" s="12" t="n">
        <v>0.17</v>
      </c>
      <c r="D73" s="13" t="n">
        <v>0.036</v>
      </c>
      <c r="E73" s="14" t="n">
        <f aca="false">MIN(1,E72+F72)</f>
        <v>0.610216</v>
      </c>
      <c r="F73" s="13" t="n">
        <f aca="false">(D73-0.005)*0.1/0.035*(1+B73+C73)*0.01*12</f>
        <v>0.0198754285714286</v>
      </c>
    </row>
    <row r="74" customFormat="false" ht="15" hidden="false" customHeight="false" outlineLevel="0" collapsed="false">
      <c r="A74" s="5" t="n">
        <v>1883</v>
      </c>
      <c r="B74" s="12" t="n">
        <v>0.7</v>
      </c>
      <c r="C74" s="12" t="n">
        <v>0.32</v>
      </c>
      <c r="D74" s="13" t="n">
        <v>0.0365</v>
      </c>
      <c r="E74" s="14" t="n">
        <f aca="false">MIN(1,E73+F73)</f>
        <v>0.630091428571429</v>
      </c>
      <c r="F74" s="13" t="n">
        <f aca="false">(D74-0.005)*0.1/0.035*(1+B74+C74)*0.01*12</f>
        <v>0.021816</v>
      </c>
    </row>
    <row r="75" customFormat="false" ht="15" hidden="false" customHeight="false" outlineLevel="0" collapsed="false">
      <c r="A75" s="5" t="n">
        <v>1884</v>
      </c>
      <c r="B75" s="12" t="n">
        <v>0.7</v>
      </c>
      <c r="C75" s="12" t="n">
        <v>0.32</v>
      </c>
      <c r="D75" s="13" t="n">
        <v>0.037</v>
      </c>
      <c r="E75" s="14" t="n">
        <f aca="false">MIN(1,E74+F74)</f>
        <v>0.651907428571429</v>
      </c>
      <c r="F75" s="13" t="n">
        <f aca="false">(D75-0.005)*0.1/0.035*(1+B75+C75)*0.01*12</f>
        <v>0.0221622857142857</v>
      </c>
    </row>
    <row r="76" customFormat="false" ht="15" hidden="false" customHeight="false" outlineLevel="0" collapsed="false">
      <c r="A76" s="5" t="n">
        <v>1885</v>
      </c>
      <c r="B76" s="12" t="n">
        <v>0.7</v>
      </c>
      <c r="C76" s="12" t="n">
        <v>0.32</v>
      </c>
      <c r="D76" s="13" t="n">
        <v>0.0375</v>
      </c>
      <c r="E76" s="14" t="n">
        <f aca="false">MIN(1,E75+F75)</f>
        <v>0.674069714285714</v>
      </c>
      <c r="F76" s="13" t="n">
        <f aca="false">(D76-0.005)*0.1/0.035*(1+B76+C76)*0.01*12</f>
        <v>0.0225085714285714</v>
      </c>
    </row>
    <row r="77" customFormat="false" ht="15" hidden="false" customHeight="false" outlineLevel="0" collapsed="false">
      <c r="A77" s="5" t="n">
        <v>1886</v>
      </c>
      <c r="B77" s="12" t="n">
        <v>0.7</v>
      </c>
      <c r="C77" s="12" t="n">
        <v>0.32</v>
      </c>
      <c r="D77" s="13" t="n">
        <v>0.038</v>
      </c>
      <c r="E77" s="14" t="n">
        <f aca="false">MIN(1,E76+F76)</f>
        <v>0.696578285714286</v>
      </c>
      <c r="F77" s="13" t="n">
        <f aca="false">(D77-0.005)*0.1/0.035*(1+B77+C77)*0.01*12</f>
        <v>0.0228548571428571</v>
      </c>
    </row>
    <row r="78" customFormat="false" ht="15" hidden="false" customHeight="false" outlineLevel="0" collapsed="false">
      <c r="A78" s="5" t="n">
        <v>1887</v>
      </c>
      <c r="B78" s="12" t="n">
        <v>0.7</v>
      </c>
      <c r="C78" s="12" t="n">
        <v>0.32</v>
      </c>
      <c r="D78" s="13" t="n">
        <v>0.0385</v>
      </c>
      <c r="E78" s="14" t="n">
        <f aca="false">MIN(1,E77+F77)</f>
        <v>0.719433142857143</v>
      </c>
      <c r="F78" s="13" t="n">
        <f aca="false">(D78-0.005)*0.1/0.035*(1+B78+C78)*0.01*12</f>
        <v>0.0232011428571429</v>
      </c>
    </row>
    <row r="79" customFormat="false" ht="15" hidden="false" customHeight="false" outlineLevel="0" collapsed="false">
      <c r="A79" s="5" t="n">
        <v>1888</v>
      </c>
      <c r="B79" s="12" t="n">
        <v>0.7</v>
      </c>
      <c r="C79" s="12" t="n">
        <v>0.32</v>
      </c>
      <c r="D79" s="13" t="n">
        <v>0.039</v>
      </c>
      <c r="E79" s="14" t="n">
        <f aca="false">MIN(1,E78+F78)</f>
        <v>0.742634285714286</v>
      </c>
      <c r="F79" s="13" t="n">
        <f aca="false">(D79-0.005)*0.1/0.035*(1+B79+C79)*0.01*12</f>
        <v>0.0235474285714286</v>
      </c>
    </row>
    <row r="80" customFormat="false" ht="15" hidden="false" customHeight="false" outlineLevel="0" collapsed="false">
      <c r="A80" s="5" t="n">
        <v>1889</v>
      </c>
      <c r="B80" s="12" t="n">
        <v>0.7</v>
      </c>
      <c r="C80" s="12" t="n">
        <v>0.32</v>
      </c>
      <c r="D80" s="13" t="n">
        <v>0.0395</v>
      </c>
      <c r="E80" s="14" t="n">
        <f aca="false">MIN(1,E79+F79)</f>
        <v>0.766181714285714</v>
      </c>
      <c r="F80" s="13" t="n">
        <f aca="false">(D80-0.005)*0.1/0.035*(1+B80+C80)*0.01*12</f>
        <v>0.0238937142857143</v>
      </c>
    </row>
    <row r="81" customFormat="false" ht="15" hidden="false" customHeight="false" outlineLevel="0" collapsed="false">
      <c r="A81" s="5" t="n">
        <v>1890</v>
      </c>
      <c r="B81" s="12" t="n">
        <v>0.7</v>
      </c>
      <c r="C81" s="12" t="n">
        <v>0.32</v>
      </c>
      <c r="D81" s="13" t="n">
        <v>0.04</v>
      </c>
      <c r="E81" s="14" t="n">
        <f aca="false">MIN(1,E80+F80)</f>
        <v>0.790075428571428</v>
      </c>
      <c r="F81" s="13" t="n">
        <f aca="false">(D81-0.005)*0.1/0.035*(1+B81+C81)*0.01*12</f>
        <v>0.02424</v>
      </c>
    </row>
    <row r="82" customFormat="false" ht="15" hidden="false" customHeight="false" outlineLevel="0" collapsed="false">
      <c r="A82" s="5" t="n">
        <v>1891</v>
      </c>
      <c r="B82" s="12" t="n">
        <v>0.7</v>
      </c>
      <c r="C82" s="12" t="n">
        <v>0.32</v>
      </c>
      <c r="D82" s="13" t="n">
        <v>0.04</v>
      </c>
      <c r="E82" s="14" t="n">
        <f aca="false">MIN(1,E81+F81)</f>
        <v>0.814315428571429</v>
      </c>
      <c r="F82" s="13" t="n">
        <f aca="false">(D82-0.005)*0.1/0.035*(1+B82+C82)*0.01*12</f>
        <v>0.02424</v>
      </c>
    </row>
    <row r="83" customFormat="false" ht="15" hidden="false" customHeight="false" outlineLevel="0" collapsed="false">
      <c r="A83" s="5" t="n">
        <v>1892</v>
      </c>
      <c r="B83" s="12" t="n">
        <v>0.7</v>
      </c>
      <c r="C83" s="12" t="n">
        <v>0.32</v>
      </c>
      <c r="D83" s="13" t="n">
        <v>0.04</v>
      </c>
      <c r="E83" s="14" t="n">
        <f aca="false">MIN(1,E82+F82)</f>
        <v>0.838555428571429</v>
      </c>
      <c r="F83" s="13" t="n">
        <f aca="false">(D83-0.005)*0.1/0.035*(1+B83+C83)*0.01*12</f>
        <v>0.02424</v>
      </c>
    </row>
    <row r="84" customFormat="false" ht="15" hidden="false" customHeight="false" outlineLevel="0" collapsed="false">
      <c r="A84" s="5" t="n">
        <v>1893</v>
      </c>
      <c r="B84" s="12" t="n">
        <v>0.7</v>
      </c>
      <c r="C84" s="12" t="n">
        <v>0.32</v>
      </c>
      <c r="D84" s="13" t="n">
        <v>0.04</v>
      </c>
      <c r="E84" s="14" t="n">
        <f aca="false">MIN(1,E83+F83)</f>
        <v>0.862795428571429</v>
      </c>
      <c r="F84" s="13" t="n">
        <f aca="false">(D84-0.005)*0.1/0.035*(1+B84+C84)*0.01*12</f>
        <v>0.02424</v>
      </c>
    </row>
    <row r="85" customFormat="false" ht="15" hidden="false" customHeight="false" outlineLevel="0" collapsed="false">
      <c r="A85" s="5" t="n">
        <v>1894</v>
      </c>
      <c r="B85" s="12" t="n">
        <v>0.7</v>
      </c>
      <c r="C85" s="12" t="n">
        <v>0.32</v>
      </c>
      <c r="D85" s="13" t="n">
        <v>0.04</v>
      </c>
      <c r="E85" s="14" t="n">
        <f aca="false">MIN(1,E84+F84)</f>
        <v>0.887035428571429</v>
      </c>
      <c r="F85" s="13" t="n">
        <f aca="false">(D85-0.005)*0.1/0.035*(1+B85+C85)*0.01*12</f>
        <v>0.02424</v>
      </c>
    </row>
    <row r="86" customFormat="false" ht="15" hidden="false" customHeight="false" outlineLevel="0" collapsed="false">
      <c r="A86" s="5" t="n">
        <v>1895</v>
      </c>
      <c r="B86" s="12" t="n">
        <v>0.7</v>
      </c>
      <c r="C86" s="12" t="n">
        <v>0.32</v>
      </c>
      <c r="D86" s="13" t="n">
        <v>0.04</v>
      </c>
      <c r="E86" s="14" t="n">
        <f aca="false">MIN(1,E85+F85)</f>
        <v>0.911275428571429</v>
      </c>
      <c r="F86" s="13" t="n">
        <f aca="false">(D86-0.005)*0.1/0.035*(1+B86+C86)*0.01*12</f>
        <v>0.02424</v>
      </c>
    </row>
    <row r="87" customFormat="false" ht="15" hidden="false" customHeight="false" outlineLevel="0" collapsed="false">
      <c r="A87" s="5" t="n">
        <v>1896</v>
      </c>
      <c r="B87" s="12" t="n">
        <v>0.7</v>
      </c>
      <c r="C87" s="12" t="n">
        <v>0.32</v>
      </c>
      <c r="D87" s="13" t="n">
        <v>0.04</v>
      </c>
      <c r="E87" s="14" t="n">
        <f aca="false">MIN(1,E86+F86)</f>
        <v>0.935515428571429</v>
      </c>
      <c r="F87" s="13" t="n">
        <f aca="false">(D87-0.005)*0.1/0.035*(1+B87+C87)*0.01*12</f>
        <v>0.02424</v>
      </c>
    </row>
    <row r="88" customFormat="false" ht="15" hidden="false" customHeight="false" outlineLevel="0" collapsed="false">
      <c r="A88" s="5" t="n">
        <v>1897</v>
      </c>
      <c r="B88" s="12" t="n">
        <v>0.7</v>
      </c>
      <c r="C88" s="12" t="n">
        <v>0.32</v>
      </c>
      <c r="D88" s="13" t="n">
        <v>0.04</v>
      </c>
      <c r="E88" s="14" t="n">
        <f aca="false">MIN(1,E87+F87)</f>
        <v>0.959755428571429</v>
      </c>
      <c r="F88" s="13" t="n">
        <f aca="false">(D88-0.005)*0.1/0.035*(1+B88+C88)*0.01*12</f>
        <v>0.02424</v>
      </c>
    </row>
    <row r="89" customFormat="false" ht="15" hidden="false" customHeight="false" outlineLevel="0" collapsed="false">
      <c r="A89" s="5" t="n">
        <v>1898</v>
      </c>
      <c r="B89" s="12" t="n">
        <v>0.7</v>
      </c>
      <c r="C89" s="12" t="n">
        <v>0.32</v>
      </c>
      <c r="D89" s="13" t="n">
        <v>0.04</v>
      </c>
      <c r="E89" s="14" t="n">
        <f aca="false">MIN(1,E88+F88)</f>
        <v>0.983995428571429</v>
      </c>
      <c r="F89" s="13" t="n">
        <f aca="false">(D89-0.005)*0.1/0.035*(1+B89+C89)*0.01*12</f>
        <v>0.02424</v>
      </c>
    </row>
    <row r="90" customFormat="false" ht="15" hidden="false" customHeight="false" outlineLevel="0" collapsed="false">
      <c r="A90" s="5" t="n">
        <v>1899</v>
      </c>
      <c r="B90" s="12" t="n">
        <v>0.7</v>
      </c>
      <c r="C90" s="12" t="n">
        <v>0.32</v>
      </c>
      <c r="D90" s="13" t="n">
        <v>0.04</v>
      </c>
      <c r="E90" s="14" t="n">
        <f aca="false">MIN(1,E89+F89)</f>
        <v>1</v>
      </c>
      <c r="F90" s="13" t="n">
        <f aca="false">(D90-0.005)*0.1/0.035*(1+B90+C90)*0.01*12</f>
        <v>0.02424</v>
      </c>
    </row>
    <row r="91" customFormat="false" ht="15" hidden="false" customHeight="false" outlineLevel="0" collapsed="false">
      <c r="A91" s="5" t="n">
        <v>1900</v>
      </c>
      <c r="B91" s="12" t="n">
        <v>0.7</v>
      </c>
      <c r="C91" s="12" t="n">
        <v>0.32</v>
      </c>
      <c r="D91" s="13" t="n">
        <v>0.04</v>
      </c>
      <c r="E91" s="14" t="n">
        <f aca="false">MIN(1,E90+F90)</f>
        <v>1</v>
      </c>
      <c r="F91" s="13" t="n">
        <f aca="false">(D91-0.005)*0.1/0.035*(1+B91+C91)*0.01*12</f>
        <v>0.02424</v>
      </c>
    </row>
    <row r="92" customFormat="false" ht="15" hidden="false" customHeight="false" outlineLevel="0" collapsed="false">
      <c r="A92" s="5" t="n">
        <v>1901</v>
      </c>
      <c r="B92" s="12" t="n">
        <v>0.7</v>
      </c>
      <c r="C92" s="12" t="n">
        <v>0.32</v>
      </c>
      <c r="D92" s="13" t="n">
        <v>0.04</v>
      </c>
      <c r="E92" s="14" t="n">
        <f aca="false">MIN(1,E91+F91)</f>
        <v>1</v>
      </c>
      <c r="F92" s="13" t="n">
        <f aca="false">(D92-0.005)*0.1/0.035*(1+B92+C92)*0.01*12</f>
        <v>0.02424</v>
      </c>
    </row>
    <row r="93" customFormat="false" ht="15" hidden="false" customHeight="false" outlineLevel="0" collapsed="false">
      <c r="A93" s="5" t="n">
        <v>1902</v>
      </c>
      <c r="B93" s="12" t="n">
        <v>1.35</v>
      </c>
      <c r="C93" s="12" t="n">
        <v>0.32</v>
      </c>
      <c r="D93" s="13" t="n">
        <v>0.04</v>
      </c>
      <c r="E93" s="14" t="n">
        <f aca="false">MIN(1,E92+F92)</f>
        <v>1</v>
      </c>
      <c r="F93" s="13" t="n">
        <f aca="false">(D93-0.005)*0.1/0.035*(1+B93+C93)*0.01*12</f>
        <v>0.03204</v>
      </c>
    </row>
    <row r="94" customFormat="false" ht="15" hidden="false" customHeight="false" outlineLevel="0" collapsed="false">
      <c r="A94" s="5" t="n">
        <v>1903</v>
      </c>
      <c r="B94" s="12" t="n">
        <v>1.35</v>
      </c>
      <c r="C94" s="12" t="n">
        <v>0.32</v>
      </c>
      <c r="D94" s="13" t="n">
        <v>0.04</v>
      </c>
      <c r="E94" s="14" t="n">
        <f aca="false">MIN(1,E93+F93)</f>
        <v>1</v>
      </c>
      <c r="F94" s="13" t="n">
        <f aca="false">(D94-0.005)*0.1/0.035*(1+B94+C94)*0.01*12</f>
        <v>0.03204</v>
      </c>
    </row>
    <row r="95" customFormat="false" ht="15" hidden="false" customHeight="false" outlineLevel="0" collapsed="false">
      <c r="A95" s="5" t="n">
        <v>1904</v>
      </c>
      <c r="B95" s="12" t="n">
        <v>1.35</v>
      </c>
      <c r="C95" s="12" t="n">
        <v>0.32</v>
      </c>
      <c r="D95" s="13" t="n">
        <v>0.04</v>
      </c>
      <c r="E95" s="14" t="n">
        <f aca="false">MIN(1,E94+F94)</f>
        <v>1</v>
      </c>
      <c r="F95" s="13" t="n">
        <f aca="false">(D95-0.005)*0.1/0.035*(1+B95+C95)*0.01*12</f>
        <v>0.03204</v>
      </c>
    </row>
    <row r="96" customFormat="false" ht="15" hidden="false" customHeight="false" outlineLevel="0" collapsed="false">
      <c r="A96" s="5" t="n">
        <v>1905</v>
      </c>
      <c r="B96" s="12" t="n">
        <v>1.35</v>
      </c>
      <c r="C96" s="12" t="n">
        <v>0.32</v>
      </c>
      <c r="D96" s="13" t="n">
        <v>0.04</v>
      </c>
      <c r="E96" s="14" t="n">
        <f aca="false">MIN(1,E95+F95)</f>
        <v>1</v>
      </c>
      <c r="F96" s="13" t="n">
        <f aca="false">(D96-0.005)*0.1/0.035*(1+B96+C96)*0.01*12</f>
        <v>0.03204</v>
      </c>
    </row>
    <row r="97" customFormat="false" ht="15" hidden="false" customHeight="false" outlineLevel="0" collapsed="false">
      <c r="A97" s="5" t="n">
        <v>1906</v>
      </c>
      <c r="B97" s="12" t="n">
        <v>1.35</v>
      </c>
      <c r="C97" s="12" t="n">
        <v>0.32</v>
      </c>
      <c r="D97" s="13" t="n">
        <v>0.04</v>
      </c>
      <c r="E97" s="14" t="n">
        <f aca="false">MIN(1,E96+F96)</f>
        <v>1</v>
      </c>
      <c r="F97" s="13" t="n">
        <f aca="false">(D97-0.005)*0.1/0.035*(1+B97+C97)*0.01*12</f>
        <v>0.03204</v>
      </c>
    </row>
    <row r="98" customFormat="false" ht="15" hidden="false" customHeight="false" outlineLevel="0" collapsed="false">
      <c r="A98" s="5" t="n">
        <v>1907</v>
      </c>
      <c r="B98" s="12" t="n">
        <v>1.35</v>
      </c>
      <c r="C98" s="12" t="n">
        <v>0.32</v>
      </c>
      <c r="D98" s="13" t="n">
        <v>0.04</v>
      </c>
      <c r="E98" s="14" t="n">
        <f aca="false">MIN(1,E97+F97)</f>
        <v>1</v>
      </c>
      <c r="F98" s="13" t="n">
        <f aca="false">(D98-0.005)*0.1/0.035*(1+B98+C98)*0.01*12</f>
        <v>0.03204</v>
      </c>
    </row>
    <row r="99" customFormat="false" ht="15" hidden="false" customHeight="false" outlineLevel="0" collapsed="false">
      <c r="A99" s="5" t="n">
        <v>1908</v>
      </c>
      <c r="B99" s="12" t="n">
        <v>1.35</v>
      </c>
      <c r="C99" s="12" t="n">
        <v>0.32</v>
      </c>
      <c r="D99" s="13" t="n">
        <v>0.04</v>
      </c>
      <c r="E99" s="14" t="n">
        <f aca="false">MIN(1,E98+F98)</f>
        <v>1</v>
      </c>
      <c r="F99" s="13" t="n">
        <f aca="false">(D99-0.005)*0.1/0.035*(1+B99+C99)*0.01*12</f>
        <v>0.03204</v>
      </c>
    </row>
    <row r="100" customFormat="false" ht="15" hidden="false" customHeight="false" outlineLevel="0" collapsed="false">
      <c r="A100" s="5" t="n">
        <v>1909</v>
      </c>
      <c r="B100" s="12" t="n">
        <v>1.35</v>
      </c>
      <c r="C100" s="12" t="n">
        <v>0.32</v>
      </c>
      <c r="D100" s="13" t="n">
        <v>0.04</v>
      </c>
      <c r="E100" s="14" t="n">
        <f aca="false">MIN(1,E99+F99)</f>
        <v>1</v>
      </c>
      <c r="F100" s="13" t="n">
        <f aca="false">(D100-0.005)*0.1/0.035*(1+B100+C100)*0.01*12</f>
        <v>0.03204</v>
      </c>
    </row>
    <row r="101" customFormat="false" ht="15" hidden="false" customHeight="false" outlineLevel="0" collapsed="false">
      <c r="A101" s="5" t="n">
        <v>1910</v>
      </c>
      <c r="B101" s="12" t="n">
        <v>1.35</v>
      </c>
      <c r="C101" s="12" t="n">
        <v>0.32</v>
      </c>
      <c r="D101" s="13" t="n">
        <v>0.04</v>
      </c>
      <c r="E101" s="14" t="n">
        <f aca="false">MIN(1,E100+F100)</f>
        <v>1</v>
      </c>
      <c r="F101" s="13" t="n">
        <f aca="false">(D101-0.005)*0.1/0.035*(1+B101+C101)*0.01*12</f>
        <v>0.03204</v>
      </c>
    </row>
    <row r="102" customFormat="false" ht="15" hidden="false" customHeight="false" outlineLevel="0" collapsed="false">
      <c r="A102" s="5" t="n">
        <v>1911</v>
      </c>
      <c r="B102" s="12" t="n">
        <v>1.35</v>
      </c>
      <c r="C102" s="12" t="n">
        <v>0.32</v>
      </c>
      <c r="D102" s="13" t="n">
        <v>0.04</v>
      </c>
      <c r="E102" s="14" t="n">
        <f aca="false">MIN(1,E101+F101)</f>
        <v>1</v>
      </c>
      <c r="F102" s="13" t="n">
        <f aca="false">(D102-0.005)*0.1/0.035*(1+B102+C102)*0.01*12</f>
        <v>0.03204</v>
      </c>
    </row>
    <row r="103" customFormat="false" ht="15" hidden="false" customHeight="false" outlineLevel="0" collapsed="false">
      <c r="A103" s="5" t="n">
        <v>1912</v>
      </c>
      <c r="B103" s="12" t="n">
        <v>1.35</v>
      </c>
      <c r="C103" s="12" t="n">
        <v>0.32</v>
      </c>
      <c r="D103" s="13" t="n">
        <v>0.04</v>
      </c>
      <c r="E103" s="14" t="n">
        <f aca="false">MIN(1,E102+F102)</f>
        <v>1</v>
      </c>
      <c r="F103" s="13" t="n">
        <f aca="false">(D103-0.005)*0.1/0.035*(1+B103+C103)*0.01*12</f>
        <v>0.03204</v>
      </c>
    </row>
    <row r="104" customFormat="false" ht="15" hidden="false" customHeight="false" outlineLevel="0" collapsed="false">
      <c r="A104" s="5" t="n">
        <v>1913</v>
      </c>
      <c r="B104" s="12" t="n">
        <v>1.35</v>
      </c>
      <c r="C104" s="12" t="n">
        <v>0.32</v>
      </c>
      <c r="D104" s="13" t="n">
        <v>0.04</v>
      </c>
      <c r="E104" s="14" t="n">
        <f aca="false">MIN(1,E103+F103)</f>
        <v>1</v>
      </c>
      <c r="F104" s="13" t="n">
        <f aca="false">(D104-0.005)*0.1/0.035*(1+B104+C104)*0.01*12</f>
        <v>0.03204</v>
      </c>
    </row>
    <row r="105" customFormat="false" ht="15" hidden="false" customHeight="false" outlineLevel="0" collapsed="false">
      <c r="A105" s="5" t="n">
        <v>1914</v>
      </c>
      <c r="B105" s="12" t="n">
        <v>1.35</v>
      </c>
      <c r="C105" s="12" t="n">
        <v>0.32</v>
      </c>
      <c r="D105" s="13" t="n">
        <v>0.04</v>
      </c>
      <c r="E105" s="14" t="n">
        <f aca="false">MIN(1,E104+F104)</f>
        <v>1</v>
      </c>
      <c r="F105" s="13" t="n">
        <f aca="false">(D105-0.005)*0.1/0.035*(1+B105+C105)*0.01*12</f>
        <v>0.03204</v>
      </c>
    </row>
    <row r="106" customFormat="false" ht="15" hidden="false" customHeight="false" outlineLevel="0" collapsed="false">
      <c r="A106" s="5" t="n">
        <v>1915</v>
      </c>
      <c r="B106" s="12" t="n">
        <v>1.35</v>
      </c>
      <c r="C106" s="12" t="n">
        <v>0.32</v>
      </c>
      <c r="D106" s="13" t="n">
        <v>0.04</v>
      </c>
      <c r="E106" s="14" t="n">
        <f aca="false">MIN(1,E105+F105)</f>
        <v>1</v>
      </c>
      <c r="F106" s="13" t="n">
        <f aca="false">(D106-0.005)*0.1/0.035*(1+B106+C106)*0.01*12</f>
        <v>0.03204</v>
      </c>
    </row>
    <row r="107" customFormat="false" ht="15" hidden="false" customHeight="false" outlineLevel="0" collapsed="false">
      <c r="A107" s="5" t="n">
        <v>1916</v>
      </c>
      <c r="B107" s="12" t="n">
        <v>1.35</v>
      </c>
      <c r="C107" s="12" t="n">
        <v>0.32</v>
      </c>
      <c r="D107" s="13" t="n">
        <v>0.04</v>
      </c>
      <c r="E107" s="14" t="n">
        <f aca="false">MIN(1,E106+F106)</f>
        <v>1</v>
      </c>
      <c r="F107" s="13" t="n">
        <f aca="false">(D107-0.005)*0.1/0.035*(1+B107+C107)*0.01*12</f>
        <v>0.03204</v>
      </c>
    </row>
    <row r="108" customFormat="false" ht="15" hidden="false" customHeight="false" outlineLevel="0" collapsed="false">
      <c r="A108" s="5" t="n">
        <v>1917</v>
      </c>
      <c r="B108" s="12" t="n">
        <v>1.35</v>
      </c>
      <c r="C108" s="12" t="n">
        <v>0.32</v>
      </c>
      <c r="D108" s="13" t="n">
        <v>0.04</v>
      </c>
      <c r="E108" s="14" t="n">
        <f aca="false">MIN(1,E107+F107)</f>
        <v>1</v>
      </c>
      <c r="F108" s="13" t="n">
        <f aca="false">(D108-0.005)*0.1/0.035*(1+B108+C108)*0.01*12</f>
        <v>0.03204</v>
      </c>
    </row>
    <row r="109" customFormat="false" ht="15" hidden="false" customHeight="false" outlineLevel="0" collapsed="false">
      <c r="A109" s="5" t="n">
        <v>1918</v>
      </c>
      <c r="B109" s="12" t="n">
        <v>1.35</v>
      </c>
      <c r="C109" s="12" t="n">
        <v>0.32</v>
      </c>
      <c r="D109" s="13" t="n">
        <v>0.04</v>
      </c>
      <c r="E109" s="14" t="n">
        <f aca="false">MIN(1,E108+F108)</f>
        <v>1</v>
      </c>
      <c r="F109" s="13" t="n">
        <f aca="false">(D109-0.005)*0.1/0.035*(1+B109+C109)*0.01*12</f>
        <v>0.03204</v>
      </c>
    </row>
    <row r="110" customFormat="false" ht="15" hidden="false" customHeight="false" outlineLevel="0" collapsed="false">
      <c r="A110" s="5" t="n">
        <v>1919</v>
      </c>
      <c r="B110" s="12" t="n">
        <v>1.35</v>
      </c>
      <c r="C110" s="12" t="n">
        <v>0.32</v>
      </c>
      <c r="D110" s="13" t="n">
        <v>0.04</v>
      </c>
      <c r="E110" s="14" t="n">
        <f aca="false">MIN(1,E109+F109)</f>
        <v>1</v>
      </c>
      <c r="F110" s="13" t="n">
        <f aca="false">(D110-0.005)*0.1/0.035*(1+B110+C110)*0.01*12</f>
        <v>0.03204</v>
      </c>
    </row>
    <row r="111" customFormat="false" ht="15" hidden="false" customHeight="false" outlineLevel="0" collapsed="false">
      <c r="A111" s="5" t="n">
        <v>1920</v>
      </c>
      <c r="B111" s="12" t="n">
        <v>1.35</v>
      </c>
      <c r="C111" s="12" t="n">
        <v>0.32</v>
      </c>
      <c r="D111" s="13" t="n">
        <v>0.04</v>
      </c>
      <c r="E111" s="14" t="n">
        <f aca="false">MIN(1,E110+F110)</f>
        <v>1</v>
      </c>
      <c r="F111" s="13" t="n">
        <f aca="false">(D111-0.005)*0.1/0.035*(1+B111+C111)*0.01*12</f>
        <v>0.03204</v>
      </c>
    </row>
    <row r="112" customFormat="false" ht="15" hidden="false" customHeight="false" outlineLevel="0" collapsed="false">
      <c r="A112" s="5" t="n">
        <v>1921</v>
      </c>
      <c r="B112" s="12" t="n">
        <v>1.35</v>
      </c>
      <c r="C112" s="12" t="n">
        <v>0.32</v>
      </c>
      <c r="D112" s="13" t="n">
        <v>0.04</v>
      </c>
      <c r="E112" s="14" t="n">
        <f aca="false">MIN(1,E111+F111)</f>
        <v>1</v>
      </c>
      <c r="F112" s="13" t="n">
        <f aca="false">(D112-0.005)*0.1/0.035*(1+B112+C112)*0.01*12</f>
        <v>0.03204</v>
      </c>
    </row>
    <row r="113" customFormat="false" ht="15" hidden="false" customHeight="false" outlineLevel="0" collapsed="false">
      <c r="A113" s="5" t="n">
        <v>1922</v>
      </c>
      <c r="B113" s="12" t="n">
        <v>1.35</v>
      </c>
      <c r="C113" s="12" t="n">
        <v>0.32</v>
      </c>
      <c r="D113" s="13" t="n">
        <v>0.04</v>
      </c>
      <c r="E113" s="14" t="n">
        <f aca="false">MIN(1,E112+F112)</f>
        <v>1</v>
      </c>
      <c r="F113" s="13" t="n">
        <f aca="false">(D113-0.005)*0.1/0.035*(1+B113+C113)*0.01*12</f>
        <v>0.03204</v>
      </c>
    </row>
    <row r="114" customFormat="false" ht="15" hidden="false" customHeight="false" outlineLevel="0" collapsed="false">
      <c r="A114" s="5" t="n">
        <v>1923</v>
      </c>
      <c r="B114" s="12" t="n">
        <v>1.35</v>
      </c>
      <c r="C114" s="12" t="n">
        <v>0.32</v>
      </c>
      <c r="D114" s="13" t="n">
        <v>0.04</v>
      </c>
      <c r="E114" s="14" t="n">
        <f aca="false">MIN(1,E113+F113)</f>
        <v>1</v>
      </c>
      <c r="F114" s="13" t="n">
        <f aca="false">(D114-0.005)*0.1/0.035*(1+B114+C114)*0.01*12</f>
        <v>0.03204</v>
      </c>
    </row>
    <row r="115" customFormat="false" ht="15" hidden="false" customHeight="false" outlineLevel="0" collapsed="false">
      <c r="A115" s="5" t="n">
        <v>1924</v>
      </c>
      <c r="B115" s="12" t="n">
        <v>1.35</v>
      </c>
      <c r="C115" s="12" t="n">
        <v>0.32</v>
      </c>
      <c r="D115" s="13" t="n">
        <v>0.04</v>
      </c>
      <c r="E115" s="14" t="n">
        <f aca="false">MIN(1,E114+F114)</f>
        <v>1</v>
      </c>
      <c r="F115" s="13" t="n">
        <f aca="false">(D115-0.005)*0.1/0.035*(1+B115+C115)*0.01*12</f>
        <v>0.03204</v>
      </c>
    </row>
    <row r="116" customFormat="false" ht="15" hidden="false" customHeight="false" outlineLevel="0" collapsed="false">
      <c r="A116" s="5" t="n">
        <v>1925</v>
      </c>
      <c r="B116" s="12" t="n">
        <v>1.35</v>
      </c>
      <c r="C116" s="12" t="n">
        <v>0.32</v>
      </c>
      <c r="D116" s="13" t="n">
        <v>0.04</v>
      </c>
      <c r="E116" s="14" t="n">
        <f aca="false">MIN(1,E115+F115)</f>
        <v>1</v>
      </c>
      <c r="F116" s="13" t="n">
        <f aca="false">(D116-0.005)*0.1/0.035*(1+B116+C116)*0.01*12</f>
        <v>0.03204</v>
      </c>
    </row>
    <row r="117" customFormat="false" ht="15" hidden="false" customHeight="false" outlineLevel="0" collapsed="false">
      <c r="A117" s="5" t="n">
        <v>1926</v>
      </c>
      <c r="B117" s="12" t="n">
        <v>1.35</v>
      </c>
      <c r="C117" s="12" t="n">
        <v>0.32</v>
      </c>
      <c r="D117" s="13" t="n">
        <v>0.04</v>
      </c>
      <c r="E117" s="14" t="n">
        <f aca="false">MIN(1,E116+F116)</f>
        <v>1</v>
      </c>
      <c r="F117" s="13" t="n">
        <f aca="false">(D117-0.005)*0.1/0.035*(1+B117+C117)*0.01*12</f>
        <v>0.03204</v>
      </c>
    </row>
    <row r="118" customFormat="false" ht="15" hidden="false" customHeight="false" outlineLevel="0" collapsed="false">
      <c r="A118" s="5" t="n">
        <v>1927</v>
      </c>
      <c r="B118" s="12" t="n">
        <v>1.35</v>
      </c>
      <c r="C118" s="12" t="n">
        <v>0.32</v>
      </c>
      <c r="D118" s="13" t="n">
        <v>0.04</v>
      </c>
      <c r="E118" s="14" t="n">
        <f aca="false">MIN(1,E117+F117)</f>
        <v>1</v>
      </c>
      <c r="F118" s="13" t="n">
        <f aca="false">(D118-0.005)*0.1/0.035*(1+B118+C118)*0.01*12</f>
        <v>0.03204</v>
      </c>
    </row>
    <row r="119" customFormat="false" ht="15" hidden="false" customHeight="false" outlineLevel="0" collapsed="false">
      <c r="A119" s="5" t="n">
        <v>1928</v>
      </c>
      <c r="B119" s="12" t="n">
        <v>1.35</v>
      </c>
      <c r="C119" s="12" t="n">
        <v>0.32</v>
      </c>
      <c r="D119" s="13" t="n">
        <v>0.04</v>
      </c>
      <c r="E119" s="14" t="n">
        <f aca="false">MIN(1,E118+F118)</f>
        <v>1</v>
      </c>
      <c r="F119" s="13" t="n">
        <f aca="false">(D119-0.005)*0.1/0.035*(1+B119+C119)*0.01*12</f>
        <v>0.03204</v>
      </c>
    </row>
    <row r="120" customFormat="false" ht="15" hidden="false" customHeight="false" outlineLevel="0" collapsed="false">
      <c r="A120" s="5" t="n">
        <v>1929</v>
      </c>
      <c r="B120" s="12" t="n">
        <v>1.35</v>
      </c>
      <c r="C120" s="12" t="n">
        <v>0.32</v>
      </c>
      <c r="D120" s="13" t="n">
        <v>0.04</v>
      </c>
      <c r="E120" s="14" t="n">
        <f aca="false">MIN(1,E119+F119)</f>
        <v>1</v>
      </c>
      <c r="F120" s="13" t="n">
        <f aca="false">(D120-0.005)*0.1/0.035*(1+B120+C120)*0.01*12</f>
        <v>0.03204</v>
      </c>
    </row>
    <row r="121" customFormat="false" ht="15" hidden="false" customHeight="false" outlineLevel="0" collapsed="false">
      <c r="A121" s="5" t="n">
        <v>1930</v>
      </c>
      <c r="B121" s="12" t="n">
        <v>1.35</v>
      </c>
      <c r="C121" s="12" t="n">
        <v>0.32</v>
      </c>
      <c r="D121" s="13" t="n">
        <v>0.04</v>
      </c>
      <c r="E121" s="14" t="n">
        <f aca="false">MIN(1,E120+F120)</f>
        <v>1</v>
      </c>
      <c r="F121" s="13" t="n">
        <f aca="false">(D121-0.005)*0.1/0.035*(1+B121+C121)*0.01*12</f>
        <v>0.03204</v>
      </c>
    </row>
    <row r="122" customFormat="false" ht="15" hidden="false" customHeight="false" outlineLevel="0" collapsed="false">
      <c r="A122" s="5" t="n">
        <v>1931</v>
      </c>
      <c r="B122" s="12" t="n">
        <v>1.35</v>
      </c>
      <c r="C122" s="12" t="n">
        <v>0.32</v>
      </c>
      <c r="D122" s="13" t="n">
        <v>0.04</v>
      </c>
      <c r="E122" s="14" t="n">
        <f aca="false">MIN(1,E121+F121)</f>
        <v>1</v>
      </c>
      <c r="F122" s="13" t="n">
        <f aca="false">(D122-0.005)*0.1/0.035*(1+B122+C122)*0.01*12</f>
        <v>0.03204</v>
      </c>
    </row>
    <row r="123" customFormat="false" ht="15" hidden="false" customHeight="false" outlineLevel="0" collapsed="false">
      <c r="A123" s="5" t="n">
        <v>1932</v>
      </c>
      <c r="B123" s="12" t="n">
        <v>1.35</v>
      </c>
      <c r="C123" s="12" t="n">
        <v>0.32</v>
      </c>
      <c r="D123" s="13" t="n">
        <v>0.04</v>
      </c>
      <c r="E123" s="14" t="n">
        <f aca="false">MIN(1,E122+F122)</f>
        <v>1</v>
      </c>
      <c r="F123" s="13" t="n">
        <f aca="false">(D123-0.005)*0.1/0.035*(1+B123+C123)*0.01*12</f>
        <v>0.03204</v>
      </c>
    </row>
    <row r="124" customFormat="false" ht="15" hidden="false" customHeight="false" outlineLevel="0" collapsed="false">
      <c r="A124" s="5" t="n">
        <v>1933</v>
      </c>
      <c r="B124" s="12" t="n">
        <v>1.35</v>
      </c>
      <c r="C124" s="12" t="n">
        <v>0.32</v>
      </c>
      <c r="D124" s="13" t="n">
        <v>0.04</v>
      </c>
      <c r="E124" s="14" t="n">
        <f aca="false">MIN(1,E123+F123)</f>
        <v>1</v>
      </c>
      <c r="F124" s="13" t="n">
        <f aca="false">(D124-0.005)*0.1/0.035*(1+B124+C124)*0.01*12</f>
        <v>0.03204</v>
      </c>
    </row>
    <row r="125" customFormat="false" ht="15" hidden="false" customHeight="false" outlineLevel="0" collapsed="false">
      <c r="A125" s="5" t="n">
        <v>1934</v>
      </c>
      <c r="B125" s="12" t="n">
        <v>1.35</v>
      </c>
      <c r="C125" s="12" t="n">
        <v>0.32</v>
      </c>
      <c r="D125" s="13" t="n">
        <v>0.04</v>
      </c>
      <c r="E125" s="14" t="n">
        <f aca="false">MIN(1,E124+F124)</f>
        <v>1</v>
      </c>
      <c r="F125" s="13" t="n">
        <f aca="false">(D125-0.005)*0.1/0.035*(1+B125+C125)*0.01*12</f>
        <v>0.03204</v>
      </c>
    </row>
    <row r="126" customFormat="false" ht="15" hidden="false" customHeight="false" outlineLevel="0" collapsed="false">
      <c r="A126" s="5" t="n">
        <v>1935</v>
      </c>
      <c r="B126" s="12" t="n">
        <v>1.35</v>
      </c>
      <c r="C126" s="12" t="n">
        <v>0.32</v>
      </c>
      <c r="D126" s="13" t="n">
        <v>0.04</v>
      </c>
      <c r="E126" s="14" t="n">
        <f aca="false">MIN(1,E125+F125)</f>
        <v>1</v>
      </c>
      <c r="F126" s="13" t="n">
        <f aca="false">(D126-0.005)*0.1/0.035*(1+B126+C126)*0.01*12</f>
        <v>0.03204</v>
      </c>
    </row>
    <row r="127" customFormat="false" ht="15" hidden="false" customHeight="false" outlineLevel="0" collapsed="false">
      <c r="A127" s="5" t="n">
        <v>1936</v>
      </c>
      <c r="B127" s="12" t="n">
        <v>1.35</v>
      </c>
      <c r="C127" s="12" t="n">
        <v>0.32</v>
      </c>
      <c r="D127" s="13" t="n">
        <v>0.04</v>
      </c>
      <c r="E127" s="14" t="n">
        <f aca="false">MIN(1,E126+F126)</f>
        <v>1</v>
      </c>
      <c r="F127" s="13" t="n">
        <f aca="false">(D127-0.005)*0.1/0.035*(1+B127+C127)*0.01*12</f>
        <v>0.03204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7"/>
  <sheetViews>
    <sheetView showFormulas="false" showGridLines="true" showRowColHeaders="true" showZeros="true" rightToLeft="false" tabSelected="false" showOutlineSymbols="true" defaultGridColor="true" view="normal" topLeftCell="I1" colorId="64" zoomScale="120" zoomScaleNormal="120" zoomScalePageLayoutView="100" workbookViewId="0">
      <selection pane="topLeft" activeCell="K13" activeCellId="0" sqref="K13"/>
    </sheetView>
  </sheetViews>
  <sheetFormatPr defaultColWidth="8.8554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9.72"/>
    <col collapsed="false" customWidth="true" hidden="false" outlineLevel="0" max="3" min="3" style="1" width="14.42"/>
    <col collapsed="false" customWidth="true" hidden="false" outlineLevel="0" max="4" min="4" style="1" width="14.57"/>
    <col collapsed="false" customWidth="true" hidden="false" outlineLevel="0" max="5" min="5" style="1" width="17.57"/>
    <col collapsed="false" customWidth="true" hidden="false" outlineLevel="0" max="6" min="6" style="1" width="17.72"/>
    <col collapsed="false" customWidth="true" hidden="false" outlineLevel="0" max="7" min="7" style="1" width="10.57"/>
    <col collapsed="false" customWidth="true" hidden="false" outlineLevel="0" max="8" min="8" style="1" width="28.57"/>
    <col collapsed="false" customWidth="true" hidden="false" outlineLevel="0" max="9" min="9" style="1" width="20.71"/>
    <col collapsed="false" customWidth="true" hidden="false" outlineLevel="0" max="10" min="10" style="1" width="19.42"/>
    <col collapsed="false" customWidth="true" hidden="false" outlineLevel="0" max="11" min="11" style="1" width="15.57"/>
    <col collapsed="false" customWidth="true" hidden="false" outlineLevel="0" max="12" min="12" style="1" width="20.42"/>
    <col collapsed="false" customWidth="true" hidden="false" outlineLevel="0" max="13" min="13" style="1" width="18.14"/>
    <col collapsed="false" customWidth="true" hidden="false" outlineLevel="0" max="14" min="14" style="1" width="18.42"/>
    <col collapsed="false" customWidth="true" hidden="false" outlineLevel="0" max="15" min="15" style="1" width="15.57"/>
    <col collapsed="false" customWidth="true" hidden="false" outlineLevel="0" max="16" min="16" style="1" width="18.42"/>
    <col collapsed="false" customWidth="true" hidden="false" outlineLevel="0" max="17" min="17" style="1" width="13"/>
    <col collapsed="false" customWidth="true" hidden="false" outlineLevel="0" max="18" min="18" style="1" width="14.42"/>
    <col collapsed="false" customWidth="true" hidden="false" outlineLevel="0" max="19" min="19" style="1" width="13.85"/>
    <col collapsed="false" customWidth="true" hidden="false" outlineLevel="0" max="20" min="20" style="1" width="9.85"/>
    <col collapsed="false" customWidth="true" hidden="false" outlineLevel="0" max="21" min="21" style="1" width="13.85"/>
    <col collapsed="false" customWidth="true" hidden="false" outlineLevel="0" max="22" min="22" style="1" width="9.85"/>
    <col collapsed="false" customWidth="true" hidden="false" outlineLevel="0" max="23" min="23" style="1" width="13.85"/>
    <col collapsed="false" customWidth="true" hidden="false" outlineLevel="0" max="24" min="24" style="1" width="9.85"/>
    <col collapsed="false" customWidth="true" hidden="false" outlineLevel="0" max="25" min="25" style="1" width="13.85"/>
    <col collapsed="false" customWidth="true" hidden="false" outlineLevel="0" max="26" min="26" style="1" width="8.13"/>
    <col collapsed="false" customWidth="false" hidden="false" outlineLevel="0" max="16384" min="27" style="1" width="8.85"/>
  </cols>
  <sheetData>
    <row r="1" customFormat="false" ht="15" hidden="false" customHeight="false" outlineLevel="0" collapsed="false">
      <c r="A1" s="16" t="s">
        <v>0</v>
      </c>
      <c r="B1" s="16" t="s">
        <v>70</v>
      </c>
      <c r="C1" s="16" t="s">
        <v>71</v>
      </c>
      <c r="D1" s="16" t="s">
        <v>72</v>
      </c>
      <c r="E1" s="16" t="s">
        <v>73</v>
      </c>
      <c r="F1" s="16" t="s">
        <v>74</v>
      </c>
      <c r="G1" s="16" t="s">
        <v>3</v>
      </c>
      <c r="H1" s="16" t="s">
        <v>75</v>
      </c>
      <c r="I1" s="16" t="s">
        <v>76</v>
      </c>
      <c r="J1" s="16" t="s">
        <v>77</v>
      </c>
      <c r="K1" s="16" t="s">
        <v>78</v>
      </c>
      <c r="L1" s="16" t="s">
        <v>79</v>
      </c>
      <c r="M1" s="16" t="s">
        <v>80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V1" s="17" t="s">
        <v>86</v>
      </c>
      <c r="W1" s="17"/>
      <c r="X1" s="17"/>
    </row>
    <row r="2" customFormat="false" ht="15" hidden="false" customHeight="false" outlineLevel="0" collapsed="false">
      <c r="A2" s="5" t="n">
        <v>1830</v>
      </c>
      <c r="B2" s="6" t="n">
        <v>100000</v>
      </c>
      <c r="C2" s="6" t="n">
        <v>0</v>
      </c>
      <c r="D2" s="18" t="n">
        <v>0</v>
      </c>
      <c r="E2" s="19" t="n">
        <f aca="false">C2/B2</f>
        <v>0</v>
      </c>
      <c r="F2" s="19" t="n">
        <f aca="false">D2/B2</f>
        <v>0</v>
      </c>
      <c r="G2" s="2" t="n">
        <v>0.01</v>
      </c>
      <c r="H2" s="8" t="n">
        <f aca="false">MIN((D2/B2)/(0.01+(J2*0.001))+I2,1)</f>
        <v>0.4</v>
      </c>
      <c r="I2" s="12" t="n">
        <v>0.4</v>
      </c>
      <c r="J2" s="18" t="n">
        <v>0</v>
      </c>
      <c r="K2" s="6" t="n">
        <f aca="false">B2/500/4*(0.3-IF($N$2="Yes",0.1,0)+VLOOKUP(G2,$V$3:$W$11,2,1))*H2*12</f>
        <v>72</v>
      </c>
      <c r="L2" s="8" t="n">
        <f aca="false">(VLOOKUP(G2,$T$15:$U$21,2,1)+VLOOKUP($O$2,$T$26:$U$36,2,1)-0.12)*IF(E2&gt;0.041,0,1)</f>
        <v>0.14</v>
      </c>
      <c r="M2" s="8" t="n">
        <f aca="false">VLOOKUP(G2,$X$15:$Y$22,2,1)+VLOOKUP($P$2,$X$26:$Y$37,2,1)*IF(F2&gt;0.04,0,1)</f>
        <v>0.02</v>
      </c>
      <c r="N2" s="5" t="s">
        <v>58</v>
      </c>
      <c r="O2" s="2" t="n">
        <v>1</v>
      </c>
      <c r="P2" s="2" t="n">
        <v>0.1</v>
      </c>
      <c r="Q2" s="18" t="n">
        <v>35</v>
      </c>
      <c r="R2" s="8" t="n">
        <v>0</v>
      </c>
      <c r="V2" s="5" t="s">
        <v>3</v>
      </c>
      <c r="W2" s="5" t="s">
        <v>87</v>
      </c>
      <c r="X2" s="5" t="s">
        <v>88</v>
      </c>
    </row>
    <row r="3" customFormat="false" ht="15" hidden="false" customHeight="false" outlineLevel="0" collapsed="false">
      <c r="A3" s="5" t="n">
        <v>1831</v>
      </c>
      <c r="B3" s="6" t="n">
        <f aca="false">B2*(1+MAX(($Q$2-30)*0.0001+0.0001+$R$2,0))-K2</f>
        <v>99988</v>
      </c>
      <c r="C3" s="6" t="n">
        <f aca="false">C2*(1+MAX(($Q$2-30)*0.0001+0.0001+$R$2,0))+K2*IF(M2=0,1,L2/M2)</f>
        <v>504</v>
      </c>
      <c r="D3" s="18" t="n">
        <f aca="false">D2*(1+MAX(($Q$2-30)*0.0001+0.0001+$R$2,0))+K2*IF(L2=0,1,M2/L2)</f>
        <v>10.2857142857143</v>
      </c>
      <c r="E3" s="19" t="n">
        <f aca="false">C3/B3</f>
        <v>0.00504060487258471</v>
      </c>
      <c r="F3" s="19" t="n">
        <f aca="false">D3/B3</f>
        <v>0.000102869487195606</v>
      </c>
      <c r="G3" s="2" t="n">
        <v>0.01</v>
      </c>
      <c r="H3" s="8" t="n">
        <f aca="false">MIN((D3/B3)/(0.01+(J3*0.001))+I3,1)</f>
        <v>0.410286948719561</v>
      </c>
      <c r="I3" s="12" t="n">
        <v>0.4</v>
      </c>
      <c r="J3" s="18" t="n">
        <v>0</v>
      </c>
      <c r="K3" s="6" t="n">
        <f aca="false">B3/500/4*(0.3-IF($N$2="Yes",0.1,0)+VLOOKUP(G3,$V$3:$W$11,2,TRUE()))*H3*12</f>
        <v>73.8427885714286</v>
      </c>
      <c r="L3" s="8" t="n">
        <f aca="false">(VLOOKUP(G3,$T$15:$U$21,2,1)+VLOOKUP($O$2,$T$26:$U$36,2,1)-0.12)*IF(E3&gt;0.041,0,1)</f>
        <v>0.14</v>
      </c>
      <c r="M3" s="8" t="n">
        <f aca="false">VLOOKUP(G3,$X$15:$Y$22,2,1)+VLOOKUP($P$2,$X$26:$Y$37,2,1)*IF(F3&gt;0.04,0,1)</f>
        <v>0.02</v>
      </c>
      <c r="V3" s="20" t="n">
        <v>0</v>
      </c>
      <c r="W3" s="20" t="n">
        <f aca="false">SUM(X3)</f>
        <v>0</v>
      </c>
      <c r="X3" s="19" t="n">
        <v>0</v>
      </c>
    </row>
    <row r="4" customFormat="false" ht="15" hidden="false" customHeight="false" outlineLevel="0" collapsed="false">
      <c r="A4" s="5" t="n">
        <v>1832</v>
      </c>
      <c r="B4" s="6" t="n">
        <f aca="false">B3*(1+MAX(($Q$2-30)*0.0001+0.0001+$R$2,0))-K3</f>
        <v>99974.1500114286</v>
      </c>
      <c r="C4" s="6" t="n">
        <f aca="false">C3*(1+MAX(($Q$2-30)*0.0001+0.0001+$R$2,0))+K3*IF(M3=0,1,L3/M3)</f>
        <v>1021.20192</v>
      </c>
      <c r="D4" s="18" t="n">
        <f aca="false">D3*(1+MAX(($Q$2-30)*0.0001+0.0001+$R$2,0))+K3*IF(L3=0,1,M3/L3)</f>
        <v>20.8408555102041</v>
      </c>
      <c r="E4" s="19" t="n">
        <f aca="false">C4/B4</f>
        <v>0.0102146596883621</v>
      </c>
      <c r="F4" s="19" t="n">
        <f aca="false">D4/B4</f>
        <v>0.000208462442619634</v>
      </c>
      <c r="G4" s="2" t="n">
        <v>0.01</v>
      </c>
      <c r="H4" s="8" t="n">
        <f aca="false">MIN((D4/B4)/(0.01+(J4*0.001))+I4,1)</f>
        <v>0.420846244261963</v>
      </c>
      <c r="I4" s="12" t="n">
        <v>0.4</v>
      </c>
      <c r="J4" s="18" t="n">
        <v>0</v>
      </c>
      <c r="K4" s="6" t="n">
        <f aca="false">B4/500/4*(0.3-IF($N$2="Yes",0.1,0)+VLOOKUP(G4,$V$3:$W$11,2,TRUE()))*H4*12</f>
        <v>75.7327420000653</v>
      </c>
      <c r="L4" s="8" t="n">
        <f aca="false">(VLOOKUP(G4,$T$15:$U$21,2,1)+VLOOKUP($O$2,$T$26:$U$36,2,1)-0.12)*IF(E4&gt;0.041,0,1)</f>
        <v>0.14</v>
      </c>
      <c r="M4" s="8" t="n">
        <f aca="false">VLOOKUP(G4,$X$15:$Y$22,2,1)+VLOOKUP($P$2,$X$26:$Y$37,2,1)*IF(F4&gt;0.04,0,1)</f>
        <v>0.02</v>
      </c>
      <c r="V4" s="21" t="n">
        <v>0.1</v>
      </c>
      <c r="W4" s="20" t="n">
        <f aca="false">SUM(X3:X4)</f>
        <v>0.032</v>
      </c>
      <c r="X4" s="8" t="n">
        <v>0.032</v>
      </c>
    </row>
    <row r="5" customFormat="false" ht="15" hidden="false" customHeight="false" outlineLevel="0" collapsed="false">
      <c r="A5" s="5" t="n">
        <v>1833</v>
      </c>
      <c r="B5" s="6" t="n">
        <f aca="false">B4*(1+MAX(($Q$2-30)*0.0001+0.0001+$R$2,0))-K4</f>
        <v>99958.4017594354</v>
      </c>
      <c r="C5" s="6" t="n">
        <f aca="false">C4*(1+MAX(($Q$2-30)*0.0001+0.0001+$R$2,0))+K4*IF(M4=0,1,L4/M4)</f>
        <v>1551.94383515246</v>
      </c>
      <c r="D5" s="18" t="n">
        <f aca="false">D4*(1+MAX(($Q$2-30)*0.0001+0.0001+$R$2,0))+K4*IF(L4=0,1,M4/L4)</f>
        <v>31.6723231663767</v>
      </c>
      <c r="E5" s="19" t="n">
        <f aca="false">C5/B5</f>
        <v>0.0155258968514467</v>
      </c>
      <c r="F5" s="19" t="n">
        <f aca="false">D5/B5</f>
        <v>0.000316855037784626</v>
      </c>
      <c r="G5" s="2" t="n">
        <v>0.01</v>
      </c>
      <c r="H5" s="8" t="n">
        <f aca="false">MIN((D5/B5)/(0.01+(J5*0.001))+I5,1)</f>
        <v>0.431685503778463</v>
      </c>
      <c r="I5" s="12" t="n">
        <v>0.4</v>
      </c>
      <c r="J5" s="18" t="n">
        <v>0</v>
      </c>
      <c r="K5" s="6" t="n">
        <f aca="false">B5/500/4*(0.3-IF($N$2="Yes",0.1,0)+VLOOKUP(G5,$V$3:$W$11,2,TRUE()))*H5*12</f>
        <v>77.6710674367413</v>
      </c>
      <c r="L5" s="8" t="n">
        <f aca="false">(VLOOKUP(G5,$T$15:$U$21,2,1)+VLOOKUP($O$2,$T$26:$U$36,2,1)-0.12)*IF(E5&gt;0.041,0,1)</f>
        <v>0.14</v>
      </c>
      <c r="M5" s="8" t="n">
        <f aca="false">VLOOKUP(G5,$X$15:$Y$22,2,1)+VLOOKUP($P$2,$X$26:$Y$37,2,1)*IF(F5&gt;0.04,0,1)</f>
        <v>0.02</v>
      </c>
      <c r="V5" s="21" t="n">
        <v>0.2</v>
      </c>
      <c r="W5" s="14" t="n">
        <f aca="false">SUM(X3:X5)</f>
        <v>0.055</v>
      </c>
      <c r="X5" s="8" t="n">
        <v>0.023</v>
      </c>
    </row>
    <row r="6" customFormat="false" ht="15" hidden="false" customHeight="false" outlineLevel="0" collapsed="false">
      <c r="A6" s="5" t="n">
        <v>1834</v>
      </c>
      <c r="B6" s="6" t="n">
        <f aca="false">B5*(1+MAX(($Q$2-30)*0.0001+0.0001+$R$2,0))-K5</f>
        <v>99940.7057330543</v>
      </c>
      <c r="C6" s="6" t="n">
        <f aca="false">C5*(1+MAX(($Q$2-30)*0.0001+0.0001+$R$2,0))+K5*IF(M5=0,1,L5/M5)</f>
        <v>2096.57247351074</v>
      </c>
      <c r="D6" s="18" t="n">
        <f aca="false">D5*(1+MAX(($Q$2-30)*0.0001+0.0001+$R$2,0))+K5*IF(L5=0,1,M5/L5)</f>
        <v>42.7871933369538</v>
      </c>
      <c r="E6" s="19" t="n">
        <f aca="false">C6/B6</f>
        <v>0.0209781635834228</v>
      </c>
      <c r="F6" s="19" t="n">
        <f aca="false">D6/B6</f>
        <v>0.000428125787416793</v>
      </c>
      <c r="G6" s="2" t="n">
        <v>0.01</v>
      </c>
      <c r="H6" s="8" t="n">
        <f aca="false">MIN((D6/B6)/(0.01+(J6*0.001))+I6,1)</f>
        <v>0.442812578741679</v>
      </c>
      <c r="I6" s="12" t="n">
        <v>0.4</v>
      </c>
      <c r="J6" s="18" t="n">
        <v>0</v>
      </c>
      <c r="K6" s="6" t="n">
        <f aca="false">B6/500/4*(0.3-IF($N$2="Yes",0.1,0)+VLOOKUP(G6,$V$3:$W$11,2,TRUE()))*H6*12</f>
        <v>79.6590029284508</v>
      </c>
      <c r="L6" s="8" t="n">
        <f aca="false">(VLOOKUP(G6,$T$15:$U$21,2,1)+VLOOKUP($O$2,$T$26:$U$36,2,1)-0.12)*IF(E6&gt;0.041,0,1)</f>
        <v>0.14</v>
      </c>
      <c r="M6" s="8" t="n">
        <f aca="false">VLOOKUP(G6,$X$15:$Y$22,2,1)+VLOOKUP($P$2,$X$26:$Y$37,2,1)*IF(F6&gt;0.04,0,1)</f>
        <v>0.02</v>
      </c>
      <c r="V6" s="21" t="n">
        <v>0.3</v>
      </c>
      <c r="W6" s="14" t="n">
        <f aca="false">SUM(X3:X6)</f>
        <v>0.076</v>
      </c>
      <c r="X6" s="8" t="n">
        <v>0.021</v>
      </c>
    </row>
    <row r="7" customFormat="false" ht="15" hidden="false" customHeight="false" outlineLevel="0" collapsed="false">
      <c r="A7" s="5" t="n">
        <v>1835</v>
      </c>
      <c r="B7" s="6" t="n">
        <f aca="false">B6*(1+MAX(($Q$2-30)*0.0001+0.0001+$R$2,0))-K6</f>
        <v>99921.0111535657</v>
      </c>
      <c r="C7" s="6" t="n">
        <f aca="false">C6*(1+MAX(($Q$2-30)*0.0001+0.0001+$R$2,0))+K6*IF(M6=0,1,L6/M6)</f>
        <v>2655.443437494</v>
      </c>
      <c r="D7" s="18" t="n">
        <f aca="false">D6*(1+MAX(($Q$2-30)*0.0001+0.0001+$R$2,0))+K6*IF(L6=0,1,M6/L6)</f>
        <v>54.1927232141632</v>
      </c>
      <c r="E7" s="19" t="n">
        <f aca="false">C7/B7</f>
        <v>0.0265754259973703</v>
      </c>
      <c r="F7" s="19" t="n">
        <f aca="false">D7/B7</f>
        <v>0.000542355632599394</v>
      </c>
      <c r="G7" s="2" t="n">
        <v>0.01</v>
      </c>
      <c r="H7" s="8" t="n">
        <f aca="false">MIN((D7/B7)/(0.01+(J7*0.001))+I7,1)</f>
        <v>0.454235563259939</v>
      </c>
      <c r="I7" s="12" t="n">
        <v>0.4</v>
      </c>
      <c r="J7" s="18" t="n">
        <v>0</v>
      </c>
      <c r="K7" s="6" t="n">
        <f aca="false">B7/500/4*(0.3-IF($N$2="Yes",0.1,0)+VLOOKUP(G7,$V$3:$W$11,2,TRUE()))*H7*12</f>
        <v>81.6978182091167</v>
      </c>
      <c r="L7" s="8" t="n">
        <f aca="false">(VLOOKUP(G7,$T$15:$U$21,2,1)+VLOOKUP($O$2,$T$26:$U$36,2,1)-0.12)*IF(E7&gt;0.041,0,1)</f>
        <v>0.14</v>
      </c>
      <c r="M7" s="8" t="n">
        <f aca="false">VLOOKUP(G7,$X$15:$Y$22,2,1)+VLOOKUP($P$2,$X$26:$Y$37,2,1)*IF(F7&gt;0.04,0,1)</f>
        <v>0.02</v>
      </c>
      <c r="V7" s="21" t="n">
        <v>0.4</v>
      </c>
      <c r="W7" s="14" t="n">
        <f aca="false">SUM(X3:X7)</f>
        <v>0.096</v>
      </c>
      <c r="X7" s="8" t="n">
        <v>0.02</v>
      </c>
    </row>
    <row r="8" customFormat="false" ht="15" hidden="false" customHeight="false" outlineLevel="0" collapsed="false">
      <c r="A8" s="5" t="n">
        <v>1836</v>
      </c>
      <c r="B8" s="6" t="n">
        <f aca="false">B7*(1+MAX(($Q$2-30)*0.0001+0.0001+$R$2,0))-K7</f>
        <v>99899.2659420487</v>
      </c>
      <c r="C8" s="6" t="n">
        <f aca="false">C7*(1+MAX(($Q$2-30)*0.0001+0.0001+$R$2,0))+K7*IF(M7=0,1,L7/M7)</f>
        <v>3228.92143102031</v>
      </c>
      <c r="D8" s="18" t="n">
        <f aca="false">D7*(1+MAX(($Q$2-30)*0.0001+0.0001+$R$2,0))+K7*IF(L7=0,1,M7/L7)</f>
        <v>65.8963557351084</v>
      </c>
      <c r="E8" s="19" t="n">
        <f aca="false">C8/B8</f>
        <v>0.0323217733440945</v>
      </c>
      <c r="F8" s="19" t="n">
        <f aca="false">D8/B8</f>
        <v>0.000659628027430499</v>
      </c>
      <c r="G8" s="2" t="n">
        <v>0.01</v>
      </c>
      <c r="H8" s="8" t="n">
        <f aca="false">MIN((D8/B8)/(0.01+(J8*0.001))+I8,1)</f>
        <v>0.46596280274305</v>
      </c>
      <c r="I8" s="12" t="n">
        <v>0.4</v>
      </c>
      <c r="J8" s="18" t="n">
        <v>0</v>
      </c>
      <c r="K8" s="6" t="n">
        <f aca="false">B8/500/4*(0.3-IF($N$2="Yes",0.1,0)+VLOOKUP(G8,$V$3:$W$11,2,TRUE()))*H8*12</f>
        <v>83.7888155105946</v>
      </c>
      <c r="L8" s="8" t="n">
        <f aca="false">(VLOOKUP(G8,$T$15:$U$21,2,1)+VLOOKUP($O$2,$T$26:$U$36,2,1)-0.12)*IF(E8&gt;0.041,0,1)</f>
        <v>0.14</v>
      </c>
      <c r="M8" s="8" t="n">
        <f aca="false">VLOOKUP(G8,$X$15:$Y$22,2,1)+VLOOKUP($P$2,$X$26:$Y$37,2,1)*IF(F8&gt;0.04,0,1)</f>
        <v>0.02</v>
      </c>
      <c r="V8" s="21" t="n">
        <v>0.51</v>
      </c>
      <c r="W8" s="14" t="n">
        <f aca="false">SUM(X3:X8)</f>
        <v>0.117</v>
      </c>
      <c r="X8" s="8" t="n">
        <v>0.021</v>
      </c>
    </row>
    <row r="9" customFormat="false" ht="15" hidden="false" customHeight="false" outlineLevel="0" collapsed="false">
      <c r="A9" s="5" t="n">
        <v>1837</v>
      </c>
      <c r="B9" s="6" t="n">
        <f aca="false">B8*(1+MAX(($Q$2-30)*0.0001+0.0001+$R$2,0))-K8</f>
        <v>99875.4166861033</v>
      </c>
      <c r="C9" s="6" t="n">
        <f aca="false">C8*(1+MAX(($Q$2-30)*0.0001+0.0001+$R$2,0))+K8*IF(M8=0,1,L8/M8)</f>
        <v>3817.38049245309</v>
      </c>
      <c r="D9" s="18" t="n">
        <f aca="false">D8*(1+MAX(($Q$2-30)*0.0001+0.0001+$R$2,0))+K8*IF(L8=0,1,M8/L8)</f>
        <v>77.9057243357773</v>
      </c>
      <c r="E9" s="19" t="n">
        <f aca="false">C9/B9</f>
        <v>0.0382214224392241</v>
      </c>
      <c r="F9" s="19" t="n">
        <f aca="false">D9/B9</f>
        <v>0.00078002902937192</v>
      </c>
      <c r="G9" s="2" t="n">
        <v>0.01</v>
      </c>
      <c r="H9" s="8" t="n">
        <f aca="false">MIN((D9/B9)/(0.01+(J9*0.001))+I9,1)</f>
        <v>0.478002902937192</v>
      </c>
      <c r="I9" s="12" t="n">
        <v>0.4</v>
      </c>
      <c r="J9" s="18" t="n">
        <v>0</v>
      </c>
      <c r="K9" s="6" t="n">
        <f aca="false">B9/500/4*(0.3-IF($N$2="Yes",0.1,0)+VLOOKUP(G9,$V$3:$W$11,2,TRUE()))*H9*12</f>
        <v>85.9333303944343</v>
      </c>
      <c r="L9" s="8" t="n">
        <f aca="false">(VLOOKUP(G9,$T$15:$U$21,2,1)+VLOOKUP($O$2,$T$26:$U$36,2,1)-0.12)*IF(E9&gt;0.041,0,1)</f>
        <v>0.14</v>
      </c>
      <c r="M9" s="8" t="n">
        <f aca="false">VLOOKUP(G9,$X$15:$Y$22,2,1)+VLOOKUP($P$2,$X$26:$Y$37,2,1)*IF(F9&gt;0.04,0,1)</f>
        <v>0.02</v>
      </c>
      <c r="V9" s="21" t="n">
        <v>0.62</v>
      </c>
      <c r="W9" s="14" t="n">
        <f aca="false">SUM(X3:X9)</f>
        <v>0.139</v>
      </c>
      <c r="X9" s="8" t="n">
        <v>0.022</v>
      </c>
    </row>
    <row r="10" customFormat="false" ht="15" hidden="false" customHeight="false" outlineLevel="0" collapsed="false">
      <c r="A10" s="5" t="n">
        <v>1838</v>
      </c>
      <c r="B10" s="6" t="n">
        <f aca="false">B9*(1+MAX(($Q$2-30)*0.0001+0.0001+$R$2,0))-K9</f>
        <v>99849.4086057205</v>
      </c>
      <c r="C10" s="6" t="n">
        <f aca="false">C9*(1+MAX(($Q$2-30)*0.0001+0.0001+$R$2,0))+K9*IF(M9=0,1,L9/M9)</f>
        <v>4421.2042335096</v>
      </c>
      <c r="D10" s="18" t="n">
        <f aca="false">D9*(1+MAX(($Q$2-30)*0.0001+0.0001+$R$2,0))+K9*IF(L9=0,1,M9/L9)</f>
        <v>90.2286578267265</v>
      </c>
      <c r="E10" s="19" t="n">
        <f aca="false">C10/B10</f>
        <v>0.0442787222803471</v>
      </c>
      <c r="F10" s="19" t="n">
        <f aca="false">D10/B10</f>
        <v>0.000903647393476471</v>
      </c>
      <c r="G10" s="2" t="n">
        <v>0.01</v>
      </c>
      <c r="H10" s="8" t="n">
        <f aca="false">MIN((D10/B10)/(0.01+(J10*0.001))+I10,1)</f>
        <v>0.490364739347647</v>
      </c>
      <c r="I10" s="12" t="n">
        <v>0.4</v>
      </c>
      <c r="J10" s="18" t="n">
        <v>0</v>
      </c>
      <c r="K10" s="6" t="n">
        <f aca="false">B10/500/4*(0.3-IF($N$2="Yes",0.1,0)+VLOOKUP(G10,$V$3:$W$11,2,TRUE()))*H10*12</f>
        <v>88.1327326049295</v>
      </c>
      <c r="L10" s="8" t="n">
        <f aca="false">(VLOOKUP(G10,$T$15:$U$21,2,1)+VLOOKUP($O$2,$T$26:$U$36,2,1)-0.12)*IF(E10&gt;0.041,0,1)</f>
        <v>0</v>
      </c>
      <c r="M10" s="8" t="n">
        <f aca="false">VLOOKUP(G10,$X$15:$Y$22,2,1)+VLOOKUP($P$2,$X$26:$Y$37,2,1)*IF(F10&gt;0.04,0,1)</f>
        <v>0.02</v>
      </c>
      <c r="V10" s="21" t="n">
        <v>0.75</v>
      </c>
      <c r="W10" s="14" t="n">
        <f aca="false">SUM(X3:X10)</f>
        <v>0.162</v>
      </c>
      <c r="X10" s="8" t="n">
        <v>0.023</v>
      </c>
    </row>
    <row r="11" customFormat="false" ht="15" hidden="false" customHeight="false" outlineLevel="0" collapsed="false">
      <c r="A11" s="5" t="n">
        <v>1839</v>
      </c>
      <c r="B11" s="6" t="n">
        <f aca="false">B10*(1+MAX(($Q$2-30)*0.0001+0.0001+$R$2,0))-K10</f>
        <v>99821.185518279</v>
      </c>
      <c r="C11" s="6" t="n">
        <f aca="false">C10*(1+MAX(($Q$2-30)*0.0001+0.0001+$R$2,0))+K10*IF(M10=0,1,L10/M10)</f>
        <v>4423.8569560497</v>
      </c>
      <c r="D11" s="18" t="n">
        <f aca="false">D10*(1+MAX(($Q$2-30)*0.0001+0.0001+$R$2,0))+K10*IF(L10=0,1,M10/L10)</f>
        <v>178.415527626352</v>
      </c>
      <c r="E11" s="19" t="n">
        <f aca="false">C11/B11</f>
        <v>0.0443178162339057</v>
      </c>
      <c r="F11" s="19" t="n">
        <f aca="false">D11/B11</f>
        <v>0.00178735131926159</v>
      </c>
      <c r="G11" s="2" t="n">
        <v>0.01</v>
      </c>
      <c r="H11" s="8" t="n">
        <f aca="false">MIN((D11/B11)/(0.01+(J11*0.001))+I11,1)</f>
        <v>0.578735131926159</v>
      </c>
      <c r="I11" s="12" t="n">
        <v>0.4</v>
      </c>
      <c r="J11" s="18" t="n">
        <v>0</v>
      </c>
      <c r="K11" s="6" t="n">
        <f aca="false">B11/500/4*(0.3-IF($N$2="Yes",0.1,0)+VLOOKUP(G11,$V$3:$W$11,2,TRUE()))*H11*12</f>
        <v>103.986048545904</v>
      </c>
      <c r="L11" s="8" t="n">
        <f aca="false">(VLOOKUP(G11,$T$15:$U$21,2,1)+VLOOKUP($O$2,$T$26:$U$36,2,1)-0.12)*IF(E11&gt;0.041,0,1)</f>
        <v>0</v>
      </c>
      <c r="M11" s="8" t="n">
        <f aca="false">VLOOKUP(G11,$X$15:$Y$22,2,1)+VLOOKUP($P$2,$X$26:$Y$37,2,1)*IF(F11&gt;0.04,0,1)</f>
        <v>0.02</v>
      </c>
      <c r="V11" s="21" t="n">
        <v>0.9</v>
      </c>
      <c r="W11" s="14" t="n">
        <f aca="false">SUM(X3:X11)</f>
        <v>0.186</v>
      </c>
      <c r="X11" s="8" t="n">
        <v>0.024</v>
      </c>
    </row>
    <row r="12" customFormat="false" ht="15" hidden="false" customHeight="false" outlineLevel="0" collapsed="false">
      <c r="A12" s="5" t="n">
        <v>1840</v>
      </c>
      <c r="B12" s="6" t="n">
        <f aca="false">B11*(1+MAX(($Q$2-30)*0.0001+0.0001+$R$2,0))-K11</f>
        <v>99777.0921810441</v>
      </c>
      <c r="C12" s="6" t="n">
        <f aca="false">C11*(1+MAX(($Q$2-30)*0.0001+0.0001+$R$2,0))+K11*IF(M11=0,1,L11/M11)</f>
        <v>4426.51127022333</v>
      </c>
      <c r="D12" s="18" t="n">
        <f aca="false">D11*(1+MAX(($Q$2-30)*0.0001+0.0001+$R$2,0))+K11*IF(L11=0,1,M11/L11)</f>
        <v>282.508625488832</v>
      </c>
      <c r="E12" s="19" t="n">
        <f aca="false">C12/B12</f>
        <v>0.0443640035349145</v>
      </c>
      <c r="F12" s="19" t="n">
        <f aca="false">D12/B12</f>
        <v>0.0028313976616619</v>
      </c>
      <c r="G12" s="2" t="n">
        <v>0.01</v>
      </c>
      <c r="H12" s="8" t="n">
        <f aca="false">MIN((D12/B12)/(0.01+(J12*0.001))+I12,1)</f>
        <v>0.68313976616619</v>
      </c>
      <c r="I12" s="12" t="n">
        <v>0.4</v>
      </c>
      <c r="J12" s="18" t="n">
        <v>0</v>
      </c>
      <c r="K12" s="6" t="n">
        <f aca="false">B12/500/4*(0.3-IF($N$2="Yes",0.1,0)+VLOOKUP(G12,$V$3:$W$11,2,TRUE()))*H12*12</f>
        <v>122.691058958342</v>
      </c>
      <c r="L12" s="8" t="n">
        <f aca="false">(VLOOKUP(G12,$T$15:$U$21,2,1)+VLOOKUP($O$2,$T$26:$U$36,2,1)-0.12)*IF(E12&gt;0.041,0,1)</f>
        <v>0</v>
      </c>
      <c r="M12" s="8" t="n">
        <f aca="false">VLOOKUP(G12,$X$15:$Y$22,2,1)+VLOOKUP($P$2,$X$26:$Y$37,2,1)*IF(F12&gt;0.04,0,1)</f>
        <v>0.02</v>
      </c>
    </row>
    <row r="13" customFormat="false" ht="15" hidden="false" customHeight="false" outlineLevel="0" collapsed="false">
      <c r="A13" s="5" t="n">
        <v>1841</v>
      </c>
      <c r="B13" s="6" t="n">
        <f aca="false">B12*(1+MAX(($Q$2-30)*0.0001+0.0001+$R$2,0))-K12</f>
        <v>99714.2673773944</v>
      </c>
      <c r="C13" s="6" t="n">
        <f aca="false">C12*(1+MAX(($Q$2-30)*0.0001+0.0001+$R$2,0))+K12*IF(M12=0,1,L12/M12)</f>
        <v>4429.16717698547</v>
      </c>
      <c r="D13" s="18" t="n">
        <f aca="false">D12*(1+MAX(($Q$2-30)*0.0001+0.0001+$R$2,0))+K12*IF(L12=0,1,M12/L12)</f>
        <v>405.369189622467</v>
      </c>
      <c r="E13" s="19" t="n">
        <f aca="false">C13/B13</f>
        <v>0.0444185901724789</v>
      </c>
      <c r="F13" s="19" t="n">
        <f aca="false">D13/B13</f>
        <v>0.00406530780683814</v>
      </c>
      <c r="G13" s="2" t="n">
        <v>0.01</v>
      </c>
      <c r="H13" s="8" t="n">
        <f aca="false">MIN((D13/B13)/(0.01+(J13*0.001))+I13,1)</f>
        <v>0.806530780683814</v>
      </c>
      <c r="I13" s="12" t="n">
        <v>0.4</v>
      </c>
      <c r="J13" s="18" t="n">
        <v>0</v>
      </c>
      <c r="K13" s="6" t="n">
        <f aca="false">B13/500/4*(0.3-IF($N$2="Yes",0.1,0)+VLOOKUP(G13,$V$3:$W$11,2,TRUE()))*H13*12</f>
        <v>144.760726643768</v>
      </c>
      <c r="L13" s="8" t="n">
        <f aca="false">(VLOOKUP(G13,$T$15:$U$21,2,1)+VLOOKUP($O$2,$T$26:$U$36,2,1)-0.12)*IF(E13&gt;0.041,0,1)</f>
        <v>0</v>
      </c>
      <c r="M13" s="8" t="n">
        <f aca="false">VLOOKUP(G13,$X$15:$Y$22,2,1)+VLOOKUP($P$2,$X$26:$Y$37,2,1)*IF(F13&gt;0.04,0,1)</f>
        <v>0.02</v>
      </c>
      <c r="T13" s="17" t="s">
        <v>89</v>
      </c>
      <c r="U13" s="17"/>
      <c r="V13" s="17"/>
      <c r="X13" s="17" t="s">
        <v>90</v>
      </c>
      <c r="Y13" s="17"/>
      <c r="Z13" s="17"/>
    </row>
    <row r="14" customFormat="false" ht="15" hidden="false" customHeight="false" outlineLevel="0" collapsed="false">
      <c r="A14" s="5" t="n">
        <v>1842</v>
      </c>
      <c r="B14" s="6" t="n">
        <f aca="false">B13*(1+MAX(($Q$2-30)*0.0001+0.0001+$R$2,0))-K13</f>
        <v>99629.335211177</v>
      </c>
      <c r="C14" s="6" t="n">
        <f aca="false">C13*(1+MAX(($Q$2-30)*0.0001+0.0001+$R$2,0))+K13*IF(M13=0,1,L13/M13)</f>
        <v>4431.82467729166</v>
      </c>
      <c r="D14" s="18" t="n">
        <f aca="false">D13*(1+MAX(($Q$2-30)*0.0001+0.0001+$R$2,0))+K13*IF(L13=0,1,M13/L13)</f>
        <v>550.373137780008</v>
      </c>
      <c r="E14" s="19" t="n">
        <f aca="false">C14/B14</f>
        <v>0.0444831300730637</v>
      </c>
      <c r="F14" s="19" t="n">
        <f aca="false">D14/B14</f>
        <v>0.00552420767049607</v>
      </c>
      <c r="G14" s="2" t="n">
        <v>0.01</v>
      </c>
      <c r="H14" s="8" t="n">
        <f aca="false">MIN((D14/B14)/(0.01+(J14*0.001))+I14,1)</f>
        <v>0.952420767049607</v>
      </c>
      <c r="I14" s="12" t="n">
        <v>0.4</v>
      </c>
      <c r="J14" s="18" t="n">
        <v>0</v>
      </c>
      <c r="K14" s="6" t="n">
        <f aca="false">B14/500/4*(0.3-IF($N$2="Yes",0.1,0)+VLOOKUP(G14,$V$3:$W$11,2,TRUE()))*H14*12</f>
        <v>170.800286152449</v>
      </c>
      <c r="L14" s="8" t="n">
        <f aca="false">(VLOOKUP(G14,$T$15:$U$21,2,1)+VLOOKUP($O$2,$T$26:$U$36,2,1)-0.12)*IF(E14&gt;0.041,0,1)</f>
        <v>0</v>
      </c>
      <c r="M14" s="8" t="n">
        <f aca="false">VLOOKUP(G14,$X$15:$Y$22,2,1)+VLOOKUP($P$2,$X$26:$Y$37,2,1)*IF(F14&gt;0.04,0,1)</f>
        <v>0.02</v>
      </c>
      <c r="T14" s="5" t="s">
        <v>3</v>
      </c>
      <c r="U14" s="5" t="s">
        <v>87</v>
      </c>
      <c r="V14" s="5" t="s">
        <v>88</v>
      </c>
      <c r="X14" s="5" t="s">
        <v>3</v>
      </c>
      <c r="Y14" s="5" t="s">
        <v>87</v>
      </c>
      <c r="Z14" s="5" t="s">
        <v>88</v>
      </c>
    </row>
    <row r="15" customFormat="false" ht="15" hidden="false" customHeight="false" outlineLevel="0" collapsed="false">
      <c r="A15" s="5" t="n">
        <v>1843</v>
      </c>
      <c r="B15" s="6" t="n">
        <f aca="false">B14*(1+MAX(($Q$2-30)*0.0001+0.0001+$R$2,0))-K14</f>
        <v>99518.3125261513</v>
      </c>
      <c r="C15" s="6" t="n">
        <f aca="false">C14*(1+MAX(($Q$2-30)*0.0001+0.0001+$R$2,0))+K14*IF(M14=0,1,L14/M14)</f>
        <v>4434.48377209803</v>
      </c>
      <c r="D15" s="18" t="n">
        <f aca="false">D14*(1+MAX(($Q$2-30)*0.0001+0.0001+$R$2,0))+K14*IF(L14=0,1,M14/L14)</f>
        <v>721.503647815125</v>
      </c>
      <c r="E15" s="19" t="n">
        <f aca="false">C15/B15</f>
        <v>0.0445594751310996</v>
      </c>
      <c r="F15" s="19" t="n">
        <f aca="false">D15/B15</f>
        <v>0.00724995862068632</v>
      </c>
      <c r="G15" s="2" t="n">
        <v>0.01</v>
      </c>
      <c r="H15" s="8" t="n">
        <f aca="false">MIN((D15/B15)/(0.01+(J15*0.001))+I15,1)</f>
        <v>1</v>
      </c>
      <c r="I15" s="12" t="n">
        <v>0.4</v>
      </c>
      <c r="J15" s="18" t="n">
        <v>0</v>
      </c>
      <c r="K15" s="6" t="n">
        <f aca="false">B15/500/4*(0.3-IF($N$2="Yes",0.1,0)+VLOOKUP(G15,$V$3:$W$11,2,TRUE()))*H15*12</f>
        <v>179.132962547072</v>
      </c>
      <c r="L15" s="8" t="n">
        <f aca="false">(VLOOKUP(G15,$T$15:$U$21,2,1)+VLOOKUP($O$2,$T$26:$U$36,2,1)-0.12)*IF(E15&gt;0.041,0,1)</f>
        <v>0</v>
      </c>
      <c r="M15" s="8" t="n">
        <f aca="false">VLOOKUP(G15,$X$15:$Y$22,2,1)+VLOOKUP($P$2,$X$26:$Y$37,2,1)*IF(F15&gt;0.04,0,1)</f>
        <v>0.02</v>
      </c>
      <c r="T15" s="20" t="n">
        <v>0</v>
      </c>
      <c r="U15" s="19" t="n">
        <f aca="false">SUM(V15)</f>
        <v>0</v>
      </c>
      <c r="V15" s="19" t="n">
        <v>0</v>
      </c>
      <c r="X15" s="20" t="n">
        <v>0</v>
      </c>
      <c r="Y15" s="19" t="n">
        <f aca="false">SUM(Z15)</f>
        <v>0</v>
      </c>
      <c r="Z15" s="19" t="n">
        <v>0</v>
      </c>
    </row>
    <row r="16" customFormat="false" ht="15" hidden="false" customHeight="false" outlineLevel="0" collapsed="false">
      <c r="A16" s="5" t="n">
        <v>1844</v>
      </c>
      <c r="B16" s="6" t="n">
        <f aca="false">B15*(1+MAX(($Q$2-30)*0.0001+0.0001+$R$2,0))-K15</f>
        <v>99398.8905511199</v>
      </c>
      <c r="C16" s="6" t="n">
        <f aca="false">C15*(1+MAX(($Q$2-30)*0.0001+0.0001+$R$2,0))+K15*IF(M15=0,1,L15/M15)</f>
        <v>4437.14446236129</v>
      </c>
      <c r="D16" s="18" t="n">
        <f aca="false">D15*(1+MAX(($Q$2-30)*0.0001+0.0001+$R$2,0))+K15*IF(L15=0,1,M15/L15)</f>
        <v>901.069512550886</v>
      </c>
      <c r="E16" s="19" t="n">
        <f aca="false">C16/B16</f>
        <v>0.0446397785504387</v>
      </c>
      <c r="F16" s="19" t="n">
        <f aca="false">D16/B16</f>
        <v>0.00906518682004278</v>
      </c>
      <c r="G16" s="2" t="n">
        <v>0.01</v>
      </c>
      <c r="H16" s="8" t="n">
        <f aca="false">MIN((D16/B16)/(0.01+(J16*0.001))+I16,1)</f>
        <v>1</v>
      </c>
      <c r="I16" s="12" t="n">
        <v>0.4</v>
      </c>
      <c r="J16" s="18" t="n">
        <v>0</v>
      </c>
      <c r="K16" s="6" t="n">
        <f aca="false">B16/500/4*(0.3-IF($N$2="Yes",0.1,0)+VLOOKUP(G16,$V$3:$W$11,2,TRUE()))*H16*12</f>
        <v>178.918002992016</v>
      </c>
      <c r="L16" s="8" t="n">
        <f aca="false">(VLOOKUP(G16,$T$15:$U$21,2,1)+VLOOKUP($O$2,$T$26:$U$36,2,1)-0.12)*IF(E16&gt;0.041,0,1)</f>
        <v>0</v>
      </c>
      <c r="M16" s="8" t="n">
        <f aca="false">VLOOKUP(G16,$X$15:$Y$22,2,1)+VLOOKUP($P$2,$X$26:$Y$37,2,1)*IF(F16&gt;0.04,0,1)</f>
        <v>0.02</v>
      </c>
      <c r="T16" s="21" t="n">
        <v>0.3</v>
      </c>
      <c r="U16" s="13" t="n">
        <f aca="false">SUM(V15:V16)</f>
        <v>0.005</v>
      </c>
      <c r="V16" s="8" t="n">
        <v>0.005</v>
      </c>
      <c r="X16" s="21" t="n">
        <v>0.4</v>
      </c>
      <c r="Y16" s="13" t="n">
        <f aca="false">SUM(Z15:Z16)</f>
        <v>0.0025</v>
      </c>
      <c r="Z16" s="8" t="n">
        <v>0.0025</v>
      </c>
    </row>
    <row r="17" customFormat="false" ht="15" hidden="false" customHeight="false" outlineLevel="0" collapsed="false">
      <c r="A17" s="5" t="n">
        <v>1845</v>
      </c>
      <c r="B17" s="6" t="n">
        <f aca="false">B16*(1+MAX(($Q$2-30)*0.0001+0.0001+$R$2,0))-K16</f>
        <v>99279.6118824585</v>
      </c>
      <c r="C17" s="6" t="n">
        <f aca="false">C16*(1+MAX(($Q$2-30)*0.0001+0.0001+$R$2,0))+K16*IF(M16=0,1,L16/M16)</f>
        <v>4439.80674903871</v>
      </c>
      <c r="D17" s="18" t="n">
        <f aca="false">D16*(1+MAX(($Q$2-30)*0.0001+0.0001+$R$2,0))+K16*IF(L16=0,1,M16/L16)</f>
        <v>1080.52815725043</v>
      </c>
      <c r="E17" s="19" t="n">
        <f aca="false">C17/B17</f>
        <v>0.0447202266895965</v>
      </c>
      <c r="F17" s="19" t="n">
        <f aca="false">D17/B17</f>
        <v>0.0108836863557617</v>
      </c>
      <c r="G17" s="2" t="n">
        <v>0.01</v>
      </c>
      <c r="H17" s="8" t="n">
        <f aca="false">MIN((D17/B17)/(0.01+(J17*0.001))+I17,1)</f>
        <v>1</v>
      </c>
      <c r="I17" s="12" t="n">
        <v>0.4</v>
      </c>
      <c r="J17" s="18" t="n">
        <v>0</v>
      </c>
      <c r="K17" s="6" t="n">
        <f aca="false">B17/500/4*(0.3-IF($N$2="Yes",0.1,0)+VLOOKUP(G17,$V$3:$W$11,2,TRUE()))*H17*12</f>
        <v>178.703301388425</v>
      </c>
      <c r="L17" s="8" t="n">
        <f aca="false">(VLOOKUP(G17,$T$15:$U$21,2,1)+VLOOKUP($O$2,$T$26:$U$36,2,1)-0.12)*IF(E17&gt;0.041,0,1)</f>
        <v>0</v>
      </c>
      <c r="M17" s="8" t="n">
        <f aca="false">VLOOKUP(G17,$X$15:$Y$22,2,1)+VLOOKUP($P$2,$X$26:$Y$37,2,1)*IF(F17&gt;0.04,0,1)</f>
        <v>0.02</v>
      </c>
      <c r="T17" s="21" t="n">
        <v>0.4</v>
      </c>
      <c r="U17" s="13" t="n">
        <f aca="false">SUM(V15:V17)</f>
        <v>0.0075</v>
      </c>
      <c r="V17" s="8" t="n">
        <v>0.0025</v>
      </c>
      <c r="X17" s="21" t="n">
        <v>0.5</v>
      </c>
      <c r="Y17" s="13" t="n">
        <f aca="false">SUM(Z15:Z17)</f>
        <v>0.005</v>
      </c>
      <c r="Z17" s="8" t="n">
        <v>0.0025</v>
      </c>
    </row>
    <row r="18" customFormat="false" ht="15" hidden="false" customHeight="false" outlineLevel="0" collapsed="false">
      <c r="A18" s="5" t="n">
        <v>1846</v>
      </c>
      <c r="B18" s="6" t="n">
        <f aca="false">B17*(1+MAX(($Q$2-30)*0.0001+0.0001+$R$2,0))-K17</f>
        <v>99160.4763481996</v>
      </c>
      <c r="C18" s="6" t="n">
        <f aca="false">C17*(1+MAX(($Q$2-30)*0.0001+0.0001+$R$2,0))+K17*IF(M17=0,1,L17/M17)</f>
        <v>4442.47063308813</v>
      </c>
      <c r="D18" s="18" t="n">
        <f aca="false">D17*(1+MAX(($Q$2-30)*0.0001+0.0001+$R$2,0))+K17*IF(L17=0,1,M17/L17)</f>
        <v>1259.87977553321</v>
      </c>
      <c r="E18" s="19" t="n">
        <f aca="false">C18/B18</f>
        <v>0.0448008198093815</v>
      </c>
      <c r="F18" s="19" t="n">
        <f aca="false">D18/B18</f>
        <v>0.0127054631233232</v>
      </c>
      <c r="G18" s="2" t="n">
        <v>0.01</v>
      </c>
      <c r="H18" s="8" t="n">
        <f aca="false">MIN((D18/B18)/(0.01+(J18*0.001))+I18,1)</f>
        <v>1</v>
      </c>
      <c r="I18" s="12" t="n">
        <v>0.4</v>
      </c>
      <c r="J18" s="18" t="n">
        <v>0</v>
      </c>
      <c r="K18" s="6" t="n">
        <f aca="false">B18/500/4*(0.3-IF($N$2="Yes",0.1,0)+VLOOKUP(G18,$V$3:$W$11,2,TRUE()))*H18*12</f>
        <v>178.488857426759</v>
      </c>
      <c r="L18" s="8" t="n">
        <f aca="false">(VLOOKUP(G18,$T$15:$U$21,2,1)+VLOOKUP($O$2,$T$26:$U$36,2,1)-0.12)*IF(E18&gt;0.041,0,1)</f>
        <v>0</v>
      </c>
      <c r="M18" s="8" t="n">
        <f aca="false">VLOOKUP(G18,$X$15:$Y$22,2,1)+VLOOKUP($P$2,$X$26:$Y$37,2,1)*IF(F18&gt;0.04,0,1)</f>
        <v>0.02</v>
      </c>
      <c r="T18" s="21" t="n">
        <v>0.5</v>
      </c>
      <c r="U18" s="13" t="n">
        <f aca="false">SUM(V15:V18)</f>
        <v>0.01</v>
      </c>
      <c r="V18" s="8" t="n">
        <v>0.0025</v>
      </c>
      <c r="X18" s="21" t="n">
        <v>0.6</v>
      </c>
      <c r="Y18" s="13" t="n">
        <f aca="false">SUM(Z15:Z18)</f>
        <v>0.01</v>
      </c>
      <c r="Z18" s="8" t="n">
        <v>0.005</v>
      </c>
    </row>
    <row r="19" customFormat="false" ht="15" hidden="false" customHeight="false" outlineLevel="0" collapsed="false">
      <c r="A19" s="5" t="n">
        <v>1847</v>
      </c>
      <c r="B19" s="6" t="n">
        <f aca="false">B18*(1+MAX(($Q$2-30)*0.0001+0.0001+$R$2,0))-K18</f>
        <v>99041.4837765818</v>
      </c>
      <c r="C19" s="6" t="n">
        <f aca="false">C18*(1+MAX(($Q$2-30)*0.0001+0.0001+$R$2,0))+K18*IF(M18=0,1,L18/M18)</f>
        <v>4445.13611546798</v>
      </c>
      <c r="D19" s="18" t="n">
        <f aca="false">D18*(1+MAX(($Q$2-30)*0.0001+0.0001+$R$2,0))+K18*IF(L18=0,1,M18/L18)</f>
        <v>1439.12456082529</v>
      </c>
      <c r="E19" s="19" t="n">
        <f aca="false">C19/B19</f>
        <v>0.0448815581710725</v>
      </c>
      <c r="F19" s="19" t="n">
        <f aca="false">D19/B19</f>
        <v>0.0145305230288318</v>
      </c>
      <c r="G19" s="2" t="n">
        <v>0.01</v>
      </c>
      <c r="H19" s="8" t="n">
        <f aca="false">MIN((D19/B19)/(0.01+(J19*0.001))+I19,1)</f>
        <v>1</v>
      </c>
      <c r="I19" s="12" t="n">
        <v>0.4</v>
      </c>
      <c r="J19" s="18" t="n">
        <v>0</v>
      </c>
      <c r="K19" s="6" t="n">
        <f aca="false">B19/500/4*(0.3-IF($N$2="Yes",0.1,0)+VLOOKUP(G19,$V$3:$W$11,2,TRUE()))*H19*12</f>
        <v>178.274670797847</v>
      </c>
      <c r="L19" s="8" t="n">
        <f aca="false">(VLOOKUP(G19,$T$15:$U$21,2,1)+VLOOKUP($O$2,$T$26:$U$36,2,1)-0.12)*IF(E19&gt;0.041,0,1)</f>
        <v>0</v>
      </c>
      <c r="M19" s="8" t="n">
        <f aca="false">VLOOKUP(G19,$X$15:$Y$22,2,1)+VLOOKUP($P$2,$X$26:$Y$37,2,1)*IF(F19&gt;0.04,0,1)</f>
        <v>0.02</v>
      </c>
      <c r="T19" s="21" t="n">
        <v>0.6</v>
      </c>
      <c r="U19" s="13" t="n">
        <f aca="false">SUM(V15:V19)</f>
        <v>0.0125</v>
      </c>
      <c r="V19" s="8" t="n">
        <v>0.0025</v>
      </c>
      <c r="X19" s="21" t="n">
        <v>0.7</v>
      </c>
      <c r="Y19" s="13" t="n">
        <f aca="false">SUM(Z15:Z19)</f>
        <v>0.015</v>
      </c>
      <c r="Z19" s="8" t="n">
        <v>0.005</v>
      </c>
    </row>
    <row r="20" customFormat="false" ht="15" hidden="false" customHeight="false" outlineLevel="0" collapsed="false">
      <c r="A20" s="5" t="n">
        <v>1848</v>
      </c>
      <c r="B20" s="6" t="n">
        <f aca="false">B19*(1+MAX(($Q$2-30)*0.0001+0.0001+$R$2,0))-K19</f>
        <v>98922.6339960498</v>
      </c>
      <c r="C20" s="6" t="n">
        <f aca="false">C19*(1+MAX(($Q$2-30)*0.0001+0.0001+$R$2,0))+K19*IF(M19=0,1,L19/M19)</f>
        <v>4447.80319713726</v>
      </c>
      <c r="D20" s="18" t="n">
        <f aca="false">D19*(1+MAX(($Q$2-30)*0.0001+0.0001+$R$2,0))+K19*IF(L19=0,1,M19/L19)</f>
        <v>1618.26270635963</v>
      </c>
      <c r="E20" s="19" t="n">
        <f aca="false">C20/B20</f>
        <v>0.0449624420364188</v>
      </c>
      <c r="F20" s="19" t="n">
        <f aca="false">D20/B20</f>
        <v>0.0163588719890359</v>
      </c>
      <c r="G20" s="2" t="n">
        <v>0.01</v>
      </c>
      <c r="H20" s="8" t="n">
        <f aca="false">MIN((D20/B20)/(0.01+(J20*0.001))+I20,1)</f>
        <v>1</v>
      </c>
      <c r="I20" s="12" t="n">
        <v>0.4</v>
      </c>
      <c r="J20" s="18" t="n">
        <v>0</v>
      </c>
      <c r="K20" s="6" t="n">
        <f aca="false">B20/500/4*(0.3-IF($N$2="Yes",0.1,0)+VLOOKUP(G20,$V$3:$W$11,2,TRUE()))*H20*12</f>
        <v>178.06074119289</v>
      </c>
      <c r="L20" s="8" t="n">
        <f aca="false">(VLOOKUP(G20,$T$15:$U$21,2,1)+VLOOKUP($O$2,$T$26:$U$36,2,1)-0.12)*IF(E20&gt;0.041,0,1)</f>
        <v>0</v>
      </c>
      <c r="M20" s="8" t="n">
        <f aca="false">VLOOKUP(G20,$X$15:$Y$22,2,1)+VLOOKUP($P$2,$X$26:$Y$37,2,1)*IF(F20&gt;0.04,0,1)</f>
        <v>0.02</v>
      </c>
      <c r="T20" s="21" t="n">
        <v>0.7</v>
      </c>
      <c r="U20" s="13" t="n">
        <f aca="false">SUM(V15:V20)</f>
        <v>0.015</v>
      </c>
      <c r="V20" s="8" t="n">
        <v>0.0025</v>
      </c>
      <c r="X20" s="21" t="n">
        <v>0.8</v>
      </c>
      <c r="Y20" s="13" t="n">
        <f aca="false">SUM(Z15:Z20)</f>
        <v>0.025</v>
      </c>
      <c r="Z20" s="8" t="n">
        <v>0.01</v>
      </c>
    </row>
    <row r="21" customFormat="false" ht="15" hidden="false" customHeight="false" outlineLevel="0" collapsed="false">
      <c r="A21" s="5" t="n">
        <v>1849</v>
      </c>
      <c r="B21" s="6" t="n">
        <f aca="false">B20*(1+MAX(($Q$2-30)*0.0001+0.0001+$R$2,0))-K20</f>
        <v>98803.9268352546</v>
      </c>
      <c r="C21" s="6" t="n">
        <f aca="false">C20*(1+MAX(($Q$2-30)*0.0001+0.0001+$R$2,0))+K20*IF(M20=0,1,L20/M20)</f>
        <v>4450.47187905555</v>
      </c>
      <c r="D21" s="18" t="n">
        <f aca="false">D20*(1+MAX(($Q$2-30)*0.0001+0.0001+$R$2,0))+K20*IF(L20=0,1,M20/L20)</f>
        <v>1797.29440517634</v>
      </c>
      <c r="E21" s="19" t="n">
        <f aca="false">C21/B21</f>
        <v>0.0450434716676418</v>
      </c>
      <c r="F21" s="19" t="n">
        <f aca="false">D21/B21</f>
        <v>0.0181905159313469</v>
      </c>
      <c r="G21" s="2" t="n">
        <v>0.01</v>
      </c>
      <c r="H21" s="8" t="n">
        <f aca="false">MIN((D21/B21)/(0.01+(J21*0.001))+I21,1)</f>
        <v>1</v>
      </c>
      <c r="I21" s="12" t="n">
        <v>0.4</v>
      </c>
      <c r="J21" s="18" t="n">
        <v>0</v>
      </c>
      <c r="K21" s="6" t="n">
        <f aca="false">B21/500/4*(0.3-IF($N$2="Yes",0.1,0)+VLOOKUP(G21,$V$3:$W$11,2,TRUE()))*H21*12</f>
        <v>177.847068303458</v>
      </c>
      <c r="L21" s="8" t="n">
        <f aca="false">(VLOOKUP(G21,$T$15:$U$21,2,1)+VLOOKUP($O$2,$T$26:$U$36,2,1)-0.12)*IF(E21&gt;0.041,0,1)</f>
        <v>0</v>
      </c>
      <c r="M21" s="8" t="n">
        <f aca="false">VLOOKUP(G21,$X$15:$Y$22,2,1)+VLOOKUP($P$2,$X$26:$Y$37,2,1)*IF(F21&gt;0.04,0,1)</f>
        <v>0.02</v>
      </c>
      <c r="T21" s="21" t="n">
        <v>0.8</v>
      </c>
      <c r="U21" s="13" t="n">
        <f aca="false">SUM(V15:V21)</f>
        <v>0.0175</v>
      </c>
      <c r="V21" s="8" t="n">
        <v>0.0025</v>
      </c>
      <c r="X21" s="21" t="n">
        <v>0.9</v>
      </c>
      <c r="Y21" s="13" t="n">
        <f aca="false">SUM(Z15:Z21)</f>
        <v>0.035</v>
      </c>
      <c r="Z21" s="8" t="n">
        <v>0.01</v>
      </c>
    </row>
    <row r="22" customFormat="false" ht="15" hidden="false" customHeight="false" outlineLevel="0" collapsed="false">
      <c r="A22" s="5" t="n">
        <v>1850</v>
      </c>
      <c r="B22" s="6" t="n">
        <f aca="false">B21*(1+MAX(($Q$2-30)*0.0001+0.0001+$R$2,0))-K21</f>
        <v>98685.3621230523</v>
      </c>
      <c r="C22" s="6" t="n">
        <f aca="false">C21*(1+MAX(($Q$2-30)*0.0001+0.0001+$R$2,0))+K21*IF(M21=0,1,L21/M21)</f>
        <v>4453.14216218298</v>
      </c>
      <c r="D22" s="18" t="n">
        <f aca="false">D21*(1+MAX(($Q$2-30)*0.0001+0.0001+$R$2,0))+K21*IF(L21=0,1,M21/L21)</f>
        <v>1976.2198501229</v>
      </c>
      <c r="E22" s="19" t="n">
        <f aca="false">C22/B22</f>
        <v>0.0451246473274353</v>
      </c>
      <c r="F22" s="19" t="n">
        <f aca="false">D22/B22</f>
        <v>0.0200254607938584</v>
      </c>
      <c r="G22" s="2" t="n">
        <v>0.01</v>
      </c>
      <c r="H22" s="8" t="n">
        <f aca="false">MIN((D22/B22)/(0.01+(J22*0.001))+I22,1)</f>
        <v>1</v>
      </c>
      <c r="I22" s="12" t="n">
        <v>0.4</v>
      </c>
      <c r="J22" s="18" t="n">
        <v>0</v>
      </c>
      <c r="K22" s="6" t="n">
        <f aca="false">B22/500/4*(0.3-IF($N$2="Yes",0.1,0)+VLOOKUP(G22,$V$3:$W$11,2,TRUE()))*H22*12</f>
        <v>177.633651821494</v>
      </c>
      <c r="L22" s="8" t="n">
        <f aca="false">(VLOOKUP(G22,$T$15:$U$21,2,1)+VLOOKUP($O$2,$T$26:$U$36,2,1)-0.12)*IF(E22&gt;0.041,0,1)</f>
        <v>0</v>
      </c>
      <c r="M22" s="8" t="n">
        <f aca="false">VLOOKUP(G22,$X$15:$Y$22,2,1)+VLOOKUP($P$2,$X$26:$Y$37,2,1)*IF(F22&gt;0.04,0,1)</f>
        <v>0.02</v>
      </c>
      <c r="T22" s="21"/>
      <c r="U22" s="14"/>
      <c r="V22" s="21"/>
      <c r="X22" s="21" t="n">
        <v>1</v>
      </c>
      <c r="Y22" s="13" t="n">
        <f aca="false">SUM(Z15:Z22)</f>
        <v>0.055</v>
      </c>
      <c r="Z22" s="8" t="n">
        <v>0.02</v>
      </c>
    </row>
    <row r="24" customFormat="false" ht="15" hidden="false" customHeight="false" outlineLevel="0" collapsed="false">
      <c r="T24" s="17" t="s">
        <v>91</v>
      </c>
      <c r="U24" s="17"/>
      <c r="V24" s="17"/>
      <c r="X24" s="17" t="s">
        <v>92</v>
      </c>
      <c r="Y24" s="17"/>
      <c r="Z24" s="17"/>
    </row>
    <row r="25" customFormat="false" ht="15" hidden="false" customHeight="false" outlineLevel="0" collapsed="false">
      <c r="T25" s="5" t="s">
        <v>93</v>
      </c>
      <c r="U25" s="5" t="s">
        <v>87</v>
      </c>
      <c r="V25" s="5" t="s">
        <v>88</v>
      </c>
      <c r="X25" s="5" t="s">
        <v>93</v>
      </c>
      <c r="Y25" s="5" t="s">
        <v>87</v>
      </c>
      <c r="Z25" s="5" t="s">
        <v>88</v>
      </c>
    </row>
    <row r="26" customFormat="false" ht="15" hidden="false" customHeight="false" outlineLevel="0" collapsed="false">
      <c r="T26" s="20" t="n">
        <v>0</v>
      </c>
      <c r="U26" s="19" t="n">
        <f aca="false">SUM(V26)</f>
        <v>0</v>
      </c>
      <c r="V26" s="19" t="n">
        <v>0</v>
      </c>
      <c r="X26" s="20" t="n">
        <v>0</v>
      </c>
      <c r="Y26" s="19" t="n">
        <f aca="false">SUM(Z26)</f>
        <v>0</v>
      </c>
      <c r="Z26" s="19" t="n">
        <v>0</v>
      </c>
    </row>
    <row r="27" customFormat="false" ht="15" hidden="false" customHeight="false" outlineLevel="0" collapsed="false">
      <c r="T27" s="21" t="n">
        <v>0.1</v>
      </c>
      <c r="U27" s="13" t="n">
        <f aca="false">SUM(V26:V27)</f>
        <v>0.02</v>
      </c>
      <c r="V27" s="8" t="n">
        <v>0.02</v>
      </c>
      <c r="X27" s="21" t="n">
        <v>0.1</v>
      </c>
      <c r="Y27" s="13" t="n">
        <f aca="false">SUM(Z26:Z27)</f>
        <v>0.02</v>
      </c>
      <c r="Z27" s="8" t="n">
        <v>0.02</v>
      </c>
    </row>
    <row r="28" customFormat="false" ht="15" hidden="false" customHeight="false" outlineLevel="0" collapsed="false">
      <c r="T28" s="21" t="n">
        <v>0.2</v>
      </c>
      <c r="U28" s="13" t="n">
        <f aca="false">SUM(V26:V28)</f>
        <v>0.04</v>
      </c>
      <c r="V28" s="8" t="n">
        <v>0.02</v>
      </c>
      <c r="X28" s="21" t="n">
        <v>0.2</v>
      </c>
      <c r="Y28" s="13" t="n">
        <f aca="false">SUM(Z26:Z28)</f>
        <v>0.04</v>
      </c>
      <c r="Z28" s="8" t="n">
        <v>0.02</v>
      </c>
    </row>
    <row r="29" customFormat="false" ht="15" hidden="false" customHeight="false" outlineLevel="0" collapsed="false">
      <c r="T29" s="21" t="n">
        <v>0.3</v>
      </c>
      <c r="U29" s="13" t="n">
        <f aca="false">SUM(V26:V29)</f>
        <v>0.06</v>
      </c>
      <c r="V29" s="8" t="n">
        <v>0.02</v>
      </c>
      <c r="X29" s="21" t="n">
        <v>0.3</v>
      </c>
      <c r="Y29" s="13" t="n">
        <f aca="false">SUM(Z26:Z29)</f>
        <v>0.06</v>
      </c>
      <c r="Z29" s="8" t="n">
        <v>0.02</v>
      </c>
    </row>
    <row r="30" customFormat="false" ht="15" hidden="false" customHeight="false" outlineLevel="0" collapsed="false">
      <c r="T30" s="21" t="n">
        <v>0.4</v>
      </c>
      <c r="U30" s="13" t="n">
        <f aca="false">SUM(V26:V30)</f>
        <v>0.082</v>
      </c>
      <c r="V30" s="8" t="n">
        <v>0.022</v>
      </c>
      <c r="X30" s="21" t="n">
        <v>0.4</v>
      </c>
      <c r="Y30" s="13" t="n">
        <f aca="false">SUM(Z26:Z30)</f>
        <v>0.08</v>
      </c>
      <c r="Z30" s="8" t="n">
        <v>0.02</v>
      </c>
    </row>
    <row r="31" customFormat="false" ht="15" hidden="false" customHeight="false" outlineLevel="0" collapsed="false">
      <c r="T31" s="21" t="n">
        <v>0.5</v>
      </c>
      <c r="U31" s="13" t="n">
        <f aca="false">SUM(V26:V31)</f>
        <v>0.105</v>
      </c>
      <c r="V31" s="8" t="n">
        <v>0.023</v>
      </c>
      <c r="X31" s="21" t="n">
        <v>0.5</v>
      </c>
      <c r="Y31" s="13" t="n">
        <f aca="false">SUM(Z26:Z31)</f>
        <v>0.1</v>
      </c>
      <c r="Z31" s="8" t="n">
        <v>0.02</v>
      </c>
    </row>
    <row r="32" customFormat="false" ht="15" hidden="false" customHeight="false" outlineLevel="0" collapsed="false">
      <c r="T32" s="21" t="n">
        <v>0.6</v>
      </c>
      <c r="U32" s="13" t="n">
        <f aca="false">SUM(V26:V32)</f>
        <v>0.13</v>
      </c>
      <c r="V32" s="8" t="n">
        <v>0.025</v>
      </c>
      <c r="X32" s="21" t="n">
        <v>0.6</v>
      </c>
      <c r="Y32" s="13" t="n">
        <f aca="false">SUM(Z26:Z32)</f>
        <v>0.12</v>
      </c>
      <c r="Z32" s="8" t="n">
        <v>0.02</v>
      </c>
    </row>
    <row r="33" customFormat="false" ht="15" hidden="false" customHeight="false" outlineLevel="0" collapsed="false">
      <c r="T33" s="21" t="n">
        <v>0.75</v>
      </c>
      <c r="U33" s="13" t="n">
        <f aca="false">SUM(V26:V33)</f>
        <v>0.2</v>
      </c>
      <c r="V33" s="8" t="n">
        <v>0.07</v>
      </c>
      <c r="X33" s="21" t="n">
        <v>0.7</v>
      </c>
      <c r="Y33" s="13" t="n">
        <f aca="false">SUM(Z26:Z33)</f>
        <v>0.14</v>
      </c>
      <c r="Z33" s="8" t="n">
        <v>0.02</v>
      </c>
    </row>
    <row r="34" customFormat="false" ht="15" hidden="false" customHeight="false" outlineLevel="0" collapsed="false">
      <c r="T34" s="21" t="n">
        <v>0.8</v>
      </c>
      <c r="U34" s="13" t="n">
        <f aca="false">SUM(V26:V34)</f>
        <v>0.22</v>
      </c>
      <c r="V34" s="8" t="n">
        <v>0.02</v>
      </c>
      <c r="X34" s="21" t="n">
        <v>0.75</v>
      </c>
      <c r="Y34" s="13" t="n">
        <f aca="false">SUM(Z26:Z34)</f>
        <v>0.2</v>
      </c>
      <c r="Z34" s="8" t="n">
        <v>0.06</v>
      </c>
    </row>
    <row r="35" customFormat="false" ht="15" hidden="false" customHeight="false" outlineLevel="0" collapsed="false">
      <c r="T35" s="21" t="n">
        <v>0.9</v>
      </c>
      <c r="U35" s="13" t="n">
        <f aca="false">SUM(V26:V35)</f>
        <v>0.24</v>
      </c>
      <c r="V35" s="8" t="n">
        <v>0.02</v>
      </c>
      <c r="X35" s="21" t="n">
        <v>0.8</v>
      </c>
      <c r="Y35" s="13" t="n">
        <f aca="false">SUM(Z26:Z35)</f>
        <v>0.22</v>
      </c>
      <c r="Z35" s="8" t="n">
        <v>0.02</v>
      </c>
    </row>
    <row r="36" customFormat="false" ht="15" hidden="false" customHeight="false" outlineLevel="0" collapsed="false">
      <c r="T36" s="21" t="n">
        <v>1</v>
      </c>
      <c r="U36" s="13" t="n">
        <f aca="false">SUM(V26:V36)</f>
        <v>0.26</v>
      </c>
      <c r="V36" s="8" t="n">
        <v>0.02</v>
      </c>
      <c r="X36" s="21" t="n">
        <v>0.9</v>
      </c>
      <c r="Y36" s="13" t="n">
        <f aca="false">SUM(Z26:Z36)</f>
        <v>0.24</v>
      </c>
      <c r="Z36" s="8" t="n">
        <v>0.02</v>
      </c>
    </row>
    <row r="37" customFormat="false" ht="15" hidden="false" customHeight="false" outlineLevel="0" collapsed="false">
      <c r="X37" s="21" t="n">
        <v>1</v>
      </c>
      <c r="Y37" s="13" t="n">
        <f aca="false">SUM(Z27:Z37)</f>
        <v>0.26</v>
      </c>
      <c r="Z37" s="8" t="n">
        <v>0.02</v>
      </c>
    </row>
  </sheetData>
  <mergeCells count="5">
    <mergeCell ref="V1:X1"/>
    <mergeCell ref="T13:V13"/>
    <mergeCell ref="X13:Z13"/>
    <mergeCell ref="T24:V24"/>
    <mergeCell ref="X24:Z24"/>
  </mergeCells>
  <dataValidations count="1">
    <dataValidation allowBlank="true" errorStyle="stop" operator="between" showDropDown="false" showErrorMessage="true" showInputMessage="true" sqref="N2" type="list">
      <formula1>"No,Yes"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3.42578125" defaultRowHeight="15" zeroHeight="false" outlineLevelRow="0" outlineLevelCol="0"/>
  <cols>
    <col collapsed="false" customWidth="true" hidden="false" outlineLevel="0" max="1" min="1" style="0" width="23.57"/>
    <col collapsed="false" customWidth="true" hidden="false" outlineLevel="0" max="2" min="2" style="0" width="10.42"/>
    <col collapsed="false" customWidth="true" hidden="false" outlineLevel="0" max="3" min="3" style="0" width="22.28"/>
    <col collapsed="false" customWidth="true" hidden="false" outlineLevel="0" max="4" min="4" style="0" width="12.14"/>
    <col collapsed="false" customWidth="true" hidden="false" outlineLevel="0" max="5" min="5" style="0" width="18.28"/>
    <col collapsed="false" customWidth="true" hidden="false" outlineLevel="0" max="7" min="6" style="0" width="16.29"/>
    <col collapsed="false" customWidth="true" hidden="false" outlineLevel="0" max="8" min="8" style="0" width="11.71"/>
    <col collapsed="false" customWidth="true" hidden="false" outlineLevel="0" max="9" min="9" style="0" width="14.42"/>
    <col collapsed="false" customWidth="true" hidden="false" outlineLevel="0" max="11" min="11" style="0" width="20.13"/>
    <col collapsed="false" customWidth="true" hidden="false" outlineLevel="0" max="12" min="12" style="0" width="14.57"/>
    <col collapsed="false" customWidth="true" hidden="false" outlineLevel="0" max="13" min="13" style="0" width="19.28"/>
    <col collapsed="false" customWidth="true" hidden="false" outlineLevel="0" max="14" min="14" style="0" width="16.42"/>
  </cols>
  <sheetData>
    <row r="1" customFormat="false" ht="15" hidden="false" customHeight="false" outlineLevel="0" collapsed="false">
      <c r="A1" s="5" t="s">
        <v>94</v>
      </c>
      <c r="B1" s="22" t="s">
        <v>70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84</v>
      </c>
      <c r="H1" s="5" t="s">
        <v>99</v>
      </c>
      <c r="I1" s="5" t="s">
        <v>100</v>
      </c>
      <c r="K1" s="5" t="s">
        <v>101</v>
      </c>
      <c r="L1" s="5" t="s">
        <v>102</v>
      </c>
      <c r="M1" s="5" t="s">
        <v>103</v>
      </c>
      <c r="N1" s="5" t="s">
        <v>104</v>
      </c>
      <c r="O1" s="5" t="s">
        <v>0</v>
      </c>
    </row>
    <row r="2" customFormat="false" ht="15" hidden="false" customHeight="false" outlineLevel="0" collapsed="false">
      <c r="A2" s="23" t="s">
        <v>105</v>
      </c>
      <c r="B2" s="22" t="n">
        <f aca="false">249000</f>
        <v>249000</v>
      </c>
      <c r="C2" s="5" t="n">
        <v>1</v>
      </c>
      <c r="D2" s="12" t="n">
        <v>0</v>
      </c>
      <c r="E2" s="5" t="n">
        <v>-1</v>
      </c>
      <c r="F2" s="5" t="n">
        <v>2</v>
      </c>
      <c r="G2" s="5" t="n">
        <v>32</v>
      </c>
      <c r="H2" s="24" t="n">
        <f aca="false">B2/40000*'Goods values'!$B$3*(1+D2+$L$2+MAX(($K$2+E2)*0.16,0))</f>
        <v>43.326</v>
      </c>
      <c r="I2" s="25" t="n">
        <f aca="false">H2*'Goods values'!$C$3*3*MAX($M$2-(C2*0.075),0)*$N$2+H2</f>
        <v>133.400754</v>
      </c>
      <c r="K2" s="5" t="n">
        <v>3</v>
      </c>
      <c r="L2" s="12" t="n">
        <v>1</v>
      </c>
      <c r="M2" s="12" t="n">
        <v>0.35</v>
      </c>
      <c r="N2" s="12" t="n">
        <v>0.14</v>
      </c>
      <c r="O2" s="5" t="n">
        <v>1830</v>
      </c>
    </row>
    <row r="3" customFormat="false" ht="15" hidden="false" customHeight="false" outlineLevel="0" collapsed="false">
      <c r="A3" s="23" t="s">
        <v>106</v>
      </c>
      <c r="B3" s="22" t="n">
        <v>188250</v>
      </c>
      <c r="C3" s="5" t="n">
        <v>1</v>
      </c>
      <c r="D3" s="12" t="n">
        <v>0</v>
      </c>
      <c r="E3" s="5" t="n">
        <v>-1</v>
      </c>
      <c r="F3" s="5" t="n">
        <v>6</v>
      </c>
      <c r="G3" s="5" t="n">
        <v>32</v>
      </c>
      <c r="H3" s="24" t="n">
        <f aca="false">B3/40000*'Goods values'!$B$3*(1+D3+$L$2+MAX(($K$2+E3)*0.16,0))</f>
        <v>32.7555</v>
      </c>
      <c r="I3" s="25" t="n">
        <f aca="false">H3*'Goods values'!$C$3*3*MAX($M$2-(C3*0.075),0)*$N$2+H3</f>
        <v>100.8541845</v>
      </c>
      <c r="J3" s="12"/>
      <c r="K3" s="12"/>
      <c r="L3" s="9"/>
    </row>
    <row r="4" customFormat="false" ht="15" hidden="false" customHeight="false" outlineLevel="0" collapsed="false">
      <c r="A4" s="23" t="s">
        <v>107</v>
      </c>
      <c r="B4" s="22" t="n">
        <v>78300</v>
      </c>
      <c r="C4" s="5" t="n">
        <v>1</v>
      </c>
      <c r="D4" s="12" t="n">
        <v>0</v>
      </c>
      <c r="E4" s="5" t="n">
        <v>-1</v>
      </c>
      <c r="F4" s="5" t="n">
        <v>2</v>
      </c>
      <c r="G4" s="5" t="n">
        <v>32</v>
      </c>
      <c r="H4" s="24" t="n">
        <f aca="false">B4/40000*'Goods values'!$B$3*(1+D4+$L$2+MAX(($K$2+E4)*0.16,0))</f>
        <v>13.6242</v>
      </c>
      <c r="I4" s="25" t="n">
        <f aca="false">H4*'Goods values'!$C$3*3*MAX($M$2-(C4*0.075),0)*$N$2+H4</f>
        <v>41.9489118</v>
      </c>
      <c r="J4" s="12"/>
      <c r="K4" s="12"/>
      <c r="L4" s="9"/>
    </row>
    <row r="5" customFormat="false" ht="15" hidden="false" customHeight="false" outlineLevel="0" collapsed="false">
      <c r="A5" s="23" t="s">
        <v>108</v>
      </c>
      <c r="B5" s="22" t="n">
        <v>83125</v>
      </c>
      <c r="C5" s="5" t="n">
        <v>1</v>
      </c>
      <c r="D5" s="12" t="n">
        <v>0</v>
      </c>
      <c r="E5" s="5" t="n">
        <v>-2</v>
      </c>
      <c r="F5" s="5" t="n">
        <v>6</v>
      </c>
      <c r="G5" s="5" t="n">
        <v>32</v>
      </c>
      <c r="H5" s="24" t="n">
        <f aca="false">B5/40000*'Goods values'!$B$3*(1+D5+$L$2+MAX(($K$2+E5)*0.16,0))</f>
        <v>13.46625</v>
      </c>
      <c r="I5" s="25" t="n">
        <f aca="false">H5*'Goods values'!$C$3*3*MAX($M$2-(C5*0.075),0)*$N$2+H5</f>
        <v>41.46258375</v>
      </c>
      <c r="J5" s="12"/>
      <c r="K5" s="12"/>
    </row>
    <row r="6" customFormat="false" ht="15" hidden="false" customHeight="false" outlineLevel="0" collapsed="false">
      <c r="A6" s="23" t="s">
        <v>109</v>
      </c>
      <c r="B6" s="22" t="n">
        <f aca="false">53731+10486</f>
        <v>64217</v>
      </c>
      <c r="C6" s="5" t="n">
        <v>1</v>
      </c>
      <c r="D6" s="12" t="n">
        <v>0</v>
      </c>
      <c r="E6" s="5" t="n">
        <v>-2</v>
      </c>
      <c r="F6" s="5" t="n">
        <v>6</v>
      </c>
      <c r="G6" s="5" t="n">
        <v>30</v>
      </c>
      <c r="H6" s="24" t="n">
        <f aca="false">B6/40000*'Goods values'!$B$3*(1+D6+$L$2+MAX(($K$2+E6)*0.16,0))</f>
        <v>10.403154</v>
      </c>
      <c r="I6" s="25" t="n">
        <f aca="false">H6*'Goods values'!$C$3*3*MAX($M$2-(C6*0.075),0)*$N$2+H6</f>
        <v>32.031311166</v>
      </c>
      <c r="J6" s="12"/>
      <c r="K6" s="12"/>
    </row>
    <row r="7" customFormat="false" ht="15" hidden="false" customHeight="false" outlineLevel="0" collapsed="false">
      <c r="A7" s="23" t="s">
        <v>110</v>
      </c>
      <c r="B7" s="22" t="n">
        <f aca="false">23725+19000</f>
        <v>42725</v>
      </c>
      <c r="C7" s="5" t="n">
        <v>1</v>
      </c>
      <c r="D7" s="12" t="n">
        <v>0</v>
      </c>
      <c r="E7" s="5" t="n">
        <v>-2</v>
      </c>
      <c r="F7" s="5" t="n">
        <v>6</v>
      </c>
      <c r="G7" s="5" t="n">
        <v>40</v>
      </c>
      <c r="H7" s="24" t="n">
        <f aca="false">B7/40000*'Goods values'!$B$3*(1+D7+$L$2+MAX(($K$2+E7)*0.16,0))</f>
        <v>6.92145</v>
      </c>
      <c r="I7" s="25" t="n">
        <f aca="false">H7*'Goods values'!$C$3*3*MAX($M$2-(C7*0.075),0)*$N$2+H7</f>
        <v>21.31114455</v>
      </c>
      <c r="J7" s="12"/>
      <c r="K7" s="12"/>
      <c r="L7" s="9"/>
    </row>
    <row r="8" customFormat="false" ht="15" hidden="false" customHeight="false" outlineLevel="0" collapsed="false">
      <c r="A8" s="23" t="s">
        <v>111</v>
      </c>
      <c r="B8" s="22" t="n">
        <v>34540</v>
      </c>
      <c r="C8" s="5" t="n">
        <v>1</v>
      </c>
      <c r="D8" s="12" t="n">
        <v>0</v>
      </c>
      <c r="E8" s="5" t="n">
        <v>0</v>
      </c>
      <c r="F8" s="5" t="n">
        <v>6</v>
      </c>
      <c r="G8" s="5" t="n">
        <v>32</v>
      </c>
      <c r="H8" s="24" t="n">
        <f aca="false">B8/40000*'Goods values'!$B$3*(1+D8+$L$2+MAX(($K$2+E8)*0.16,0))</f>
        <v>6.42444</v>
      </c>
      <c r="I8" s="25" t="n">
        <f aca="false">H8*'Goods values'!$C$3*3*MAX($M$2-(C8*0.075),0)*$N$2+H8</f>
        <v>19.78085076</v>
      </c>
      <c r="J8" s="12"/>
      <c r="K8" s="12"/>
      <c r="L8" s="9"/>
    </row>
    <row r="9" customFormat="false" ht="15" hidden="false" customHeight="false" outlineLevel="0" collapsed="false">
      <c r="A9" s="23" t="s">
        <v>112</v>
      </c>
      <c r="B9" s="22" t="n">
        <v>25000</v>
      </c>
      <c r="C9" s="5" t="n">
        <v>1</v>
      </c>
      <c r="D9" s="12" t="n">
        <v>0</v>
      </c>
      <c r="E9" s="5" t="n">
        <v>-1</v>
      </c>
      <c r="F9" s="5" t="n">
        <v>3</v>
      </c>
      <c r="G9" s="5" t="n">
        <v>32</v>
      </c>
      <c r="H9" s="24" t="n">
        <f aca="false">B9/40000*'Goods values'!$B$3*(1+D9+$L$2+MAX(($K$2+E9)*0.16,0))</f>
        <v>4.35</v>
      </c>
      <c r="I9" s="25" t="n">
        <f aca="false">H9*'Goods values'!$C$3*3*MAX($M$2-(C9*0.075),0)*$N$2+H9</f>
        <v>13.39365</v>
      </c>
      <c r="J9" s="12"/>
      <c r="K9" s="12"/>
      <c r="L9" s="9"/>
    </row>
    <row r="10" customFormat="false" ht="15" hidden="false" customHeight="false" outlineLevel="0" collapsed="false">
      <c r="A10" s="23" t="s">
        <v>113</v>
      </c>
      <c r="B10" s="22" t="n">
        <v>22231</v>
      </c>
      <c r="C10" s="5" t="n">
        <v>1</v>
      </c>
      <c r="D10" s="12" t="n">
        <v>0</v>
      </c>
      <c r="E10" s="5" t="n">
        <v>0</v>
      </c>
      <c r="F10" s="5" t="n">
        <v>6</v>
      </c>
      <c r="G10" s="5" t="n">
        <v>32</v>
      </c>
      <c r="H10" s="24" t="n">
        <f aca="false">B10/40000*'Goods values'!$B$3*(1+D10+$L$2+MAX(($K$2+E10)*0.16,0))</f>
        <v>4.134966</v>
      </c>
      <c r="I10" s="25" t="n">
        <f aca="false">H10*'Goods values'!$C$3*3*MAX($M$2-(C10*0.075),0)*$N$2+H10</f>
        <v>12.731560314</v>
      </c>
      <c r="J10" s="12"/>
      <c r="K10" s="12"/>
      <c r="L10" s="9"/>
    </row>
    <row r="11" customFormat="false" ht="15" hidden="false" customHeight="false" outlineLevel="0" collapsed="false">
      <c r="A11" s="23" t="s">
        <v>114</v>
      </c>
      <c r="B11" s="22" t="n">
        <f aca="false">14800+5500</f>
        <v>20300</v>
      </c>
      <c r="C11" s="5" t="n">
        <v>1</v>
      </c>
      <c r="D11" s="12" t="n">
        <v>0</v>
      </c>
      <c r="E11" s="5" t="n">
        <v>-1</v>
      </c>
      <c r="F11" s="5" t="n">
        <v>6</v>
      </c>
      <c r="G11" s="5" t="n">
        <v>35</v>
      </c>
      <c r="H11" s="24" t="n">
        <f aca="false">B11/40000*'Goods values'!$B$3*(1+D11+$L$2+MAX(($K$2+E11)*0.16,0))</f>
        <v>3.5322</v>
      </c>
      <c r="I11" s="25" t="n">
        <f aca="false">H11*'Goods values'!$C$3*3*MAX($M$2-(C11*0.075),0)*$N$2+H11</f>
        <v>10.8756438</v>
      </c>
      <c r="J11" s="12"/>
      <c r="K11" s="12"/>
      <c r="L11" s="9"/>
    </row>
    <row r="12" customFormat="false" ht="15" hidden="false" customHeight="false" outlineLevel="0" collapsed="false">
      <c r="A12" s="23" t="s">
        <v>115</v>
      </c>
      <c r="B12" s="22" t="n">
        <f aca="false">18400+1750</f>
        <v>20150</v>
      </c>
      <c r="C12" s="5" t="n">
        <v>1</v>
      </c>
      <c r="D12" s="12" t="n">
        <v>0</v>
      </c>
      <c r="E12" s="5" t="n">
        <v>-2</v>
      </c>
      <c r="F12" s="5" t="n">
        <v>6</v>
      </c>
      <c r="G12" s="5" t="n">
        <v>30</v>
      </c>
      <c r="H12" s="24" t="n">
        <f aca="false">B12/40000*'Goods values'!$B$3*(1+D12+$L$2+MAX(($K$2+E12)*0.16,0))</f>
        <v>3.2643</v>
      </c>
      <c r="I12" s="25" t="n">
        <f aca="false">H12*'Goods values'!$C$3*3*MAX($M$2-(C12*0.075),0)*$N$2+H12</f>
        <v>10.0507797</v>
      </c>
      <c r="J12" s="12"/>
      <c r="K12" s="12"/>
      <c r="L12" s="9"/>
    </row>
    <row r="13" customFormat="false" ht="15" hidden="false" customHeight="false" outlineLevel="0" collapsed="false">
      <c r="A13" s="23" t="s">
        <v>116</v>
      </c>
      <c r="B13" s="22" t="n">
        <v>12150</v>
      </c>
      <c r="C13" s="5" t="n">
        <v>1</v>
      </c>
      <c r="D13" s="12" t="n">
        <v>0</v>
      </c>
      <c r="E13" s="5" t="n">
        <v>-2</v>
      </c>
      <c r="F13" s="5" t="n">
        <v>2</v>
      </c>
      <c r="G13" s="5" t="n">
        <v>32</v>
      </c>
      <c r="H13" s="24" t="n">
        <f aca="false">B13/40000*'Goods values'!$B$3*(1+D13+$L$2+MAX(($K$2+E13)*0.16,0))</f>
        <v>1.9683</v>
      </c>
      <c r="I13" s="25" t="n">
        <f aca="false">H13*'Goods values'!$C$3*3*MAX($M$2-(C13*0.075),0)*$N$2+H13</f>
        <v>6.0603957</v>
      </c>
      <c r="J13" s="12"/>
      <c r="K13" s="12"/>
      <c r="L13" s="9"/>
    </row>
    <row r="14" customFormat="false" ht="15" hidden="false" customHeight="false" outlineLevel="0" collapsed="false">
      <c r="A14" s="23" t="s">
        <v>117</v>
      </c>
      <c r="B14" s="22" t="n">
        <f aca="false">6580+450</f>
        <v>7030</v>
      </c>
      <c r="C14" s="5" t="n">
        <v>1</v>
      </c>
      <c r="D14" s="12" t="n">
        <v>0.25</v>
      </c>
      <c r="E14" s="5" t="n">
        <v>0</v>
      </c>
      <c r="F14" s="5" t="n">
        <v>3</v>
      </c>
      <c r="G14" s="5" t="n">
        <v>35</v>
      </c>
      <c r="H14" s="24" t="n">
        <f aca="false">B14/40000*'Goods values'!$B$3*(1+D14+$L$2+MAX(($K$2+E14)*0.16,0))</f>
        <v>1.4393925</v>
      </c>
      <c r="I14" s="25" t="n">
        <f aca="false">H14*'Goods values'!$C$3*3*MAX($M$2-(C14*0.075),0)*$N$2+H14</f>
        <v>4.4318895075</v>
      </c>
      <c r="J14" s="12"/>
      <c r="K14" s="12"/>
      <c r="L14" s="9"/>
    </row>
    <row r="15" customFormat="false" ht="15" hidden="false" customHeight="false" outlineLevel="0" collapsed="false">
      <c r="A15" s="23" t="s">
        <v>118</v>
      </c>
      <c r="B15" s="22" t="n">
        <v>7562</v>
      </c>
      <c r="C15" s="5" t="n">
        <v>1</v>
      </c>
      <c r="D15" s="12" t="n">
        <v>0</v>
      </c>
      <c r="E15" s="5" t="n">
        <v>-2</v>
      </c>
      <c r="F15" s="5" t="n">
        <v>6</v>
      </c>
      <c r="G15" s="5" t="n">
        <v>20</v>
      </c>
      <c r="H15" s="24" t="n">
        <f aca="false">B15/40000*'Goods values'!$B$3*(1+D15+$L$2+MAX(($K$2+E15)*0.16,0))</f>
        <v>1.225044</v>
      </c>
      <c r="I15" s="25" t="n">
        <f aca="false">H15*'Goods values'!$C$3*3*MAX($M$2-(C15*0.075),0)*$N$2+H15</f>
        <v>3.771910476</v>
      </c>
      <c r="J15" s="12"/>
      <c r="K15" s="12"/>
      <c r="L15" s="9"/>
    </row>
    <row r="16" customFormat="false" ht="15" hidden="false" customHeight="false" outlineLevel="0" collapsed="false">
      <c r="A16" s="23" t="s">
        <v>119</v>
      </c>
      <c r="B16" s="22" t="n">
        <v>6375</v>
      </c>
      <c r="C16" s="5" t="n">
        <v>1</v>
      </c>
      <c r="D16" s="12" t="n">
        <v>0</v>
      </c>
      <c r="E16" s="5" t="n">
        <v>0</v>
      </c>
      <c r="F16" s="5" t="n">
        <v>6</v>
      </c>
      <c r="G16" s="5" t="n">
        <v>32</v>
      </c>
      <c r="H16" s="24" t="n">
        <f aca="false">B16/40000*'Goods values'!$B$3*(1+D16+$L$2+MAX(($K$2+E16)*0.16,0))</f>
        <v>1.18575</v>
      </c>
      <c r="I16" s="25" t="n">
        <f aca="false">H16*'Goods values'!$C$3*3*MAX($M$2-(C16*0.075),0)*$N$2+H16</f>
        <v>3.65092425</v>
      </c>
      <c r="J16" s="12"/>
      <c r="K16" s="12"/>
      <c r="L16" s="9"/>
    </row>
    <row r="17" customFormat="false" ht="15" hidden="false" customHeight="false" outlineLevel="0" collapsed="false">
      <c r="A17" s="23" t="s">
        <v>120</v>
      </c>
      <c r="B17" s="22" t="n">
        <v>5475</v>
      </c>
      <c r="C17" s="5" t="n">
        <v>1</v>
      </c>
      <c r="D17" s="12" t="n">
        <v>0</v>
      </c>
      <c r="E17" s="5" t="n">
        <v>0</v>
      </c>
      <c r="F17" s="5" t="n">
        <v>6</v>
      </c>
      <c r="G17" s="5" t="n">
        <v>32</v>
      </c>
      <c r="H17" s="24" t="n">
        <f aca="false">B17/40000*'Goods values'!$B$3*(1+D17+$L$2+MAX(($K$2+E17)*0.16,0))</f>
        <v>1.01835</v>
      </c>
      <c r="I17" s="25" t="n">
        <f aca="false">H17*'Goods values'!$C$3*3*MAX($M$2-(C17*0.075),0)*$N$2+H17</f>
        <v>3.13549965</v>
      </c>
      <c r="J17" s="12"/>
      <c r="K17" s="12"/>
      <c r="L17" s="9"/>
    </row>
    <row r="18" customFormat="false" ht="15" hidden="false" customHeight="false" outlineLevel="0" collapsed="false">
      <c r="A18" s="23" t="s">
        <v>121</v>
      </c>
      <c r="B18" s="22" t="n">
        <f aca="false">5375+500</f>
        <v>5875</v>
      </c>
      <c r="C18" s="5" t="n">
        <v>1</v>
      </c>
      <c r="D18" s="12" t="n">
        <v>0</v>
      </c>
      <c r="E18" s="5" t="n">
        <v>-3</v>
      </c>
      <c r="F18" s="5" t="n">
        <v>6</v>
      </c>
      <c r="G18" s="5" t="n">
        <v>31</v>
      </c>
      <c r="H18" s="24" t="n">
        <f aca="false">B18/40000*'Goods values'!$B$3*(1+D18+$L$2+MAX(($K$2+E18)*0.16,0))</f>
        <v>0.88125</v>
      </c>
      <c r="I18" s="25" t="n">
        <f aca="false">H18*'Goods values'!$C$3*3*MAX($M$2-(C18*0.075),0)*$N$2+H18</f>
        <v>2.71336875</v>
      </c>
      <c r="J18" s="12"/>
      <c r="K18" s="12"/>
      <c r="L18" s="9"/>
    </row>
    <row r="19" customFormat="false" ht="15" hidden="false" customHeight="false" outlineLevel="0" collapsed="false">
      <c r="A19" s="23" t="s">
        <v>122</v>
      </c>
      <c r="B19" s="22" t="n">
        <v>5000</v>
      </c>
      <c r="C19" s="5" t="n">
        <v>1</v>
      </c>
      <c r="D19" s="12" t="n">
        <v>0</v>
      </c>
      <c r="E19" s="5" t="n">
        <v>-2</v>
      </c>
      <c r="F19" s="5" t="n">
        <v>6</v>
      </c>
      <c r="G19" s="5" t="n">
        <v>31</v>
      </c>
      <c r="H19" s="24" t="n">
        <f aca="false">B19/40000*'Goods values'!$B$3*(1+D19+$L$2+MAX(($K$2+E19)*0.16,0))</f>
        <v>0.81</v>
      </c>
      <c r="I19" s="25" t="n">
        <f aca="false">H19*'Goods values'!$C$3*3*MAX($M$2-(C19*0.075),0)*$N$2+H19</f>
        <v>2.49399</v>
      </c>
      <c r="J19" s="12"/>
      <c r="K19" s="12"/>
      <c r="L19" s="9"/>
    </row>
    <row r="20" customFormat="false" ht="15" hidden="false" customHeight="false" outlineLevel="0" collapsed="false">
      <c r="A20" s="23" t="s">
        <v>123</v>
      </c>
      <c r="B20" s="22" t="n">
        <v>4325</v>
      </c>
      <c r="C20" s="5" t="n">
        <v>1</v>
      </c>
      <c r="D20" s="12" t="n">
        <v>0</v>
      </c>
      <c r="E20" s="5" t="n">
        <v>-3</v>
      </c>
      <c r="F20" s="5" t="n">
        <v>6</v>
      </c>
      <c r="G20" s="5" t="n">
        <v>30</v>
      </c>
      <c r="H20" s="24" t="n">
        <f aca="false">B20/40000*'Goods values'!$B$3*(1+D20+$L$2+MAX(($K$2+E20)*0.16,0))</f>
        <v>0.64875</v>
      </c>
      <c r="I20" s="25" t="n">
        <f aca="false">H20*'Goods values'!$C$3*3*MAX($M$2-(C20*0.075),0)*$N$2+H20</f>
        <v>1.99750125</v>
      </c>
      <c r="J20" s="12"/>
      <c r="K20" s="12"/>
      <c r="L20" s="9"/>
    </row>
    <row r="21" customFormat="false" ht="15" hidden="false" customHeight="false" outlineLevel="0" collapsed="false">
      <c r="A21" s="23" t="s">
        <v>124</v>
      </c>
      <c r="B21" s="22" t="n">
        <v>2750</v>
      </c>
      <c r="C21" s="5" t="n">
        <v>1</v>
      </c>
      <c r="D21" s="12" t="n">
        <v>0.25</v>
      </c>
      <c r="E21" s="5" t="n">
        <v>0</v>
      </c>
      <c r="F21" s="5" t="n">
        <v>3</v>
      </c>
      <c r="G21" s="5" t="n">
        <v>32</v>
      </c>
      <c r="H21" s="24" t="n">
        <f aca="false">B21/40000*'Goods values'!$B$3*(1+D21+$L$2+MAX(($K$2+E21)*0.16,0))</f>
        <v>0.5630625</v>
      </c>
      <c r="I21" s="25" t="n">
        <f aca="false">H21*'Goods values'!$C$3*3*MAX($M$2-(C21*0.075),0)*$N$2+H21</f>
        <v>1.7336694375</v>
      </c>
      <c r="J21" s="12"/>
      <c r="K21" s="12"/>
      <c r="L21" s="9"/>
    </row>
    <row r="22" customFormat="false" ht="15" hidden="false" customHeight="false" outlineLevel="0" collapsed="false">
      <c r="A22" s="23" t="s">
        <v>125</v>
      </c>
      <c r="B22" s="22" t="n">
        <v>3263</v>
      </c>
      <c r="C22" s="5" t="n">
        <v>1</v>
      </c>
      <c r="D22" s="12" t="n">
        <v>0</v>
      </c>
      <c r="E22" s="5" t="n">
        <v>-2</v>
      </c>
      <c r="F22" s="5" t="n">
        <v>6</v>
      </c>
      <c r="G22" s="5" t="n">
        <v>31</v>
      </c>
      <c r="H22" s="24" t="n">
        <f aca="false">B22/40000*'Goods values'!$B$3*(1+D22+$L$2+MAX(($K$2+E22)*0.16,0))</f>
        <v>0.528606</v>
      </c>
      <c r="I22" s="25" t="n">
        <f aca="false">H22*'Goods values'!$C$3*3*MAX($M$2-(C22*0.075),0)*$N$2+H22</f>
        <v>1.627577874</v>
      </c>
      <c r="J22" s="12"/>
      <c r="K22" s="12"/>
      <c r="L22" s="9"/>
    </row>
    <row r="23" customFormat="false" ht="15" hidden="false" customHeight="false" outlineLevel="0" collapsed="false">
      <c r="A23" s="23" t="s">
        <v>126</v>
      </c>
      <c r="B23" s="22" t="n">
        <v>1950</v>
      </c>
      <c r="C23" s="5" t="n">
        <v>1</v>
      </c>
      <c r="D23" s="12" t="n">
        <v>0</v>
      </c>
      <c r="E23" s="5" t="n">
        <v>-2</v>
      </c>
      <c r="F23" s="5" t="n">
        <v>6</v>
      </c>
      <c r="G23" s="5" t="n">
        <v>35</v>
      </c>
      <c r="H23" s="24" t="n">
        <f aca="false">B23/40000*'Goods values'!$B$3*(1+D23+$L$2+MAX(($K$2+E23)*0.16,0))</f>
        <v>0.3159</v>
      </c>
      <c r="I23" s="25" t="n">
        <f aca="false">H23*'Goods values'!$C$3*3*MAX($M$2-(C23*0.075),0)*$N$2+H23</f>
        <v>0.9726561</v>
      </c>
      <c r="J23" s="12"/>
      <c r="K23" s="12"/>
      <c r="L23" s="9"/>
    </row>
    <row r="24" customFormat="false" ht="15" hidden="false" customHeight="false" outlineLevel="0" collapsed="false">
      <c r="A24" s="23" t="s">
        <v>127</v>
      </c>
      <c r="B24" s="22" t="n">
        <f aca="false">1250+200</f>
        <v>1450</v>
      </c>
      <c r="C24" s="5" t="n">
        <v>1</v>
      </c>
      <c r="D24" s="12" t="n">
        <v>0</v>
      </c>
      <c r="E24" s="5" t="n">
        <v>-2</v>
      </c>
      <c r="F24" s="5" t="n">
        <v>6</v>
      </c>
      <c r="G24" s="5" t="n">
        <v>35</v>
      </c>
      <c r="H24" s="24" t="n">
        <f aca="false">B24/40000*'Goods values'!$B$3*(1+D24+$L$2+MAX(($K$2+E24)*0.16,0))</f>
        <v>0.2349</v>
      </c>
      <c r="I24" s="25" t="n">
        <f aca="false">H24*'Goods values'!$C$3*3*MAX($M$2-(C24*0.075),0)*$N$2+H24</f>
        <v>0.7232571</v>
      </c>
      <c r="J24" s="12"/>
      <c r="K24" s="12"/>
      <c r="L24" s="9"/>
    </row>
    <row r="25" customFormat="false" ht="15" hidden="false" customHeight="false" outlineLevel="0" collapsed="false">
      <c r="A25" s="23" t="s">
        <v>128</v>
      </c>
      <c r="B25" s="22" t="n">
        <v>1250</v>
      </c>
      <c r="C25" s="5" t="n">
        <v>1</v>
      </c>
      <c r="D25" s="12" t="n">
        <v>0</v>
      </c>
      <c r="E25" s="5" t="n">
        <v>-2</v>
      </c>
      <c r="F25" s="5" t="n">
        <v>6</v>
      </c>
      <c r="G25" s="5" t="n">
        <v>35</v>
      </c>
      <c r="H25" s="24" t="n">
        <f aca="false">B25/40000*'Goods values'!$B$3*(1+D25+$L$2+MAX(($K$2+E25)*0.16,0))</f>
        <v>0.2025</v>
      </c>
      <c r="I25" s="25" t="n">
        <f aca="false">H25*'Goods values'!$C$3*3*MAX($M$2-(C25*0.075),0)*$N$2+H25</f>
        <v>0.6234975</v>
      </c>
      <c r="J25" s="12"/>
      <c r="K25" s="12"/>
      <c r="L25" s="9"/>
    </row>
    <row r="26" customFormat="false" ht="15" hidden="false" customHeight="false" outlineLevel="0" collapsed="false">
      <c r="A26" s="23" t="s">
        <v>129</v>
      </c>
      <c r="B26" s="22" t="n">
        <v>555</v>
      </c>
      <c r="C26" s="5" t="n">
        <v>1</v>
      </c>
      <c r="D26" s="12" t="n">
        <v>0.25</v>
      </c>
      <c r="E26" s="5" t="n">
        <v>0</v>
      </c>
      <c r="F26" s="5" t="n">
        <v>6</v>
      </c>
      <c r="G26" s="5" t="n">
        <v>15</v>
      </c>
      <c r="H26" s="24" t="n">
        <f aca="false">B26/40000*'Goods values'!$B$3*(1+D26+$L$2+MAX(($K$2+E26)*0.16,0))</f>
        <v>0.11363625</v>
      </c>
      <c r="I26" s="25" t="n">
        <f aca="false">H26*'Goods values'!$C$3*3*MAX($M$2-(C26*0.075),0)*$N$2+H26</f>
        <v>0.34988601375</v>
      </c>
      <c r="J26" s="12"/>
      <c r="K26" s="12"/>
      <c r="L26" s="9"/>
    </row>
    <row r="27" customFormat="false" ht="15" hidden="false" customHeight="false" outlineLevel="0" collapsed="false">
      <c r="A27" s="23" t="s">
        <v>130</v>
      </c>
      <c r="B27" s="22" t="n">
        <v>35</v>
      </c>
      <c r="C27" s="5" t="n">
        <v>1</v>
      </c>
      <c r="D27" s="12" t="n">
        <v>0</v>
      </c>
      <c r="E27" s="5" t="n">
        <v>-2</v>
      </c>
      <c r="F27" s="5" t="n">
        <v>6</v>
      </c>
      <c r="G27" s="5" t="n">
        <v>10</v>
      </c>
      <c r="H27" s="24" t="n">
        <f aca="false">B27/40000*'Goods values'!$B$3*(1+D27+$L$2+MAX(($K$2+E27)*0.16,0))</f>
        <v>0.00567</v>
      </c>
      <c r="I27" s="25" t="n">
        <f aca="false">H27*'Goods values'!$C$3*3*MAX($M$2-(C27*0.075),0)*$N$2+H27</f>
        <v>0.01745793</v>
      </c>
      <c r="J27" s="12"/>
      <c r="K27" s="12"/>
      <c r="L27" s="9"/>
    </row>
    <row r="29" customFormat="false" ht="15" hidden="false" customHeight="false" outlineLevel="0" collapsed="false">
      <c r="A29" s="26" t="s">
        <v>131</v>
      </c>
      <c r="B29" s="22" t="n">
        <f aca="false">632620+146420</f>
        <v>779040</v>
      </c>
      <c r="C29" s="5" t="n">
        <v>1</v>
      </c>
      <c r="D29" s="12" t="n">
        <v>0</v>
      </c>
      <c r="E29" s="5" t="n">
        <v>-3</v>
      </c>
      <c r="F29" s="5" t="n">
        <v>3</v>
      </c>
      <c r="H29" s="24" t="n">
        <f aca="false">B29/40000*'Goods values'!$B$3*(1+D29+MAX(($K$2+E29)*0.16,0))</f>
        <v>58.428</v>
      </c>
      <c r="I29" s="25" t="n">
        <f aca="false">H29*'Goods values'!$C$24*MAX($M$2-(C29*0.075),0)*$N$2</f>
        <v>3.374217</v>
      </c>
    </row>
    <row r="30" customFormat="false" ht="15" hidden="false" customHeight="false" outlineLevel="0" collapsed="false">
      <c r="A30" s="26" t="s">
        <v>132</v>
      </c>
      <c r="B30" s="22" t="n">
        <v>48171</v>
      </c>
      <c r="C30" s="5" t="n">
        <v>1</v>
      </c>
      <c r="D30" s="12" t="n">
        <v>0</v>
      </c>
      <c r="E30" s="5" t="n">
        <v>0</v>
      </c>
      <c r="F30" s="5" t="n">
        <v>6</v>
      </c>
      <c r="H30" s="24" t="n">
        <f aca="false">B30/40000*'Goods values'!$B$3*(1+D30+MAX(($K$2+E30)*0.16,0))</f>
        <v>5.346981</v>
      </c>
      <c r="I30" s="25" t="n">
        <f aca="false">H30*'Goods values'!$C$24*MAX($M$2-(C30*0.075),0)*$N$2</f>
        <v>0.30878815275</v>
      </c>
    </row>
    <row r="31" customFormat="false" ht="15" hidden="false" customHeight="false" outlineLevel="0" collapsed="false">
      <c r="A31" s="26" t="s">
        <v>133</v>
      </c>
      <c r="B31" s="22" t="n">
        <v>42720</v>
      </c>
      <c r="C31" s="5" t="n">
        <v>1</v>
      </c>
      <c r="D31" s="12" t="n">
        <v>0</v>
      </c>
      <c r="E31" s="5" t="n">
        <v>-2</v>
      </c>
      <c r="F31" s="5" t="n">
        <v>6</v>
      </c>
      <c r="H31" s="24" t="n">
        <f aca="false">B31/40000*'Goods values'!$B$3*(1+D31+MAX(($K$2+E31)*0.16,0))</f>
        <v>3.71664</v>
      </c>
      <c r="I31" s="25" t="n">
        <f aca="false">H31*'Goods values'!$C$24*MAX($M$2-(C31*0.075),0)*$N$2</f>
        <v>0.21463596</v>
      </c>
    </row>
    <row r="32" customFormat="false" ht="15" hidden="false" customHeight="false" outlineLevel="0" collapsed="false">
      <c r="A32" s="26" t="s">
        <v>134</v>
      </c>
      <c r="B32" s="22" t="n">
        <v>21165</v>
      </c>
      <c r="C32" s="5" t="n">
        <v>1</v>
      </c>
      <c r="D32" s="12" t="n">
        <v>0</v>
      </c>
      <c r="E32" s="5" t="n">
        <v>-2</v>
      </c>
      <c r="F32" s="5" t="n">
        <v>3</v>
      </c>
      <c r="H32" s="24" t="n">
        <f aca="false">B32/40000*'Goods values'!$B$3*(1+D32+MAX(($K$2+E32)*0.16,0))</f>
        <v>1.841355</v>
      </c>
      <c r="I32" s="25" t="n">
        <f aca="false">H32*'Goods values'!$C$24*MAX($M$2-(C32*0.075),0)*$N$2</f>
        <v>0.10633825125</v>
      </c>
    </row>
    <row r="33" customFormat="false" ht="15" hidden="false" customHeight="false" outlineLevel="0" collapsed="false">
      <c r="A33" s="26" t="s">
        <v>135</v>
      </c>
      <c r="B33" s="22" t="n">
        <v>20505</v>
      </c>
      <c r="C33" s="5" t="n">
        <v>1</v>
      </c>
      <c r="D33" s="12" t="n">
        <v>0</v>
      </c>
      <c r="E33" s="5" t="n">
        <v>-2</v>
      </c>
      <c r="F33" s="5" t="n">
        <v>3</v>
      </c>
      <c r="H33" s="24" t="n">
        <f aca="false">B33/40000*'Goods values'!$B$3*(1+D33+MAX(($K$2+E33)*0.16,0))</f>
        <v>1.783935</v>
      </c>
      <c r="I33" s="25" t="n">
        <f aca="false">H33*'Goods values'!$C$24*MAX($M$2-(C33*0.075),0)*$N$2</f>
        <v>0.10302224625</v>
      </c>
    </row>
    <row r="34" customFormat="false" ht="15" hidden="false" customHeight="false" outlineLevel="0" collapsed="false">
      <c r="A34" s="26" t="s">
        <v>136</v>
      </c>
      <c r="B34" s="22" t="n">
        <f aca="false">243850+397100+16000+41000</f>
        <v>697950</v>
      </c>
      <c r="C34" s="5" t="n">
        <v>5</v>
      </c>
      <c r="D34" s="12" t="n">
        <v>0.01</v>
      </c>
      <c r="E34" s="5" t="n">
        <f aca="false">-11/5</f>
        <v>-2.2</v>
      </c>
      <c r="F34" s="5" t="n">
        <v>6</v>
      </c>
      <c r="H34" s="24" t="n">
        <f aca="false">B34/40000*'Goods values'!$B$3*(1+D34+MAX(($K$2+E34)*0.16,0))</f>
        <v>59.5700325</v>
      </c>
      <c r="I34" s="25" t="n">
        <f aca="false">H34*'Goods values'!$C$24*MAX($M$2-(C34*0.075),0)*$N$2</f>
        <v>0</v>
      </c>
    </row>
  </sheetData>
  <autoFilter ref="A1:H27"/>
  <dataValidations count="1">
    <dataValidation allowBlank="true" errorStyle="stop" operator="equal" showDropDown="false" showErrorMessage="true" showInputMessage="false" sqref="K2" type="list">
      <formula1>"0,1,2,3,4,5,6"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3.42578125" defaultRowHeight="15" zeroHeight="false" outlineLevelRow="0" outlineLevelCol="0"/>
  <cols>
    <col collapsed="false" customWidth="true" hidden="false" outlineLevel="0" max="1" min="1" style="1" width="17.72"/>
    <col collapsed="false" customWidth="true" hidden="false" outlineLevel="0" max="2" min="2" style="1" width="7.85"/>
    <col collapsed="false" customWidth="true" hidden="false" outlineLevel="0" max="3" min="3" style="1" width="6.85"/>
    <col collapsed="false" customWidth="true" hidden="false" outlineLevel="0" max="4" min="4" style="1" width="14.57"/>
    <col collapsed="false" customWidth="false" hidden="false" outlineLevel="0" max="5" min="5" style="1" width="13.42"/>
    <col collapsed="false" customWidth="true" hidden="false" outlineLevel="0" max="6" min="6" style="5" width="7"/>
    <col collapsed="false" customWidth="true" hidden="false" outlineLevel="0" max="7" min="7" style="27" width="7.85"/>
    <col collapsed="false" customWidth="false" hidden="false" outlineLevel="0" max="8" min="8" style="28" width="13.42"/>
    <col collapsed="false" customWidth="true" hidden="false" outlineLevel="0" max="9" min="9" style="28" width="12.42"/>
    <col collapsed="false" customWidth="true" hidden="false" outlineLevel="0" max="10" min="10" style="28" width="12.14"/>
    <col collapsed="false" customWidth="true" hidden="false" outlineLevel="0" max="11" min="11" style="28" width="15.85"/>
    <col collapsed="false" customWidth="true" hidden="false" outlineLevel="0" max="12" min="12" style="29" width="10.28"/>
    <col collapsed="false" customWidth="true" hidden="false" outlineLevel="0" max="13" min="13" style="28" width="14.29"/>
    <col collapsed="false" customWidth="false" hidden="false" outlineLevel="0" max="14" min="14" style="1" width="13.42"/>
    <col collapsed="false" customWidth="true" hidden="false" outlineLevel="0" max="15" min="15" style="5" width="17.14"/>
    <col collapsed="false" customWidth="true" hidden="false" outlineLevel="0" max="16" min="16" style="22" width="13.57"/>
    <col collapsed="false" customWidth="true" hidden="false" outlineLevel="0" max="17" min="17" style="5" width="15.42"/>
    <col collapsed="false" customWidth="true" hidden="false" outlineLevel="0" max="18" min="18" style="5" width="9.14"/>
    <col collapsed="false" customWidth="true" hidden="false" outlineLevel="0" max="19" min="19" style="5" width="15.42"/>
    <col collapsed="false" customWidth="true" hidden="false" outlineLevel="0" max="20" min="20" style="30" width="17.72"/>
    <col collapsed="false" customWidth="false" hidden="false" outlineLevel="0" max="16384" min="21" style="1" width="13.42"/>
  </cols>
  <sheetData>
    <row r="1" s="1" customFormat="true" ht="15" hidden="false" customHeight="false" outlineLevel="0" collapsed="false">
      <c r="A1" s="31" t="s">
        <v>137</v>
      </c>
      <c r="B1" s="31" t="s">
        <v>138</v>
      </c>
      <c r="C1" s="31" t="s">
        <v>139</v>
      </c>
      <c r="D1" s="31" t="s">
        <v>140</v>
      </c>
      <c r="F1" s="5" t="s">
        <v>0</v>
      </c>
      <c r="G1" s="5" t="s">
        <v>141</v>
      </c>
      <c r="H1" s="5" t="s">
        <v>142</v>
      </c>
      <c r="I1" s="5" t="s">
        <v>143</v>
      </c>
      <c r="J1" s="5" t="s">
        <v>144</v>
      </c>
      <c r="K1" s="5" t="s">
        <v>145</v>
      </c>
      <c r="L1" s="2" t="s">
        <v>146</v>
      </c>
      <c r="M1" s="5" t="s">
        <v>147</v>
      </c>
    </row>
    <row r="2" s="1" customFormat="true" ht="15" hidden="false" customHeight="false" outlineLevel="0" collapsed="false">
      <c r="A2" s="31" t="s">
        <v>148</v>
      </c>
      <c r="B2" s="32" t="n">
        <v>3</v>
      </c>
      <c r="C2" s="1" t="n">
        <v>20</v>
      </c>
      <c r="D2" s="1" t="n">
        <f aca="false">B2*C2*3</f>
        <v>180</v>
      </c>
      <c r="F2" s="5" t="s">
        <v>149</v>
      </c>
      <c r="G2" s="27" t="n">
        <f aca="false">$D$3*(1+I2+J2+(L2*0.16)+$M$2)*(1+K2)</f>
        <v>162</v>
      </c>
      <c r="H2" s="28"/>
      <c r="I2" s="28" t="n">
        <v>0</v>
      </c>
      <c r="J2" s="28" t="n">
        <v>0</v>
      </c>
      <c r="K2" s="28" t="n">
        <v>0</v>
      </c>
      <c r="L2" s="29" t="n">
        <v>0</v>
      </c>
      <c r="M2" s="2" t="n">
        <v>0</v>
      </c>
    </row>
    <row r="3" s="1" customFormat="true" ht="15" hidden="false" customHeight="false" outlineLevel="0" collapsed="false">
      <c r="A3" s="31" t="s">
        <v>150</v>
      </c>
      <c r="B3" s="32" t="n">
        <v>3</v>
      </c>
      <c r="C3" s="1" t="n">
        <v>18</v>
      </c>
      <c r="D3" s="1" t="n">
        <f aca="false">B3*C3*3</f>
        <v>162</v>
      </c>
      <c r="F3" s="5" t="s">
        <v>151</v>
      </c>
      <c r="G3" s="27" t="n">
        <f aca="false">$D$3*(1+I3+J3+(L3*0.16)+$M$2)*(1+K3)</f>
        <v>309.42</v>
      </c>
      <c r="H3" s="28"/>
      <c r="I3" s="28" t="n">
        <v>0.65</v>
      </c>
      <c r="J3" s="28" t="n">
        <v>0.1</v>
      </c>
      <c r="K3" s="28" t="n">
        <v>0</v>
      </c>
      <c r="L3" s="29" t="n">
        <v>1</v>
      </c>
      <c r="M3" s="28"/>
    </row>
    <row r="4" s="1" customFormat="true" ht="15" hidden="false" customHeight="false" outlineLevel="0" collapsed="false">
      <c r="A4" s="31" t="s">
        <v>152</v>
      </c>
      <c r="B4" s="32" t="n">
        <v>3</v>
      </c>
      <c r="C4" s="1" t="n">
        <v>18</v>
      </c>
      <c r="D4" s="1" t="n">
        <f aca="false">B4*C4*3</f>
        <v>162</v>
      </c>
      <c r="F4" s="5" t="n">
        <v>1830</v>
      </c>
      <c r="G4" s="27" t="n">
        <f aca="false">$D$3*(1+I4+J4+(L4*0.16)+$M$2)*(1+K4)</f>
        <v>447.12</v>
      </c>
      <c r="H4" s="28"/>
      <c r="I4" s="28" t="n">
        <v>1.05</v>
      </c>
      <c r="J4" s="28" t="n">
        <v>0.55</v>
      </c>
      <c r="K4" s="28" t="n">
        <v>0</v>
      </c>
      <c r="L4" s="29" t="n">
        <v>1</v>
      </c>
      <c r="M4" s="28"/>
    </row>
    <row r="5" s="1" customFormat="true" ht="15" hidden="false" customHeight="false" outlineLevel="0" collapsed="false">
      <c r="A5" s="31" t="s">
        <v>153</v>
      </c>
      <c r="B5" s="32" t="n">
        <v>3</v>
      </c>
      <c r="C5" s="1" t="n">
        <v>18</v>
      </c>
      <c r="D5" s="1" t="n">
        <f aca="false">B5*C5*3</f>
        <v>162</v>
      </c>
      <c r="F5" s="5" t="n">
        <v>1840</v>
      </c>
      <c r="G5" s="27" t="n">
        <f aca="false">$D$3*(1+I5+J5+(L5*0.16)+$M$2)*(1+K5)</f>
        <v>473.04</v>
      </c>
      <c r="H5" s="28"/>
      <c r="I5" s="28" t="n">
        <v>1.05</v>
      </c>
      <c r="J5" s="28" t="n">
        <v>0.55</v>
      </c>
      <c r="K5" s="28" t="n">
        <v>0</v>
      </c>
      <c r="L5" s="29" t="n">
        <v>2</v>
      </c>
      <c r="M5" s="28"/>
    </row>
    <row r="6" s="1" customFormat="true" ht="15" hidden="false" customHeight="false" outlineLevel="0" collapsed="false">
      <c r="A6" s="31" t="s">
        <v>154</v>
      </c>
      <c r="B6" s="32" t="n">
        <v>3</v>
      </c>
      <c r="C6" s="1" t="n">
        <v>18</v>
      </c>
      <c r="D6" s="1" t="n">
        <f aca="false">B6*C6*3</f>
        <v>162</v>
      </c>
      <c r="F6" s="5" t="n">
        <v>1850</v>
      </c>
      <c r="G6" s="27" t="n">
        <f aca="false">$D$3*(1+I6+J6+(L6*0.16)+$M$2)*(1+K6)</f>
        <v>563.76</v>
      </c>
      <c r="H6" s="28"/>
      <c r="I6" s="28" t="n">
        <v>1.2</v>
      </c>
      <c r="J6" s="28" t="n">
        <v>0.8</v>
      </c>
      <c r="K6" s="28" t="n">
        <v>0</v>
      </c>
      <c r="L6" s="29" t="n">
        <v>3</v>
      </c>
      <c r="M6" s="28"/>
    </row>
    <row r="7" s="1" customFormat="true" ht="15" hidden="false" customHeight="false" outlineLevel="0" collapsed="false">
      <c r="A7" s="31" t="s">
        <v>155</v>
      </c>
      <c r="B7" s="32" t="n">
        <v>2.25</v>
      </c>
      <c r="C7" s="1" t="n">
        <v>20</v>
      </c>
      <c r="D7" s="1" t="n">
        <f aca="false">B7*C7*3</f>
        <v>135</v>
      </c>
      <c r="F7" s="5" t="n">
        <v>1870</v>
      </c>
      <c r="G7" s="27" t="n">
        <f aca="false">$D$3*(1+I7+J7+(L7*0.16)+$M$2)*(1+K7)</f>
        <v>654.48</v>
      </c>
      <c r="H7" s="28"/>
      <c r="I7" s="28" t="n">
        <v>1.2</v>
      </c>
      <c r="J7" s="28" t="n">
        <v>1.2</v>
      </c>
      <c r="K7" s="28" t="n">
        <v>0</v>
      </c>
      <c r="L7" s="29" t="n">
        <v>4</v>
      </c>
      <c r="M7" s="28"/>
    </row>
    <row r="8" s="1" customFormat="true" ht="15" hidden="false" customHeight="false" outlineLevel="0" collapsed="false">
      <c r="A8" s="31" t="s">
        <v>156</v>
      </c>
      <c r="B8" s="32" t="n">
        <v>3</v>
      </c>
      <c r="C8" s="1" t="n">
        <v>13</v>
      </c>
      <c r="D8" s="1" t="n">
        <f aca="false">B8*C8*3</f>
        <v>117</v>
      </c>
      <c r="F8" s="5" t="n">
        <v>1880</v>
      </c>
      <c r="G8" s="27" t="n">
        <f aca="false">$D$3*(1+I8+J8+(L8*0.16)+$M$2)*(1+K8)</f>
        <v>678.78</v>
      </c>
      <c r="H8" s="28"/>
      <c r="I8" s="28" t="n">
        <v>1.35</v>
      </c>
      <c r="J8" s="28" t="n">
        <v>1.2</v>
      </c>
      <c r="K8" s="28" t="n">
        <v>0</v>
      </c>
      <c r="L8" s="29" t="n">
        <v>4</v>
      </c>
      <c r="M8" s="28"/>
    </row>
    <row r="9" s="1" customFormat="true" ht="15" hidden="false" customHeight="false" outlineLevel="0" collapsed="false">
      <c r="A9" s="31" t="s">
        <v>157</v>
      </c>
      <c r="B9" s="32" t="n">
        <v>3</v>
      </c>
      <c r="C9" s="1" t="n">
        <v>10</v>
      </c>
      <c r="D9" s="1" t="n">
        <f aca="false">B9*C9*3</f>
        <v>90</v>
      </c>
      <c r="F9" s="5" t="n">
        <v>1898</v>
      </c>
      <c r="G9" s="27" t="n">
        <f aca="false">$D$3*(1+I9+J9+(L9*0.16)+$M$2)*(1+K9)</f>
        <v>704.7</v>
      </c>
      <c r="H9" s="28"/>
      <c r="I9" s="28" t="n">
        <v>1.35</v>
      </c>
      <c r="J9" s="28" t="n">
        <v>1.2</v>
      </c>
      <c r="K9" s="28" t="n">
        <v>0</v>
      </c>
      <c r="L9" s="29" t="n">
        <v>5</v>
      </c>
      <c r="M9" s="28"/>
    </row>
    <row r="10" s="1" customFormat="true" ht="15" hidden="false" customHeight="false" outlineLevel="0" collapsed="false">
      <c r="A10" s="31" t="s">
        <v>158</v>
      </c>
      <c r="B10" s="32" t="n">
        <v>4</v>
      </c>
      <c r="C10" s="1" t="n">
        <v>5.4</v>
      </c>
      <c r="D10" s="1" t="n">
        <f aca="false">B10*C10</f>
        <v>21.6</v>
      </c>
      <c r="F10" s="5" t="n">
        <v>1900</v>
      </c>
      <c r="G10" s="27" t="n">
        <f aca="false">$D$3*(1+I10+J10+(L10*0.16)+$M$2)*(1+K10)</f>
        <v>907.2</v>
      </c>
      <c r="H10" s="28"/>
      <c r="I10" s="28" t="n">
        <v>2.2</v>
      </c>
      <c r="J10" s="28" t="n">
        <v>1.6</v>
      </c>
      <c r="K10" s="28" t="n">
        <v>0</v>
      </c>
      <c r="L10" s="29" t="n">
        <v>5</v>
      </c>
      <c r="M10" s="28"/>
    </row>
    <row r="11" s="1" customFormat="true" ht="15" hidden="false" customHeight="false" outlineLevel="0" collapsed="false">
      <c r="A11" s="31" t="s">
        <v>159</v>
      </c>
      <c r="B11" s="32" t="n">
        <v>3</v>
      </c>
      <c r="C11" s="1" t="n">
        <v>6</v>
      </c>
      <c r="D11" s="1" t="n">
        <f aca="false">B11*C11</f>
        <v>18</v>
      </c>
      <c r="F11" s="5" t="n">
        <v>1915</v>
      </c>
      <c r="G11" s="27" t="n">
        <f aca="false">$D$3*(1+I11+J11+(L11*0.16)+$M$2)*(1+K11)</f>
        <v>933.12</v>
      </c>
      <c r="H11" s="28"/>
      <c r="I11" s="28" t="n">
        <v>2.2</v>
      </c>
      <c r="J11" s="28" t="n">
        <v>1.6</v>
      </c>
      <c r="K11" s="28" t="n">
        <v>0</v>
      </c>
      <c r="L11" s="29" t="n">
        <v>6</v>
      </c>
      <c r="M11" s="28"/>
    </row>
    <row r="12" customFormat="false" ht="15" hidden="false" customHeight="false" outlineLevel="0" collapsed="false">
      <c r="A12" s="31" t="s">
        <v>160</v>
      </c>
      <c r="B12" s="32" t="n">
        <v>1</v>
      </c>
      <c r="C12" s="1" t="n">
        <v>12</v>
      </c>
      <c r="D12" s="1" t="n">
        <f aca="false">B12*C12</f>
        <v>12</v>
      </c>
      <c r="O12" s="1"/>
      <c r="P12" s="1"/>
      <c r="Q12" s="1"/>
      <c r="R12" s="1"/>
      <c r="S12" s="1"/>
      <c r="T12" s="1"/>
    </row>
    <row r="13" customFormat="false" ht="15" hidden="false" customHeight="false" outlineLevel="0" collapsed="false">
      <c r="A13" s="31" t="s">
        <v>161</v>
      </c>
      <c r="B13" s="32" t="n">
        <v>8</v>
      </c>
      <c r="C13" s="1" t="n">
        <v>0.9</v>
      </c>
      <c r="D13" s="1" t="n">
        <f aca="false">B13*C13</f>
        <v>7.2</v>
      </c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31" t="s">
        <v>162</v>
      </c>
      <c r="B14" s="32" t="n">
        <v>2</v>
      </c>
      <c r="C14" s="1" t="n">
        <v>3.5</v>
      </c>
      <c r="D14" s="1" t="n">
        <f aca="false">B14*C14</f>
        <v>7</v>
      </c>
      <c r="O14" s="1"/>
      <c r="P14" s="1"/>
      <c r="Q14" s="1"/>
      <c r="R14" s="1"/>
      <c r="S14" s="1"/>
      <c r="T14" s="1"/>
    </row>
    <row r="15" customFormat="false" ht="15" hidden="false" customHeight="false" outlineLevel="0" collapsed="false">
      <c r="A15" s="31" t="s">
        <v>163</v>
      </c>
      <c r="B15" s="32" t="n">
        <v>2.4</v>
      </c>
      <c r="C15" s="1" t="n">
        <v>2.3</v>
      </c>
      <c r="D15" s="1" t="n">
        <f aca="false">B15*C15</f>
        <v>5.52</v>
      </c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31" t="s">
        <v>164</v>
      </c>
      <c r="B16" s="32" t="n">
        <v>0.75</v>
      </c>
      <c r="C16" s="1" t="n">
        <v>7</v>
      </c>
      <c r="D16" s="1" t="n">
        <f aca="false">B16*C16</f>
        <v>5.25</v>
      </c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31" t="s">
        <v>165</v>
      </c>
      <c r="B17" s="32" t="n">
        <v>2.7</v>
      </c>
      <c r="C17" s="1" t="n">
        <v>1.8</v>
      </c>
      <c r="D17" s="1" t="n">
        <f aca="false">B17*C17</f>
        <v>4.86</v>
      </c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31" t="s">
        <v>166</v>
      </c>
      <c r="B18" s="32" t="n">
        <v>1.75</v>
      </c>
      <c r="C18" s="1" t="n">
        <v>2.6</v>
      </c>
      <c r="D18" s="1" t="n">
        <f aca="false">B18*C18</f>
        <v>4.55</v>
      </c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31" t="s">
        <v>167</v>
      </c>
      <c r="B19" s="32" t="n">
        <v>1.7</v>
      </c>
      <c r="C19" s="1" t="n">
        <v>2.2</v>
      </c>
      <c r="D19" s="1" t="n">
        <f aca="false">B19*C19</f>
        <v>3.74</v>
      </c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31" t="s">
        <v>168</v>
      </c>
      <c r="B20" s="32" t="n">
        <v>1.8</v>
      </c>
      <c r="C20" s="1" t="n">
        <v>2</v>
      </c>
      <c r="D20" s="1" t="n">
        <f aca="false">B20*C20</f>
        <v>3.6</v>
      </c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31" t="s">
        <v>169</v>
      </c>
      <c r="B21" s="32" t="n">
        <v>1.7</v>
      </c>
      <c r="C21" s="1" t="n">
        <v>2</v>
      </c>
      <c r="D21" s="1" t="n">
        <f aca="false">B21*C21</f>
        <v>3.4</v>
      </c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31" t="s">
        <v>170</v>
      </c>
      <c r="B22" s="32" t="n">
        <v>4.8</v>
      </c>
      <c r="C22" s="1" t="n">
        <v>0.7</v>
      </c>
      <c r="D22" s="1" t="n">
        <f aca="false">B22*C22</f>
        <v>3.36</v>
      </c>
    </row>
    <row r="23" customFormat="false" ht="15" hidden="false" customHeight="false" outlineLevel="0" collapsed="false">
      <c r="A23" s="31" t="s">
        <v>171</v>
      </c>
      <c r="B23" s="32" t="n">
        <v>1</v>
      </c>
      <c r="C23" s="1" t="n">
        <v>3.2</v>
      </c>
      <c r="D23" s="1" t="n">
        <f aca="false">B23*C23</f>
        <v>3.2</v>
      </c>
    </row>
    <row r="24" customFormat="false" ht="15" hidden="false" customHeight="false" outlineLevel="0" collapsed="false">
      <c r="A24" s="31" t="s">
        <v>172</v>
      </c>
      <c r="B24" s="32" t="n">
        <v>2.1</v>
      </c>
      <c r="C24" s="1" t="n">
        <v>1.5</v>
      </c>
      <c r="D24" s="1" t="n">
        <f aca="false">B24*C24</f>
        <v>3.15</v>
      </c>
    </row>
    <row r="25" customFormat="false" ht="15" hidden="false" customHeight="false" outlineLevel="0" collapsed="false">
      <c r="A25" s="31" t="s">
        <v>173</v>
      </c>
      <c r="B25" s="32" t="n">
        <v>1.5</v>
      </c>
      <c r="C25" s="1" t="n">
        <v>2.1</v>
      </c>
      <c r="D25" s="1" t="n">
        <f aca="false">B25*C25</f>
        <v>3.15</v>
      </c>
    </row>
    <row r="26" customFormat="false" ht="15" hidden="false" customHeight="false" outlineLevel="0" collapsed="false">
      <c r="A26" s="31" t="s">
        <v>174</v>
      </c>
      <c r="B26" s="32" t="n">
        <v>2.5</v>
      </c>
      <c r="C26" s="1" t="n">
        <v>1.1</v>
      </c>
      <c r="D26" s="1" t="n">
        <f aca="false">B26*C26</f>
        <v>2.75</v>
      </c>
    </row>
    <row r="27" customFormat="false" ht="15" hidden="false" customHeight="false" outlineLevel="0" collapsed="false">
      <c r="A27" s="31" t="s">
        <v>175</v>
      </c>
      <c r="B27" s="32" t="n">
        <v>0.22</v>
      </c>
      <c r="C27" s="1" t="n">
        <v>12</v>
      </c>
      <c r="D27" s="1" t="n">
        <f aca="false">B27*C27</f>
        <v>2.64</v>
      </c>
    </row>
    <row r="28" customFormat="false" ht="15" hidden="false" customHeight="false" outlineLevel="0" collapsed="false">
      <c r="A28" s="31" t="s">
        <v>176</v>
      </c>
      <c r="B28" s="32" t="n">
        <v>0.25</v>
      </c>
      <c r="C28" s="1" t="n">
        <v>10</v>
      </c>
      <c r="D28" s="1" t="n">
        <f aca="false">B28*C28</f>
        <v>2.5</v>
      </c>
    </row>
    <row r="29" customFormat="false" ht="15" hidden="false" customHeight="false" outlineLevel="0" collapsed="false">
      <c r="A29" s="31" t="s">
        <v>177</v>
      </c>
      <c r="B29" s="32" t="n">
        <v>0.7</v>
      </c>
      <c r="C29" s="1" t="n">
        <v>3.2</v>
      </c>
      <c r="D29" s="1" t="n">
        <f aca="false">B29*C29</f>
        <v>2.24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3" activeCellId="0" sqref="E3"/>
    </sheetView>
  </sheetViews>
  <sheetFormatPr defaultColWidth="13.42578125" defaultRowHeight="15" zeroHeight="false" outlineLevelRow="0" outlineLevelCol="0"/>
  <cols>
    <col collapsed="false" customWidth="true" hidden="false" outlineLevel="0" max="1" min="1" style="5" width="6.57"/>
    <col collapsed="false" customWidth="true" hidden="false" outlineLevel="0" max="2" min="2" style="33" width="9.72"/>
    <col collapsed="false" customWidth="true" hidden="false" outlineLevel="0" max="3" min="3" style="5" width="14.29"/>
    <col collapsed="false" customWidth="false" hidden="false" outlineLevel="0" max="4" min="4" style="1" width="13.42"/>
    <col collapsed="false" customWidth="true" hidden="false" outlineLevel="0" max="5" min="5" style="1" width="13"/>
    <col collapsed="false" customWidth="true" hidden="false" outlineLevel="0" max="6" min="6" style="22" width="14.57"/>
    <col collapsed="false" customWidth="false" hidden="false" outlineLevel="0" max="16384" min="7" style="1" width="13.42"/>
  </cols>
  <sheetData>
    <row r="1" customFormat="false" ht="15" hidden="false" customHeight="false" outlineLevel="0" collapsed="false">
      <c r="A1" s="5" t="s">
        <v>0</v>
      </c>
      <c r="B1" s="34" t="s">
        <v>178</v>
      </c>
      <c r="C1" s="5" t="s">
        <v>85</v>
      </c>
      <c r="E1" s="5" t="s">
        <v>84</v>
      </c>
      <c r="F1" s="5" t="s">
        <v>179</v>
      </c>
    </row>
    <row r="2" customFormat="false" ht="15" hidden="false" customHeight="false" outlineLevel="0" collapsed="false">
      <c r="A2" s="5" t="n">
        <v>1830</v>
      </c>
      <c r="B2" s="22" t="n">
        <f aca="false">F2</f>
        <v>452530</v>
      </c>
      <c r="C2" s="13" t="n">
        <v>0</v>
      </c>
      <c r="E2" s="5" t="n">
        <v>30</v>
      </c>
      <c r="F2" s="22" t="n">
        <v>452530</v>
      </c>
    </row>
    <row r="3" customFormat="false" ht="15" hidden="false" customHeight="false" outlineLevel="0" collapsed="false">
      <c r="A3" s="5" t="n">
        <v>1831</v>
      </c>
      <c r="B3" s="22" t="n">
        <f aca="false">B2*(1+0.0001+MAX(($E$2-36),0)*0.0001+C2)</f>
        <v>452575.253</v>
      </c>
      <c r="C3" s="13" t="n">
        <v>0</v>
      </c>
      <c r="G3" s="10"/>
    </row>
    <row r="4" customFormat="false" ht="15" hidden="false" customHeight="false" outlineLevel="0" collapsed="false">
      <c r="A4" s="5" t="n">
        <v>1832</v>
      </c>
      <c r="B4" s="22" t="n">
        <f aca="false">B3*(1+0.0001+MAX(($E$2-36),0)*0.0001+C3)</f>
        <v>452620.5105253</v>
      </c>
      <c r="C4" s="13" t="n">
        <v>0</v>
      </c>
    </row>
    <row r="5" customFormat="false" ht="15" hidden="false" customHeight="false" outlineLevel="0" collapsed="false">
      <c r="A5" s="5" t="n">
        <v>1833</v>
      </c>
      <c r="B5" s="22" t="n">
        <f aca="false">B4*(1+0.0001+MAX(($E$2-36),0)*0.0001+C4)</f>
        <v>452665.772576352</v>
      </c>
      <c r="C5" s="13" t="n">
        <v>0</v>
      </c>
    </row>
    <row r="6" customFormat="false" ht="15" hidden="false" customHeight="false" outlineLevel="0" collapsed="false">
      <c r="A6" s="5" t="n">
        <v>1834</v>
      </c>
      <c r="B6" s="22" t="n">
        <f aca="false">B5*(1+0.0001+MAX(($E$2-36),0)*0.0001+C5)</f>
        <v>452711.03915361</v>
      </c>
      <c r="C6" s="35" t="n">
        <v>0.0001</v>
      </c>
    </row>
    <row r="7" customFormat="false" ht="15" hidden="false" customHeight="false" outlineLevel="0" collapsed="false">
      <c r="A7" s="5" t="n">
        <v>1835</v>
      </c>
      <c r="B7" s="22" t="n">
        <f aca="false">B6*(1+0.0001+MAX(($E$2-36),0)*0.0001+C6)</f>
        <v>452801.581361441</v>
      </c>
      <c r="C7" s="35" t="n">
        <v>0.0001</v>
      </c>
    </row>
    <row r="8" customFormat="false" ht="15" hidden="false" customHeight="false" outlineLevel="0" collapsed="false">
      <c r="A8" s="5" t="n">
        <v>1836</v>
      </c>
      <c r="B8" s="22" t="n">
        <f aca="false">B7*(1+0.0001+MAX(($E$2-36),0)*0.0001+C7)</f>
        <v>452892.141677713</v>
      </c>
      <c r="C8" s="35" t="n">
        <v>0.0002</v>
      </c>
    </row>
    <row r="9" customFormat="false" ht="15" hidden="false" customHeight="false" outlineLevel="0" collapsed="false">
      <c r="A9" s="5" t="n">
        <v>1837</v>
      </c>
      <c r="B9" s="22" t="n">
        <f aca="false">B8*(1+0.0001+MAX(($E$2-36),0)*0.0001+C8)</f>
        <v>453028.009320216</v>
      </c>
      <c r="C9" s="35" t="n">
        <v>0.0003</v>
      </c>
    </row>
    <row r="10" customFormat="false" ht="15" hidden="false" customHeight="false" outlineLevel="0" collapsed="false">
      <c r="A10" s="5" t="n">
        <v>1838</v>
      </c>
      <c r="B10" s="22" t="n">
        <f aca="false">B9*(1+0.0001+MAX(($E$2-36),0)*0.0001+C9)</f>
        <v>453209.220523944</v>
      </c>
      <c r="C10" s="35" t="n">
        <v>0.0004</v>
      </c>
    </row>
    <row r="11" customFormat="false" ht="15" hidden="false" customHeight="false" outlineLevel="0" collapsed="false">
      <c r="A11" s="5" t="n">
        <v>1839</v>
      </c>
      <c r="B11" s="22" t="n">
        <f aca="false">B10*(1+0.0001+MAX(($E$2-36),0)*0.0001+C10)</f>
        <v>453435.825134206</v>
      </c>
      <c r="C11" s="35" t="n">
        <v>0.0004</v>
      </c>
    </row>
    <row r="12" customFormat="false" ht="15" hidden="false" customHeight="false" outlineLevel="0" collapsed="false">
      <c r="A12" s="5" t="n">
        <v>1840</v>
      </c>
      <c r="B12" s="22" t="n">
        <f aca="false">B11*(1+0.0001+MAX(($E$2-36),0)*0.0001+C11)</f>
        <v>453662.543046773</v>
      </c>
      <c r="C12" s="35" t="n">
        <v>0.0005</v>
      </c>
    </row>
    <row r="13" customFormat="false" ht="15" hidden="false" customHeight="false" outlineLevel="0" collapsed="false">
      <c r="A13" s="5" t="n">
        <v>1841</v>
      </c>
      <c r="B13" s="22" t="n">
        <f aca="false">B12*(1+0.0001+MAX(($E$2-36),0)*0.0001+C12)</f>
        <v>453934.740572602</v>
      </c>
      <c r="C13" s="35" t="n">
        <v>0.0005</v>
      </c>
    </row>
    <row r="14" customFormat="false" ht="15" hidden="false" customHeight="false" outlineLevel="0" collapsed="false">
      <c r="A14" s="5" t="n">
        <v>1842</v>
      </c>
      <c r="B14" s="22" t="n">
        <f aca="false">B13*(1+0.0001+MAX(($E$2-36),0)*0.0001+C13)</f>
        <v>454207.101416945</v>
      </c>
      <c r="C14" s="35" t="n">
        <v>0.0005</v>
      </c>
    </row>
    <row r="15" customFormat="false" ht="15" hidden="false" customHeight="false" outlineLevel="0" collapsed="false">
      <c r="A15" s="5" t="n">
        <v>1843</v>
      </c>
      <c r="B15" s="22" t="n">
        <f aca="false">B14*(1+0.0001+MAX(($E$2-36),0)*0.0001+C14)</f>
        <v>454479.625677795</v>
      </c>
      <c r="C15" s="35" t="n">
        <v>0.0005</v>
      </c>
    </row>
    <row r="16" customFormat="false" ht="15" hidden="false" customHeight="false" outlineLevel="0" collapsed="false">
      <c r="A16" s="5" t="n">
        <v>1844</v>
      </c>
      <c r="B16" s="22" t="n">
        <f aca="false">B15*(1+0.0001+MAX(($E$2-36),0)*0.0001+C15)</f>
        <v>454752.313453202</v>
      </c>
      <c r="C16" s="35" t="n">
        <v>0.0005</v>
      </c>
    </row>
    <row r="17" customFormat="false" ht="15" hidden="false" customHeight="false" outlineLevel="0" collapsed="false">
      <c r="A17" s="5" t="n">
        <v>1845</v>
      </c>
      <c r="B17" s="22" t="n">
        <f aca="false">B16*(1+0.0001+MAX(($E$2-36),0)*0.0001+C16)</f>
        <v>455025.164841274</v>
      </c>
      <c r="C17" s="35" t="n">
        <v>0.0005</v>
      </c>
    </row>
    <row r="18" customFormat="false" ht="15" hidden="false" customHeight="false" outlineLevel="0" collapsed="false">
      <c r="A18" s="5" t="n">
        <v>1846</v>
      </c>
      <c r="B18" s="22" t="n">
        <f aca="false">B17*(1+0.0001+MAX(($E$2-36),0)*0.0001+C17)</f>
        <v>455298.179940178</v>
      </c>
      <c r="C18" s="35" t="n">
        <v>0.0005</v>
      </c>
    </row>
    <row r="19" customFormat="false" ht="15" hidden="false" customHeight="false" outlineLevel="0" collapsed="false">
      <c r="A19" s="5" t="n">
        <v>1847</v>
      </c>
      <c r="B19" s="22" t="n">
        <f aca="false">B18*(1+0.0001+MAX(($E$2-36),0)*0.0001+C18)</f>
        <v>455571.358848143</v>
      </c>
      <c r="C19" s="35" t="n">
        <v>0.0005</v>
      </c>
    </row>
    <row r="20" customFormat="false" ht="15" hidden="false" customHeight="false" outlineLevel="0" collapsed="false">
      <c r="A20" s="5" t="n">
        <v>1848</v>
      </c>
      <c r="B20" s="22" t="n">
        <f aca="false">B19*(1+0.0001+MAX(($E$2-36),0)*0.0001+C19)</f>
        <v>455844.701663451</v>
      </c>
      <c r="C20" s="35" t="n">
        <v>0.0005</v>
      </c>
    </row>
    <row r="21" customFormat="false" ht="15" hidden="false" customHeight="false" outlineLevel="0" collapsed="false">
      <c r="A21" s="5" t="n">
        <v>1849</v>
      </c>
      <c r="B21" s="22" t="n">
        <f aca="false">B20*(1+0.0001+MAX(($E$2-36),0)*0.0001+C20)</f>
        <v>456118.208484449</v>
      </c>
      <c r="C21" s="35" t="n">
        <v>0.0005</v>
      </c>
    </row>
    <row r="22" customFormat="false" ht="15" hidden="false" customHeight="false" outlineLevel="0" collapsed="false">
      <c r="A22" s="5" t="n">
        <v>1850</v>
      </c>
      <c r="B22" s="22" t="n">
        <f aca="false">B21*(1+0.0001+MAX(($E$2-36),0)*0.0001+C21)</f>
        <v>456391.87940954</v>
      </c>
      <c r="C22" s="35" t="n">
        <v>0.0005</v>
      </c>
    </row>
    <row r="23" customFormat="false" ht="15" hidden="false" customHeight="false" outlineLevel="0" collapsed="false">
      <c r="A23" s="5" t="n">
        <v>1851</v>
      </c>
      <c r="B23" s="22" t="n">
        <f aca="false">B22*(1+0.0001+MAX(($E$2-36),0)*0.0001+C22)</f>
        <v>456665.714537186</v>
      </c>
      <c r="C23" s="35" t="n">
        <v>0.0005</v>
      </c>
    </row>
    <row r="24" customFormat="false" ht="15" hidden="false" customHeight="false" outlineLevel="0" collapsed="false">
      <c r="A24" s="5" t="n">
        <v>1852</v>
      </c>
      <c r="B24" s="22" t="n">
        <f aca="false">B23*(1+0.0001+MAX(($E$2-36),0)*0.0001+C23)</f>
        <v>456939.713965908</v>
      </c>
      <c r="C24" s="35" t="n">
        <v>0.0005</v>
      </c>
    </row>
    <row r="25" customFormat="false" ht="15" hidden="false" customHeight="false" outlineLevel="0" collapsed="false">
      <c r="A25" s="5" t="n">
        <v>1853</v>
      </c>
      <c r="B25" s="22" t="n">
        <f aca="false">B24*(1+0.0001+MAX(($E$2-36),0)*0.0001+C24)</f>
        <v>457213.877794288</v>
      </c>
      <c r="C25" s="35" t="n">
        <v>0.0005</v>
      </c>
    </row>
    <row r="26" customFormat="false" ht="15" hidden="false" customHeight="false" outlineLevel="0" collapsed="false">
      <c r="A26" s="5" t="n">
        <v>1854</v>
      </c>
      <c r="B26" s="22" t="n">
        <f aca="false">B25*(1+0.0001+MAX(($E$2-36),0)*0.0001+C25)</f>
        <v>457488.206120964</v>
      </c>
      <c r="C26" s="35" t="n">
        <v>0.0005</v>
      </c>
    </row>
    <row r="27" customFormat="false" ht="15" hidden="false" customHeight="false" outlineLevel="0" collapsed="false">
      <c r="A27" s="5" t="n">
        <v>1855</v>
      </c>
      <c r="B27" s="22" t="n">
        <f aca="false">B26*(1+0.0001+MAX(($E$2-36),0)*0.0001+C26)</f>
        <v>457762.699044637</v>
      </c>
      <c r="C27" s="35" t="n">
        <v>0.0005</v>
      </c>
    </row>
    <row r="28" customFormat="false" ht="15" hidden="false" customHeight="false" outlineLevel="0" collapsed="false">
      <c r="A28" s="5" t="n">
        <v>1856</v>
      </c>
      <c r="B28" s="22" t="n">
        <f aca="false">B27*(1+0.0001+MAX(($E$2-36),0)*0.0001+C27)</f>
        <v>458037.356664063</v>
      </c>
      <c r="C28" s="35" t="n">
        <v>0.0005</v>
      </c>
    </row>
    <row r="29" customFormat="false" ht="15" hidden="false" customHeight="false" outlineLevel="0" collapsed="false">
      <c r="A29" s="5" t="n">
        <v>1857</v>
      </c>
      <c r="B29" s="22" t="n">
        <f aca="false">B28*(1+0.0001+MAX(($E$2-36),0)*0.0001+C28)</f>
        <v>458312.179078062</v>
      </c>
      <c r="C29" s="35" t="n">
        <v>0.0005</v>
      </c>
    </row>
    <row r="30" customFormat="false" ht="15" hidden="false" customHeight="false" outlineLevel="0" collapsed="false">
      <c r="A30" s="5" t="n">
        <v>1858</v>
      </c>
      <c r="B30" s="22" t="n">
        <f aca="false">B29*(1+0.0001+MAX(($E$2-36),0)*0.0001+C29)</f>
        <v>458587.166385509</v>
      </c>
      <c r="C30" s="35" t="n">
        <v>0.0005</v>
      </c>
    </row>
    <row r="31" customFormat="false" ht="15" hidden="false" customHeight="false" outlineLevel="0" collapsed="false">
      <c r="A31" s="5" t="n">
        <v>1859</v>
      </c>
      <c r="B31" s="22" t="n">
        <f aca="false">B30*(1+0.0001+MAX(($E$2-36),0)*0.0001+C30)</f>
        <v>458862.31868534</v>
      </c>
      <c r="C31" s="35" t="n">
        <v>0.0005</v>
      </c>
    </row>
    <row r="32" customFormat="false" ht="15" hidden="false" customHeight="false" outlineLevel="0" collapsed="false">
      <c r="A32" s="5" t="n">
        <v>1860</v>
      </c>
      <c r="B32" s="22" t="n">
        <f aca="false">B31*(1+0.0001+MAX(($E$2-36),0)*0.0001+C31)</f>
        <v>459137.636076551</v>
      </c>
      <c r="C32" s="35" t="n">
        <v>0.0005</v>
      </c>
    </row>
    <row r="33" customFormat="false" ht="15" hidden="false" customHeight="false" outlineLevel="0" collapsed="false">
      <c r="A33" s="5" t="n">
        <v>1861</v>
      </c>
      <c r="B33" s="22" t="n">
        <f aca="false">B32*(1+0.0001+MAX(($E$2-36),0)*0.0001+C32)</f>
        <v>459413.118658197</v>
      </c>
      <c r="C33" s="35" t="n">
        <v>0.0005</v>
      </c>
    </row>
    <row r="34" customFormat="false" ht="15" hidden="false" customHeight="false" outlineLevel="0" collapsed="false">
      <c r="A34" s="5" t="n">
        <v>1862</v>
      </c>
      <c r="B34" s="22" t="n">
        <f aca="false">B33*(1+0.0001+MAX(($E$2-36),0)*0.0001+C33)</f>
        <v>459688.766529392</v>
      </c>
      <c r="C34" s="35" t="n">
        <v>0.0005</v>
      </c>
    </row>
    <row r="35" customFormat="false" ht="15" hidden="false" customHeight="false" outlineLevel="0" collapsed="false">
      <c r="A35" s="5" t="n">
        <v>1863</v>
      </c>
      <c r="B35" s="22" t="n">
        <f aca="false">B34*(1+0.0001+MAX(($E$2-36),0)*0.0001+C34)</f>
        <v>459964.57978931</v>
      </c>
      <c r="C35" s="35" t="n">
        <v>0.0005</v>
      </c>
    </row>
    <row r="36" customFormat="false" ht="15" hidden="false" customHeight="false" outlineLevel="0" collapsed="false">
      <c r="A36" s="5" t="n">
        <v>1864</v>
      </c>
      <c r="B36" s="22" t="n">
        <f aca="false">B35*(1+0.0001+MAX(($E$2-36),0)*0.0001+C35)</f>
        <v>460240.558537183</v>
      </c>
      <c r="C36" s="35" t="n">
        <v>0.0005</v>
      </c>
    </row>
    <row r="37" customFormat="false" ht="15" hidden="false" customHeight="false" outlineLevel="0" collapsed="false">
      <c r="A37" s="5" t="n">
        <v>1865</v>
      </c>
      <c r="B37" s="22" t="n">
        <f aca="false">B36*(1+0.0001+MAX(($E$2-36),0)*0.0001+C36)</f>
        <v>460516.702872305</v>
      </c>
      <c r="C37" s="35" t="n">
        <v>0.0005</v>
      </c>
    </row>
    <row r="38" customFormat="false" ht="15" hidden="false" customHeight="false" outlineLevel="0" collapsed="false">
      <c r="A38" s="5" t="n">
        <v>1866</v>
      </c>
      <c r="B38" s="22" t="n">
        <f aca="false">B37*(1+0.0001+MAX(($E$2-36),0)*0.0001+C37)</f>
        <v>460793.012894029</v>
      </c>
      <c r="C38" s="35" t="n">
        <v>0.0005</v>
      </c>
    </row>
    <row r="39" customFormat="false" ht="15" hidden="false" customHeight="false" outlineLevel="0" collapsed="false">
      <c r="A39" s="5" t="n">
        <v>1867</v>
      </c>
      <c r="B39" s="22" t="n">
        <f aca="false">B38*(1+0.0001+MAX(($E$2-36),0)*0.0001+C38)</f>
        <v>461069.488701765</v>
      </c>
      <c r="C39" s="35" t="n">
        <v>0.0005</v>
      </c>
    </row>
    <row r="40" customFormat="false" ht="15" hidden="false" customHeight="false" outlineLevel="0" collapsed="false">
      <c r="A40" s="5" t="n">
        <v>1868</v>
      </c>
      <c r="B40" s="22" t="n">
        <f aca="false">B39*(1+0.0001+MAX(($E$2-36),0)*0.0001+C39)</f>
        <v>461346.130394986</v>
      </c>
      <c r="C40" s="35" t="n">
        <v>0.0005</v>
      </c>
    </row>
    <row r="41" customFormat="false" ht="15" hidden="false" customHeight="false" outlineLevel="0" collapsed="false">
      <c r="A41" s="5" t="n">
        <v>1869</v>
      </c>
      <c r="B41" s="22" t="n">
        <f aca="false">B40*(1+0.0001+MAX(($E$2-36),0)*0.0001+C40)</f>
        <v>461622.938073223</v>
      </c>
      <c r="C41" s="35" t="n">
        <v>0.0005</v>
      </c>
    </row>
    <row r="42" customFormat="false" ht="15" hidden="false" customHeight="false" outlineLevel="0" collapsed="false">
      <c r="A42" s="5" t="n">
        <v>1870</v>
      </c>
      <c r="B42" s="22" t="n">
        <f aca="false">B41*(1+0.0001+MAX(($E$2-36),0)*0.0001+C41)</f>
        <v>461899.911836067</v>
      </c>
      <c r="C42" s="35" t="n">
        <v>0.0005</v>
      </c>
    </row>
    <row r="43" customFormat="false" ht="15" hidden="false" customHeight="false" outlineLevel="0" collapsed="false">
      <c r="A43" s="5" t="n">
        <v>1871</v>
      </c>
      <c r="B43" s="22" t="n">
        <f aca="false">B42*(1+0.0001+MAX(($E$2-36),0)*0.0001+C42)</f>
        <v>462177.051783169</v>
      </c>
      <c r="C43" s="35" t="n">
        <v>0.0005</v>
      </c>
    </row>
    <row r="44" customFormat="false" ht="15" hidden="false" customHeight="false" outlineLevel="0" collapsed="false">
      <c r="A44" s="5" t="n">
        <v>1872</v>
      </c>
      <c r="B44" s="22" t="n">
        <f aca="false">B43*(1+0.0001+MAX(($E$2-36),0)*0.0001+C43)</f>
        <v>462454.358014238</v>
      </c>
      <c r="C44" s="35" t="n">
        <v>0.0005</v>
      </c>
    </row>
    <row r="45" customFormat="false" ht="15" hidden="false" customHeight="false" outlineLevel="0" collapsed="false">
      <c r="A45" s="5" t="n">
        <v>1873</v>
      </c>
      <c r="B45" s="22" t="n">
        <f aca="false">B44*(1+0.0001+MAX(($E$2-36),0)*0.0001+C44)</f>
        <v>462731.830629047</v>
      </c>
      <c r="C45" s="35" t="n">
        <v>0.0005</v>
      </c>
    </row>
    <row r="46" customFormat="false" ht="15" hidden="false" customHeight="false" outlineLevel="0" collapsed="false">
      <c r="A46" s="5" t="n">
        <v>1874</v>
      </c>
      <c r="B46" s="22" t="n">
        <f aca="false">B45*(1+0.0001+MAX(($E$2-36),0)*0.0001+C45)</f>
        <v>463009.469727424</v>
      </c>
      <c r="C46" s="35" t="n">
        <v>0.0006</v>
      </c>
    </row>
    <row r="47" customFormat="false" ht="15" hidden="false" customHeight="false" outlineLevel="0" collapsed="false">
      <c r="A47" s="5" t="n">
        <v>1875</v>
      </c>
      <c r="B47" s="22" t="n">
        <f aca="false">B46*(1+0.0001+MAX(($E$2-36),0)*0.0001+C46)</f>
        <v>463333.576356233</v>
      </c>
      <c r="C47" s="35" t="n">
        <v>0.0006</v>
      </c>
    </row>
    <row r="48" customFormat="false" ht="15" hidden="false" customHeight="false" outlineLevel="0" collapsed="false">
      <c r="A48" s="5" t="n">
        <v>1876</v>
      </c>
      <c r="B48" s="22" t="n">
        <f aca="false">B47*(1+0.0001+MAX(($E$2-36),0)*0.0001+C47)</f>
        <v>463657.909859683</v>
      </c>
      <c r="C48" s="35" t="n">
        <v>0.0006</v>
      </c>
    </row>
    <row r="49" customFormat="false" ht="15" hidden="false" customHeight="false" outlineLevel="0" collapsed="false">
      <c r="A49" s="5" t="n">
        <v>1877</v>
      </c>
      <c r="B49" s="22" t="n">
        <f aca="false">B48*(1+0.0001+MAX(($E$2-36),0)*0.0001+C48)</f>
        <v>463982.470396585</v>
      </c>
      <c r="C49" s="35" t="n">
        <v>0.0006</v>
      </c>
    </row>
    <row r="50" customFormat="false" ht="15" hidden="false" customHeight="false" outlineLevel="0" collapsed="false">
      <c r="A50" s="5" t="n">
        <v>1878</v>
      </c>
      <c r="B50" s="22" t="n">
        <f aca="false">B49*(1+0.0001+MAX(($E$2-36),0)*0.0001+C49)</f>
        <v>464307.258125862</v>
      </c>
      <c r="C50" s="35" t="n">
        <v>0.0006</v>
      </c>
    </row>
    <row r="51" customFormat="false" ht="15" hidden="false" customHeight="false" outlineLevel="0" collapsed="false">
      <c r="A51" s="5" t="n">
        <v>1879</v>
      </c>
      <c r="B51" s="22" t="n">
        <f aca="false">B50*(1+0.0001+MAX(($E$2-36),0)*0.0001+C50)</f>
        <v>464632.27320655</v>
      </c>
      <c r="C51" s="35" t="n">
        <v>0.0006</v>
      </c>
    </row>
    <row r="52" customFormat="false" ht="15" hidden="false" customHeight="false" outlineLevel="0" collapsed="false">
      <c r="A52" s="5" t="n">
        <v>1880</v>
      </c>
      <c r="B52" s="22" t="n">
        <f aca="false">B51*(1+0.0001+MAX(($E$2-36),0)*0.0001+C51)</f>
        <v>464957.515797795</v>
      </c>
      <c r="C52" s="35" t="n">
        <v>0.0006</v>
      </c>
    </row>
    <row r="53" customFormat="false" ht="15" hidden="false" customHeight="false" outlineLevel="0" collapsed="false">
      <c r="A53" s="5" t="n">
        <v>1881</v>
      </c>
      <c r="B53" s="22" t="n">
        <f aca="false">B52*(1+0.0001+MAX(($E$2-36),0)*0.0001+C52)</f>
        <v>465282.986058853</v>
      </c>
      <c r="C53" s="35" t="n">
        <v>0.0006</v>
      </c>
    </row>
    <row r="54" customFormat="false" ht="15" hidden="false" customHeight="false" outlineLevel="0" collapsed="false">
      <c r="A54" s="5" t="n">
        <v>1882</v>
      </c>
      <c r="B54" s="22" t="n">
        <f aca="false">B53*(1+0.0001+MAX(($E$2-36),0)*0.0001+C53)</f>
        <v>465608.684149094</v>
      </c>
      <c r="C54" s="35" t="n">
        <v>0.0006</v>
      </c>
    </row>
    <row r="55" customFormat="false" ht="15" hidden="false" customHeight="false" outlineLevel="0" collapsed="false">
      <c r="A55" s="5" t="n">
        <v>1883</v>
      </c>
      <c r="B55" s="22" t="n">
        <f aca="false">B54*(1+0.0001+MAX(($E$2-36),0)*0.0001+C54)</f>
        <v>465934.610227999</v>
      </c>
      <c r="C55" s="35" t="n">
        <v>0.0006</v>
      </c>
    </row>
    <row r="56" customFormat="false" ht="15" hidden="false" customHeight="false" outlineLevel="0" collapsed="false">
      <c r="A56" s="5" t="n">
        <v>1884</v>
      </c>
      <c r="B56" s="22" t="n">
        <f aca="false">B55*(1+0.0001+MAX(($E$2-36),0)*0.0001+C55)</f>
        <v>466260.764455158</v>
      </c>
      <c r="C56" s="35" t="n">
        <v>0.0006</v>
      </c>
    </row>
    <row r="57" customFormat="false" ht="15" hidden="false" customHeight="false" outlineLevel="0" collapsed="false">
      <c r="A57" s="5" t="n">
        <v>1885</v>
      </c>
      <c r="B57" s="22" t="n">
        <f aca="false">B56*(1+0.0001+MAX(($E$2-36),0)*0.0001+C56)</f>
        <v>466587.146990277</v>
      </c>
      <c r="C57" s="35" t="n">
        <v>0.0006</v>
      </c>
    </row>
    <row r="58" customFormat="false" ht="15" hidden="false" customHeight="false" outlineLevel="0" collapsed="false">
      <c r="A58" s="5" t="n">
        <v>1886</v>
      </c>
      <c r="B58" s="22" t="n">
        <f aca="false">B57*(1+0.0001+MAX(($E$2-36),0)*0.0001+C57)</f>
        <v>466913.75799317</v>
      </c>
      <c r="C58" s="35" t="n">
        <v>0.0006</v>
      </c>
    </row>
    <row r="59" customFormat="false" ht="15" hidden="false" customHeight="false" outlineLevel="0" collapsed="false">
      <c r="A59" s="5" t="n">
        <v>1887</v>
      </c>
      <c r="B59" s="22" t="n">
        <f aca="false">B58*(1+0.0001+MAX(($E$2-36),0)*0.0001+C58)</f>
        <v>467240.597623765</v>
      </c>
      <c r="C59" s="35" t="n">
        <v>0.0006</v>
      </c>
    </row>
    <row r="60" customFormat="false" ht="15" hidden="false" customHeight="false" outlineLevel="0" collapsed="false">
      <c r="A60" s="5" t="n">
        <v>1888</v>
      </c>
      <c r="B60" s="22" t="n">
        <f aca="false">B59*(1+0.0001+MAX(($E$2-36),0)*0.0001+C59)</f>
        <v>467567.666042102</v>
      </c>
      <c r="C60" s="35" t="n">
        <v>0.0006</v>
      </c>
    </row>
    <row r="61" customFormat="false" ht="15" hidden="false" customHeight="false" outlineLevel="0" collapsed="false">
      <c r="A61" s="5" t="n">
        <v>1889</v>
      </c>
      <c r="B61" s="22" t="n">
        <f aca="false">B60*(1+0.0001+MAX(($E$2-36),0)*0.0001+C60)</f>
        <v>467894.963408331</v>
      </c>
      <c r="C61" s="35" t="n">
        <v>0.0006</v>
      </c>
    </row>
    <row r="62" customFormat="false" ht="15" hidden="false" customHeight="false" outlineLevel="0" collapsed="false">
      <c r="A62" s="5" t="n">
        <v>1890</v>
      </c>
      <c r="B62" s="22" t="n">
        <f aca="false">B61*(1+0.0001+MAX(($E$2-36),0)*0.0001+C61)</f>
        <v>468222.489882717</v>
      </c>
      <c r="C62" s="35" t="n">
        <v>0.0006</v>
      </c>
    </row>
    <row r="63" customFormat="false" ht="15" hidden="false" customHeight="false" outlineLevel="0" collapsed="false">
      <c r="A63" s="5" t="n">
        <v>1891</v>
      </c>
      <c r="B63" s="22" t="n">
        <f aca="false">B62*(1+0.0001+MAX(($E$2-36),0)*0.0001+C62)</f>
        <v>468550.245625635</v>
      </c>
      <c r="C63" s="35" t="n">
        <v>0.0006</v>
      </c>
    </row>
    <row r="64" customFormat="false" ht="15" hidden="false" customHeight="false" outlineLevel="0" collapsed="false">
      <c r="A64" s="5" t="n">
        <v>1892</v>
      </c>
      <c r="B64" s="22" t="n">
        <f aca="false">B63*(1+0.0001+MAX(($E$2-36),0)*0.0001+C63)</f>
        <v>468878.230797573</v>
      </c>
      <c r="C64" s="35" t="n">
        <v>0.0006</v>
      </c>
    </row>
    <row r="65" customFormat="false" ht="15" hidden="false" customHeight="false" outlineLevel="0" collapsed="false">
      <c r="A65" s="5" t="n">
        <v>1893</v>
      </c>
      <c r="B65" s="22" t="n">
        <f aca="false">B64*(1+0.0001+MAX(($E$2-36),0)*0.0001+C64)</f>
        <v>469206.445559131</v>
      </c>
      <c r="C65" s="35" t="n">
        <v>0.0006</v>
      </c>
    </row>
    <row r="66" customFormat="false" ht="15" hidden="false" customHeight="false" outlineLevel="0" collapsed="false">
      <c r="A66" s="5" t="n">
        <v>1894</v>
      </c>
      <c r="B66" s="22" t="n">
        <f aca="false">B65*(1+0.0001+MAX(($E$2-36),0)*0.0001+C65)</f>
        <v>469534.890071022</v>
      </c>
      <c r="C66" s="35" t="n">
        <v>0.0006</v>
      </c>
    </row>
    <row r="67" customFormat="false" ht="15" hidden="false" customHeight="false" outlineLevel="0" collapsed="false">
      <c r="A67" s="5" t="n">
        <v>1895</v>
      </c>
      <c r="B67" s="22" t="n">
        <f aca="false">B66*(1+0.0001+MAX(($E$2-36),0)*0.0001+C66)</f>
        <v>469863.564494072</v>
      </c>
      <c r="C67" s="35" t="n">
        <v>0.0006</v>
      </c>
    </row>
    <row r="68" customFormat="false" ht="15" hidden="false" customHeight="false" outlineLevel="0" collapsed="false">
      <c r="A68" s="5" t="n">
        <v>1896</v>
      </c>
      <c r="B68" s="22" t="n">
        <f aca="false">B67*(1+0.0001+MAX(($E$2-36),0)*0.0001+C67)</f>
        <v>470192.468989218</v>
      </c>
      <c r="C68" s="35" t="n">
        <v>0.0006</v>
      </c>
    </row>
    <row r="69" customFormat="false" ht="15" hidden="false" customHeight="false" outlineLevel="0" collapsed="false">
      <c r="A69" s="5" t="n">
        <v>1897</v>
      </c>
      <c r="B69" s="22" t="n">
        <f aca="false">B68*(1+0.0001+MAX(($E$2-36),0)*0.0001+C68)</f>
        <v>470521.60371751</v>
      </c>
      <c r="C69" s="35" t="n">
        <v>0.0006</v>
      </c>
    </row>
    <row r="70" customFormat="false" ht="15" hidden="false" customHeight="false" outlineLevel="0" collapsed="false">
      <c r="A70" s="5" t="n">
        <v>1898</v>
      </c>
      <c r="B70" s="22" t="n">
        <f aca="false">B69*(1+0.0001+MAX(($E$2-36),0)*0.0001+C69)</f>
        <v>470850.968840112</v>
      </c>
      <c r="C70" s="35" t="n">
        <v>0.0006</v>
      </c>
    </row>
    <row r="71" customFormat="false" ht="15" hidden="false" customHeight="false" outlineLevel="0" collapsed="false">
      <c r="A71" s="5" t="n">
        <v>1899</v>
      </c>
      <c r="B71" s="22" t="n">
        <f aca="false">B70*(1+0.0001+MAX(($E$2-36),0)*0.0001+C70)</f>
        <v>471180.5645183</v>
      </c>
      <c r="C71" s="35" t="n">
        <v>0.0006</v>
      </c>
    </row>
    <row r="72" customFormat="false" ht="15" hidden="false" customHeight="false" outlineLevel="0" collapsed="false">
      <c r="A72" s="5" t="n">
        <v>1900</v>
      </c>
      <c r="B72" s="22" t="n">
        <f aca="false">B71*(1+0.0001+MAX(($E$2-36),0)*0.0001+C71)</f>
        <v>471510.390913463</v>
      </c>
      <c r="C72" s="35" t="n">
        <v>0.0006</v>
      </c>
    </row>
    <row r="73" customFormat="false" ht="15" hidden="false" customHeight="false" outlineLevel="0" collapsed="false">
      <c r="A73" s="5" t="n">
        <v>1901</v>
      </c>
      <c r="B73" s="22" t="n">
        <f aca="false">B72*(1+0.0001+MAX(($E$2-36),0)*0.0001+C72)</f>
        <v>471840.448187103</v>
      </c>
      <c r="C73" s="35" t="n">
        <v>0.0006</v>
      </c>
    </row>
    <row r="74" customFormat="false" ht="15" hidden="false" customHeight="false" outlineLevel="0" collapsed="false">
      <c r="A74" s="5" t="n">
        <v>1902</v>
      </c>
      <c r="B74" s="22" t="n">
        <f aca="false">B73*(1+0.0001+MAX(($E$2-36),0)*0.0001+C73)</f>
        <v>472170.736500834</v>
      </c>
      <c r="C74" s="35" t="n">
        <v>0.0006</v>
      </c>
    </row>
    <row r="75" customFormat="false" ht="15" hidden="false" customHeight="false" outlineLevel="0" collapsed="false">
      <c r="A75" s="5" t="n">
        <v>1903</v>
      </c>
      <c r="B75" s="22" t="n">
        <f aca="false">B74*(1+0.0001+MAX(($E$2-36),0)*0.0001+C74)</f>
        <v>472501.256016384</v>
      </c>
      <c r="C75" s="35" t="n">
        <v>0.0006</v>
      </c>
    </row>
    <row r="76" customFormat="false" ht="15" hidden="false" customHeight="false" outlineLevel="0" collapsed="false">
      <c r="A76" s="5" t="n">
        <v>1904</v>
      </c>
      <c r="B76" s="22" t="n">
        <f aca="false">B75*(1+0.0001+MAX(($E$2-36),0)*0.0001+C75)</f>
        <v>472832.006895595</v>
      </c>
      <c r="C76" s="35" t="n">
        <v>0.0006</v>
      </c>
    </row>
    <row r="77" customFormat="false" ht="15" hidden="false" customHeight="false" outlineLevel="0" collapsed="false">
      <c r="A77" s="5" t="n">
        <v>1905</v>
      </c>
      <c r="B77" s="22" t="n">
        <f aca="false">B76*(1+0.0001+MAX(($E$2-36),0)*0.0001+C76)</f>
        <v>473162.989300422</v>
      </c>
      <c r="C77" s="35" t="n">
        <v>0.0006</v>
      </c>
    </row>
    <row r="78" customFormat="false" ht="15" hidden="false" customHeight="false" outlineLevel="0" collapsed="false">
      <c r="A78" s="5" t="n">
        <v>1906</v>
      </c>
      <c r="B78" s="22" t="n">
        <f aca="false">B77*(1+0.0001+MAX(($E$2-36),0)*0.0001+C77)</f>
        <v>473494.203392933</v>
      </c>
      <c r="C78" s="35" t="n">
        <v>0.0006</v>
      </c>
    </row>
    <row r="79" customFormat="false" ht="15" hidden="false" customHeight="false" outlineLevel="0" collapsed="false">
      <c r="A79" s="5" t="n">
        <v>1907</v>
      </c>
      <c r="B79" s="22" t="n">
        <f aca="false">B78*(1+0.0001+MAX(($E$2-36),0)*0.0001+C78)</f>
        <v>473825.649335308</v>
      </c>
      <c r="C79" s="35" t="n">
        <v>0.0006</v>
      </c>
    </row>
    <row r="80" customFormat="false" ht="15" hidden="false" customHeight="false" outlineLevel="0" collapsed="false">
      <c r="A80" s="5" t="n">
        <v>1908</v>
      </c>
      <c r="B80" s="22" t="n">
        <f aca="false">B79*(1+0.0001+MAX(($E$2-36),0)*0.0001+C79)</f>
        <v>474157.327289842</v>
      </c>
      <c r="C80" s="35" t="n">
        <v>0.0007</v>
      </c>
    </row>
    <row r="81" customFormat="false" ht="15" hidden="false" customHeight="false" outlineLevel="0" collapsed="false">
      <c r="A81" s="5" t="n">
        <v>1909</v>
      </c>
      <c r="B81" s="22" t="n">
        <f aca="false">B80*(1+0.0001+MAX(($E$2-36),0)*0.0001+C80)</f>
        <v>474536.653151674</v>
      </c>
      <c r="C81" s="35" t="n">
        <v>0.0007</v>
      </c>
    </row>
    <row r="82" customFormat="false" ht="15" hidden="false" customHeight="false" outlineLevel="0" collapsed="false">
      <c r="A82" s="5" t="n">
        <v>1910</v>
      </c>
      <c r="B82" s="22" t="n">
        <f aca="false">B81*(1+0.0001+MAX(($E$2-36),0)*0.0001+C81)</f>
        <v>474916.282474195</v>
      </c>
      <c r="C82" s="35" t="n">
        <v>0.0007</v>
      </c>
    </row>
    <row r="83" customFormat="false" ht="15" hidden="false" customHeight="false" outlineLevel="0" collapsed="false">
      <c r="A83" s="5" t="n">
        <v>1911</v>
      </c>
      <c r="B83" s="22" t="n">
        <f aca="false">B82*(1+0.0001+MAX(($E$2-36),0)*0.0001+C82)</f>
        <v>475296.215500175</v>
      </c>
      <c r="C83" s="35" t="n">
        <v>0.0007</v>
      </c>
    </row>
    <row r="84" customFormat="false" ht="15" hidden="false" customHeight="false" outlineLevel="0" collapsed="false">
      <c r="A84" s="5" t="n">
        <v>1912</v>
      </c>
      <c r="B84" s="22" t="n">
        <f aca="false">B83*(1+0.0001+MAX(($E$2-36),0)*0.0001+C83)</f>
        <v>475676.452472575</v>
      </c>
      <c r="C84" s="35" t="n">
        <v>0.0008</v>
      </c>
    </row>
    <row r="85" customFormat="false" ht="15" hidden="false" customHeight="false" outlineLevel="0" collapsed="false">
      <c r="A85" s="5" t="n">
        <v>1913</v>
      </c>
      <c r="B85" s="22" t="n">
        <f aca="false">B84*(1+0.0001+MAX(($E$2-36),0)*0.0001+C84)</f>
        <v>476104.5612798</v>
      </c>
      <c r="C85" s="35" t="n">
        <v>0.0008</v>
      </c>
    </row>
    <row r="86" customFormat="false" ht="15" hidden="false" customHeight="false" outlineLevel="0" collapsed="false">
      <c r="A86" s="5" t="n">
        <v>1914</v>
      </c>
      <c r="B86" s="22" t="n">
        <f aca="false">B85*(1+0.0001+MAX(($E$2-36),0)*0.0001+C85)</f>
        <v>476533.055384952</v>
      </c>
      <c r="C86" s="35" t="n">
        <v>0.0008</v>
      </c>
    </row>
    <row r="87" customFormat="false" ht="15" hidden="false" customHeight="false" outlineLevel="0" collapsed="false">
      <c r="A87" s="5" t="n">
        <v>1915</v>
      </c>
      <c r="B87" s="22" t="n">
        <f aca="false">B86*(1+0.0001+MAX(($E$2-36),0)*0.0001+C86)</f>
        <v>476961.935134798</v>
      </c>
      <c r="C87" s="35" t="n">
        <v>0.0008</v>
      </c>
    </row>
    <row r="88" customFormat="false" ht="15" hidden="false" customHeight="false" outlineLevel="0" collapsed="false">
      <c r="A88" s="5" t="n">
        <v>1916</v>
      </c>
      <c r="B88" s="22" t="n">
        <f aca="false">B87*(1+0.0001+MAX(($E$2-36),0)*0.0001+C87)</f>
        <v>477391.20087642</v>
      </c>
      <c r="C88" s="35" t="n">
        <v>0.0008</v>
      </c>
    </row>
    <row r="89" customFormat="false" ht="15" hidden="false" customHeight="false" outlineLevel="0" collapsed="false">
      <c r="A89" s="5" t="n">
        <v>1917</v>
      </c>
      <c r="B89" s="22" t="n">
        <f aca="false">B88*(1+0.0001+MAX(($E$2-36),0)*0.0001+C88)</f>
        <v>477820.852957208</v>
      </c>
      <c r="C89" s="35" t="n">
        <v>0.0008</v>
      </c>
    </row>
    <row r="90" customFormat="false" ht="15" hidden="false" customHeight="false" outlineLevel="0" collapsed="false">
      <c r="A90" s="5" t="n">
        <v>1918</v>
      </c>
      <c r="B90" s="22" t="n">
        <f aca="false">B89*(1+0.0001+MAX(($E$2-36),0)*0.0001+C89)</f>
        <v>478250.89172487</v>
      </c>
      <c r="C90" s="35" t="n">
        <v>0.0008</v>
      </c>
    </row>
    <row r="91" customFormat="false" ht="15" hidden="false" customHeight="false" outlineLevel="0" collapsed="false">
      <c r="A91" s="5" t="n">
        <v>1919</v>
      </c>
      <c r="B91" s="22" t="n">
        <f aca="false">B90*(1+0.0001+MAX(($E$2-36),0)*0.0001+C90)</f>
        <v>478681.317527422</v>
      </c>
      <c r="C91" s="35" t="n">
        <v>0.0008</v>
      </c>
    </row>
    <row r="92" customFormat="false" ht="15" hidden="false" customHeight="false" outlineLevel="0" collapsed="false">
      <c r="A92" s="5" t="n">
        <v>1920</v>
      </c>
      <c r="B92" s="22" t="n">
        <f aca="false">B91*(1+0.0001+MAX(($E$2-36),0)*0.0001+C91)</f>
        <v>479112.130713197</v>
      </c>
      <c r="C92" s="35" t="n">
        <v>0.0008</v>
      </c>
    </row>
    <row r="93" customFormat="false" ht="15" hidden="false" customHeight="false" outlineLevel="0" collapsed="false">
      <c r="A93" s="5" t="n">
        <v>1921</v>
      </c>
      <c r="B93" s="22" t="n">
        <f aca="false">B92*(1+0.0001+MAX(($E$2-36),0)*0.0001+C92)</f>
        <v>479543.331630838</v>
      </c>
      <c r="C93" s="35" t="n">
        <v>0.0008</v>
      </c>
    </row>
    <row r="94" customFormat="false" ht="15" hidden="false" customHeight="false" outlineLevel="0" collapsed="false">
      <c r="A94" s="5" t="n">
        <v>1922</v>
      </c>
      <c r="B94" s="22" t="n">
        <f aca="false">B93*(1+0.0001+MAX(($E$2-36),0)*0.0001+C93)</f>
        <v>479974.920629306</v>
      </c>
      <c r="C94" s="35" t="n">
        <v>0.0008</v>
      </c>
    </row>
    <row r="95" customFormat="false" ht="15" hidden="false" customHeight="false" outlineLevel="0" collapsed="false">
      <c r="A95" s="5" t="n">
        <v>1923</v>
      </c>
      <c r="B95" s="22" t="n">
        <f aca="false">B94*(1+0.0001+MAX(($E$2-36),0)*0.0001+C94)</f>
        <v>480406.898057873</v>
      </c>
      <c r="C95" s="35" t="n">
        <v>0.0008</v>
      </c>
    </row>
    <row r="96" customFormat="false" ht="15" hidden="false" customHeight="false" outlineLevel="0" collapsed="false">
      <c r="A96" s="5" t="n">
        <v>1924</v>
      </c>
      <c r="B96" s="22" t="n">
        <f aca="false">B95*(1+0.0001+MAX(($E$2-36),0)*0.0001+C95)</f>
        <v>480839.264266125</v>
      </c>
      <c r="C96" s="35" t="n">
        <v>0.0008</v>
      </c>
    </row>
    <row r="97" customFormat="false" ht="15" hidden="false" customHeight="false" outlineLevel="0" collapsed="false">
      <c r="A97" s="5" t="n">
        <v>1925</v>
      </c>
      <c r="B97" s="22" t="n">
        <f aca="false">B96*(1+0.0001+MAX(($E$2-36),0)*0.0001+C96)</f>
        <v>481272.019603964</v>
      </c>
      <c r="C97" s="35" t="n">
        <v>0.0008</v>
      </c>
    </row>
    <row r="98" customFormat="false" ht="15" hidden="false" customHeight="false" outlineLevel="0" collapsed="false">
      <c r="A98" s="5" t="n">
        <v>1926</v>
      </c>
      <c r="B98" s="22" t="n">
        <f aca="false">B97*(1+0.0001+MAX(($E$2-36),0)*0.0001+C97)</f>
        <v>481705.164421608</v>
      </c>
      <c r="C98" s="35" t="n">
        <v>0.0008</v>
      </c>
    </row>
    <row r="99" customFormat="false" ht="15" hidden="false" customHeight="false" outlineLevel="0" collapsed="false">
      <c r="A99" s="5" t="n">
        <v>1927</v>
      </c>
      <c r="B99" s="22" t="n">
        <f aca="false">B98*(1+0.0001+MAX(($E$2-36),0)*0.0001+C98)</f>
        <v>482138.699069587</v>
      </c>
      <c r="C99" s="35" t="n">
        <v>0.0008</v>
      </c>
    </row>
    <row r="100" customFormat="false" ht="15" hidden="false" customHeight="false" outlineLevel="0" collapsed="false">
      <c r="A100" s="5" t="n">
        <v>1928</v>
      </c>
      <c r="B100" s="22" t="n">
        <f aca="false">B99*(1+0.0001+MAX(($E$2-36),0)*0.0001+C99)</f>
        <v>482572.62389875</v>
      </c>
      <c r="C100" s="35" t="n">
        <v>0.0008</v>
      </c>
    </row>
    <row r="101" customFormat="false" ht="15" hidden="false" customHeight="false" outlineLevel="0" collapsed="false">
      <c r="A101" s="5" t="n">
        <v>1929</v>
      </c>
      <c r="B101" s="22" t="n">
        <f aca="false">B100*(1+0.0001+MAX(($E$2-36),0)*0.0001+C100)</f>
        <v>483006.939260258</v>
      </c>
      <c r="C101" s="35" t="n">
        <v>0.0008</v>
      </c>
    </row>
    <row r="102" customFormat="false" ht="15" hidden="false" customHeight="false" outlineLevel="0" collapsed="false">
      <c r="A102" s="5" t="n">
        <v>1930</v>
      </c>
      <c r="B102" s="22" t="n">
        <f aca="false">B101*(1+0.0001+MAX(($E$2-36),0)*0.0001+C101)</f>
        <v>483441.645505593</v>
      </c>
      <c r="C102" s="35" t="n">
        <v>0.0008</v>
      </c>
    </row>
    <row r="103" customFormat="false" ht="15" hidden="false" customHeight="false" outlineLevel="0" collapsed="false">
      <c r="A103" s="5" t="n">
        <v>1931</v>
      </c>
      <c r="B103" s="22" t="n">
        <f aca="false">B102*(1+0.0001+MAX(($E$2-36),0)*0.0001+C102)</f>
        <v>483876.742986548</v>
      </c>
      <c r="C103" s="35" t="n">
        <v>0.0008</v>
      </c>
    </row>
    <row r="104" customFormat="false" ht="15" hidden="false" customHeight="false" outlineLevel="0" collapsed="false">
      <c r="A104" s="5" t="n">
        <v>1932</v>
      </c>
      <c r="B104" s="22" t="n">
        <f aca="false">B103*(1+0.0001+MAX(($E$2-36),0)*0.0001+C103)</f>
        <v>484312.232055235</v>
      </c>
      <c r="C104" s="35" t="n">
        <v>0.0008</v>
      </c>
    </row>
    <row r="105" customFormat="false" ht="15" hidden="false" customHeight="false" outlineLevel="0" collapsed="false">
      <c r="A105" s="5" t="n">
        <v>1933</v>
      </c>
      <c r="B105" s="22" t="n">
        <f aca="false">B104*(1+0.0001+MAX(($E$2-36),0)*0.0001+C104)</f>
        <v>484748.113064085</v>
      </c>
      <c r="C105" s="35" t="n">
        <v>0.0008</v>
      </c>
    </row>
    <row r="106" customFormat="false" ht="15" hidden="false" customHeight="false" outlineLevel="0" collapsed="false">
      <c r="A106" s="5" t="n">
        <v>1934</v>
      </c>
      <c r="B106" s="22" t="n">
        <f aca="false">B105*(1+0.0001+MAX(($E$2-36),0)*0.0001+C105)</f>
        <v>485184.386365843</v>
      </c>
      <c r="C106" s="35" t="n">
        <v>0.0008</v>
      </c>
    </row>
    <row r="107" customFormat="false" ht="15" hidden="false" customHeight="false" outlineLevel="0" collapsed="false">
      <c r="A107" s="5" t="n">
        <v>1935</v>
      </c>
      <c r="B107" s="22" t="n">
        <f aca="false">B106*(1+0.0001+MAX(($E$2-36),0)*0.0001+C106)</f>
        <v>485621.052313572</v>
      </c>
      <c r="C107" s="35" t="n">
        <v>0.0008</v>
      </c>
    </row>
    <row r="108" customFormat="false" ht="15" hidden="false" customHeight="false" outlineLevel="0" collapsed="false">
      <c r="A108" s="5" t="n">
        <v>1936</v>
      </c>
      <c r="B108" s="22" t="n">
        <f aca="false">B107*(1+0.0001+MAX(($E$2-36),0)*0.0001+C107)</f>
        <v>486058.111260654</v>
      </c>
      <c r="C108" s="35" t="n">
        <v>0.0008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N22" activeCellId="0" sqref="N22"/>
    </sheetView>
  </sheetViews>
  <sheetFormatPr defaultColWidth="8.85546875" defaultRowHeight="15" zeroHeight="false" outlineLevelRow="0" outlineLevelCol="0"/>
  <cols>
    <col collapsed="false" customWidth="true" hidden="false" outlineLevel="0" max="9" min="9" style="0" width="9"/>
    <col collapsed="false" customWidth="true" hidden="false" outlineLevel="0" max="13" min="13" style="0" width="9"/>
    <col collapsed="false" customWidth="true" hidden="false" outlineLevel="0" max="14" min="14" style="0" width="16.42"/>
    <col collapsed="false" customWidth="true" hidden="false" outlineLevel="0" max="18" min="18" style="0" width="4.42"/>
    <col collapsed="false" customWidth="true" hidden="false" outlineLevel="0" max="19" min="19" style="0" width="10.28"/>
  </cols>
  <sheetData>
    <row r="1" customFormat="false" ht="15" hidden="false" customHeight="false" outlineLevel="0" collapsed="false">
      <c r="A1" s="36" t="s">
        <v>180</v>
      </c>
      <c r="B1" s="36"/>
      <c r="C1" s="36"/>
      <c r="D1" s="36" t="s">
        <v>181</v>
      </c>
      <c r="E1" s="36" t="s">
        <v>182</v>
      </c>
      <c r="F1" s="36" t="s">
        <v>183</v>
      </c>
      <c r="G1" s="36" t="s">
        <v>184</v>
      </c>
      <c r="H1" s="36" t="s">
        <v>185</v>
      </c>
      <c r="I1" s="36" t="s">
        <v>186</v>
      </c>
      <c r="K1" s="36" t="s">
        <v>187</v>
      </c>
      <c r="L1" s="36"/>
      <c r="N1" s="36" t="s">
        <v>188</v>
      </c>
      <c r="O1" s="36" t="s">
        <v>182</v>
      </c>
      <c r="P1" s="36" t="s">
        <v>185</v>
      </c>
      <c r="R1" s="36" t="s">
        <v>186</v>
      </c>
      <c r="S1" s="36" t="s">
        <v>189</v>
      </c>
    </row>
    <row r="2" customFormat="false" ht="15" hidden="false" customHeight="false" outlineLevel="0" collapsed="false">
      <c r="A2" s="36" t="s">
        <v>190</v>
      </c>
      <c r="B2" s="36"/>
      <c r="C2" s="36"/>
      <c r="D2" s="37" t="n">
        <v>1</v>
      </c>
      <c r="E2" s="38" t="n">
        <v>1.5</v>
      </c>
      <c r="F2" s="39" t="n">
        <v>0</v>
      </c>
      <c r="G2" s="39" t="n">
        <v>5</v>
      </c>
      <c r="H2" s="39" t="n">
        <v>30</v>
      </c>
      <c r="I2" s="39" t="n">
        <v>5</v>
      </c>
      <c r="K2" s="36" t="s">
        <v>191</v>
      </c>
      <c r="L2" s="36" t="s">
        <v>192</v>
      </c>
      <c r="N2" s="36" t="s">
        <v>193</v>
      </c>
      <c r="O2" s="38" t="n">
        <f aca="false">IF(E2=0,1,E2+1.5)</f>
        <v>3</v>
      </c>
      <c r="P2" s="38" t="n">
        <f aca="false">H2/100</f>
        <v>0.3</v>
      </c>
      <c r="R2" s="36" t="n">
        <v>0</v>
      </c>
      <c r="S2" s="36" t="n">
        <v>36</v>
      </c>
    </row>
    <row r="3" customFormat="false" ht="15" hidden="false" customHeight="false" outlineLevel="0" collapsed="false">
      <c r="A3" s="36" t="s">
        <v>194</v>
      </c>
      <c r="B3" s="36" t="s">
        <v>195</v>
      </c>
      <c r="C3" s="36"/>
      <c r="D3" s="37"/>
      <c r="E3" s="38"/>
      <c r="F3" s="39"/>
      <c r="G3" s="39"/>
      <c r="H3" s="39"/>
      <c r="I3" s="39"/>
      <c r="K3" s="40" t="n">
        <f aca="false">3000/3000*VLOOKUP(MAX(D2+I2,0),R2:S23,2,TRUE())*N3/10/(O10+IF(F10=0,0,(F10-G2)/10)/(1+P10))</f>
        <v>224.25</v>
      </c>
      <c r="L3" s="40" t="n">
        <f aca="false">3000/3000*VLOOKUP(MAX(D2+I2,0),R2:S23,2,TRUE())*N6/10/(O10+IF(F10=0,0,(F10-G2)/10)/(1+P10))</f>
        <v>401.45625</v>
      </c>
      <c r="N3" s="36" t="n">
        <f aca="false">A4+10</f>
        <v>46</v>
      </c>
      <c r="O3" s="41"/>
      <c r="P3" s="41"/>
      <c r="R3" s="36" t="n">
        <v>1</v>
      </c>
      <c r="S3" s="36" t="n">
        <v>48</v>
      </c>
    </row>
    <row r="4" customFormat="false" ht="15" hidden="false" customHeight="false" outlineLevel="0" collapsed="false">
      <c r="A4" s="42" t="n">
        <v>36</v>
      </c>
      <c r="B4" s="38" t="n">
        <v>1</v>
      </c>
      <c r="C4" s="38"/>
      <c r="D4" s="37"/>
      <c r="E4" s="38"/>
      <c r="F4" s="39"/>
      <c r="G4" s="39"/>
      <c r="H4" s="39"/>
      <c r="I4" s="39"/>
      <c r="K4" s="40" t="n">
        <f aca="false">K3+L3</f>
        <v>625.70625</v>
      </c>
      <c r="L4" s="40"/>
      <c r="R4" s="36" t="n">
        <v>2</v>
      </c>
      <c r="S4" s="36" t="n">
        <v>60</v>
      </c>
    </row>
    <row r="5" customFormat="false" ht="15" hidden="false" customHeight="false" outlineLevel="0" collapsed="false">
      <c r="A5" s="36" t="s">
        <v>196</v>
      </c>
      <c r="B5" s="36"/>
      <c r="C5" s="36"/>
      <c r="D5" s="37"/>
      <c r="E5" s="38"/>
      <c r="F5" s="39"/>
      <c r="G5" s="39"/>
      <c r="H5" s="39"/>
      <c r="I5" s="39"/>
      <c r="N5" s="36" t="s">
        <v>197</v>
      </c>
      <c r="R5" s="36" t="n">
        <v>3</v>
      </c>
      <c r="S5" s="36" t="n">
        <v>72</v>
      </c>
    </row>
    <row r="6" customFormat="false" ht="15" hidden="false" customHeight="false" outlineLevel="0" collapsed="false">
      <c r="A6" s="36" t="s">
        <v>194</v>
      </c>
      <c r="B6" s="36" t="s">
        <v>198</v>
      </c>
      <c r="C6" s="36" t="s">
        <v>195</v>
      </c>
      <c r="D6" s="37"/>
      <c r="E6" s="38"/>
      <c r="F6" s="39"/>
      <c r="G6" s="39"/>
      <c r="H6" s="39"/>
      <c r="I6" s="39"/>
      <c r="N6" s="36" t="n">
        <f aca="false">(A7+10)*B7</f>
        <v>82.35</v>
      </c>
      <c r="R6" s="36" t="n">
        <v>4</v>
      </c>
      <c r="S6" s="36" t="n">
        <v>96</v>
      </c>
    </row>
    <row r="7" customFormat="false" ht="15" hidden="false" customHeight="false" outlineLevel="0" collapsed="false">
      <c r="A7" s="42" t="n">
        <v>8.3</v>
      </c>
      <c r="B7" s="38" t="n">
        <v>4.5</v>
      </c>
      <c r="C7" s="38" t="n">
        <v>1</v>
      </c>
      <c r="D7" s="37"/>
      <c r="E7" s="38"/>
      <c r="F7" s="39"/>
      <c r="G7" s="39"/>
      <c r="H7" s="39"/>
      <c r="I7" s="39"/>
      <c r="K7" s="38" t="n">
        <f aca="false">K4/K12</f>
        <v>0.566762907608696</v>
      </c>
      <c r="L7" s="38"/>
      <c r="R7" s="36" t="n">
        <v>5</v>
      </c>
      <c r="S7" s="36" t="n">
        <v>120</v>
      </c>
    </row>
    <row r="8" customFormat="false" ht="15" hidden="false" customHeight="false" outlineLevel="0" collapsed="false">
      <c r="R8" s="36" t="n">
        <v>6</v>
      </c>
      <c r="S8" s="36" t="n">
        <v>150</v>
      </c>
    </row>
    <row r="9" customFormat="false" ht="15" hidden="false" customHeight="false" outlineLevel="0" collapsed="false">
      <c r="A9" s="36" t="s">
        <v>199</v>
      </c>
      <c r="B9" s="36"/>
      <c r="C9" s="36"/>
      <c r="D9" s="36" t="s">
        <v>181</v>
      </c>
      <c r="E9" s="36" t="s">
        <v>182</v>
      </c>
      <c r="F9" s="36" t="s">
        <v>183</v>
      </c>
      <c r="G9" s="36" t="s">
        <v>184</v>
      </c>
      <c r="H9" s="36" t="s">
        <v>185</v>
      </c>
      <c r="I9" s="36" t="s">
        <v>186</v>
      </c>
      <c r="K9" s="36" t="s">
        <v>200</v>
      </c>
      <c r="L9" s="36"/>
      <c r="N9" s="36" t="s">
        <v>188</v>
      </c>
      <c r="O9" s="36" t="s">
        <v>182</v>
      </c>
      <c r="P9" s="36" t="s">
        <v>185</v>
      </c>
      <c r="R9" s="36" t="n">
        <v>7</v>
      </c>
      <c r="S9" s="36" t="n">
        <v>180</v>
      </c>
    </row>
    <row r="10" customFormat="false" ht="15" hidden="false" customHeight="false" outlineLevel="0" collapsed="false">
      <c r="A10" s="36" t="s">
        <v>190</v>
      </c>
      <c r="B10" s="36"/>
      <c r="C10" s="36"/>
      <c r="D10" s="37" t="n">
        <v>2</v>
      </c>
      <c r="E10" s="38" t="n">
        <v>1.5</v>
      </c>
      <c r="F10" s="39" t="n">
        <v>6</v>
      </c>
      <c r="G10" s="39" t="n">
        <v>0</v>
      </c>
      <c r="H10" s="39" t="n">
        <v>30</v>
      </c>
      <c r="I10" s="39" t="n">
        <v>5</v>
      </c>
      <c r="K10" s="36" t="s">
        <v>191</v>
      </c>
      <c r="L10" s="36" t="s">
        <v>192</v>
      </c>
      <c r="N10" s="36" t="s">
        <v>201</v>
      </c>
      <c r="O10" s="38" t="n">
        <f aca="false">IF(E10=0,1,E10+1.5)</f>
        <v>3</v>
      </c>
      <c r="P10" s="38" t="n">
        <f aca="false">H10/100</f>
        <v>0.3</v>
      </c>
      <c r="R10" s="36" t="n">
        <v>8</v>
      </c>
      <c r="S10" s="36" t="n">
        <v>210</v>
      </c>
    </row>
    <row r="11" customFormat="false" ht="15" hidden="false" customHeight="false" outlineLevel="0" collapsed="false">
      <c r="A11" s="36" t="s">
        <v>202</v>
      </c>
      <c r="B11" s="36" t="s">
        <v>195</v>
      </c>
      <c r="C11" s="36"/>
      <c r="D11" s="37"/>
      <c r="E11" s="38"/>
      <c r="F11" s="39"/>
      <c r="G11" s="39"/>
      <c r="H11" s="39"/>
      <c r="I11" s="39"/>
      <c r="K11" s="40" t="n">
        <f aca="false">3000/3000*VLOOKUP(MAX(D10+I10,0),R2:S23,2,TRUE())*N11/10/(O2+IF(F2=0,0,(F2-G10)/10)/(1+P2))</f>
        <v>204</v>
      </c>
      <c r="L11" s="40" t="n">
        <f aca="false">3000/3000*VLOOKUP(MAX(D10+I10,0),R2:S23,2,TRUE())*N14/10/(O2+IF(F2=0,0,(F2-G10)/10)/(1+P2))</f>
        <v>900</v>
      </c>
      <c r="N11" s="36" t="n">
        <f aca="false">A12+10</f>
        <v>34</v>
      </c>
      <c r="O11" s="41"/>
      <c r="P11" s="41"/>
      <c r="R11" s="36" t="n">
        <v>9</v>
      </c>
      <c r="S11" s="36" t="n">
        <v>240</v>
      </c>
    </row>
    <row r="12" customFormat="false" ht="15" hidden="false" customHeight="false" outlineLevel="0" collapsed="false">
      <c r="A12" s="42" t="n">
        <v>24</v>
      </c>
      <c r="B12" s="38" t="n">
        <v>1</v>
      </c>
      <c r="C12" s="38"/>
      <c r="D12" s="37"/>
      <c r="E12" s="38"/>
      <c r="F12" s="39"/>
      <c r="G12" s="39"/>
      <c r="H12" s="39"/>
      <c r="I12" s="39"/>
      <c r="K12" s="40" t="n">
        <f aca="false">K11+L11</f>
        <v>1104</v>
      </c>
      <c r="L12" s="40"/>
      <c r="R12" s="36" t="n">
        <v>10</v>
      </c>
      <c r="S12" s="36" t="n">
        <v>270</v>
      </c>
    </row>
    <row r="13" customFormat="false" ht="15" hidden="false" customHeight="false" outlineLevel="0" collapsed="false">
      <c r="A13" s="36" t="s">
        <v>196</v>
      </c>
      <c r="B13" s="36"/>
      <c r="C13" s="36"/>
      <c r="D13" s="37"/>
      <c r="E13" s="38"/>
      <c r="F13" s="39"/>
      <c r="G13" s="39"/>
      <c r="H13" s="39"/>
      <c r="I13" s="39"/>
      <c r="N13" s="36" t="s">
        <v>203</v>
      </c>
      <c r="R13" s="36" t="n">
        <v>11</v>
      </c>
      <c r="S13" s="36" t="n">
        <v>300</v>
      </c>
    </row>
    <row r="14" customFormat="false" ht="15" hidden="false" customHeight="false" outlineLevel="0" collapsed="false">
      <c r="A14" s="36" t="s">
        <v>202</v>
      </c>
      <c r="B14" s="36" t="s">
        <v>198</v>
      </c>
      <c r="C14" s="36" t="s">
        <v>195</v>
      </c>
      <c r="D14" s="37"/>
      <c r="E14" s="38"/>
      <c r="F14" s="39"/>
      <c r="G14" s="39"/>
      <c r="H14" s="39"/>
      <c r="I14" s="39"/>
      <c r="N14" s="36" t="n">
        <f aca="false">(A15+10)*B15</f>
        <v>150</v>
      </c>
      <c r="R14" s="36" t="n">
        <v>12</v>
      </c>
      <c r="S14" s="36" t="n">
        <v>330</v>
      </c>
    </row>
    <row r="15" customFormat="false" ht="15" hidden="false" customHeight="false" outlineLevel="0" collapsed="false">
      <c r="A15" s="42" t="n">
        <v>15</v>
      </c>
      <c r="B15" s="38" t="n">
        <v>6</v>
      </c>
      <c r="C15" s="38" t="n">
        <v>0.1</v>
      </c>
      <c r="D15" s="37"/>
      <c r="E15" s="38"/>
      <c r="F15" s="39"/>
      <c r="G15" s="39"/>
      <c r="H15" s="39"/>
      <c r="I15" s="39"/>
      <c r="K15" s="38" t="n">
        <f aca="false">K12/K4</f>
        <v>1.7644062209703</v>
      </c>
      <c r="L15" s="38"/>
      <c r="R15" s="36" t="n">
        <v>13</v>
      </c>
      <c r="S15" s="36" t="n">
        <v>360</v>
      </c>
    </row>
    <row r="16" customFormat="false" ht="15" hidden="false" customHeight="false" outlineLevel="0" collapsed="false">
      <c r="R16" s="36" t="n">
        <v>14</v>
      </c>
      <c r="S16" s="36" t="n">
        <v>390</v>
      </c>
    </row>
    <row r="17" customFormat="false" ht="15" hidden="false" customHeight="false" outlineLevel="0" collapsed="false">
      <c r="J17" s="0" t="n">
        <v>0</v>
      </c>
      <c r="K17" s="0" t="n">
        <v>216</v>
      </c>
      <c r="L17" s="0" t="n">
        <v>216</v>
      </c>
      <c r="R17" s="36" t="n">
        <v>15</v>
      </c>
      <c r="S17" s="36" t="n">
        <v>420</v>
      </c>
    </row>
    <row r="18" customFormat="false" ht="15" hidden="false" customHeight="false" outlineLevel="0" collapsed="false">
      <c r="J18" s="0" t="n">
        <v>1</v>
      </c>
      <c r="K18" s="0" t="n">
        <v>309</v>
      </c>
      <c r="L18" s="0" t="n">
        <v>422</v>
      </c>
      <c r="R18" s="36" t="n">
        <v>16</v>
      </c>
      <c r="S18" s="36" t="n">
        <v>450</v>
      </c>
    </row>
    <row r="19" customFormat="false" ht="15" hidden="false" customHeight="false" outlineLevel="0" collapsed="false">
      <c r="J19" s="0" t="n">
        <v>2</v>
      </c>
      <c r="R19" s="36" t="n">
        <v>17</v>
      </c>
      <c r="S19" s="36" t="n">
        <v>480</v>
      </c>
    </row>
    <row r="20" customFormat="false" ht="15" hidden="false" customHeight="false" outlineLevel="0" collapsed="false">
      <c r="A20" s="43"/>
      <c r="J20" s="0" t="n">
        <v>3</v>
      </c>
      <c r="R20" s="36" t="n">
        <v>18</v>
      </c>
      <c r="S20" s="36" t="n">
        <v>510</v>
      </c>
    </row>
    <row r="21" customFormat="false" ht="15" hidden="false" customHeight="false" outlineLevel="0" collapsed="false">
      <c r="J21" s="0" t="n">
        <v>4</v>
      </c>
      <c r="K21" s="0" t="n">
        <v>399</v>
      </c>
      <c r="L21" s="0" t="n">
        <v>540</v>
      </c>
      <c r="R21" s="36" t="n">
        <v>19</v>
      </c>
      <c r="S21" s="36" t="n">
        <v>540</v>
      </c>
    </row>
    <row r="22" customFormat="false" ht="15" hidden="false" customHeight="false" outlineLevel="0" collapsed="false">
      <c r="J22" s="0" t="n">
        <v>5</v>
      </c>
      <c r="K22" s="0" t="n">
        <v>463</v>
      </c>
      <c r="L22" s="0" t="n">
        <v>753</v>
      </c>
      <c r="R22" s="36" t="n">
        <v>20</v>
      </c>
      <c r="S22" s="36" t="n">
        <v>570</v>
      </c>
    </row>
    <row r="23" customFormat="false" ht="15" hidden="false" customHeight="false" outlineLevel="0" collapsed="false">
      <c r="J23" s="0" t="n">
        <v>6</v>
      </c>
      <c r="K23" s="0" t="n">
        <v>626</v>
      </c>
      <c r="L23" s="0" t="n">
        <v>1104</v>
      </c>
      <c r="R23" s="36" t="n">
        <v>21</v>
      </c>
      <c r="S23" s="36" t="n">
        <v>600</v>
      </c>
    </row>
  </sheetData>
  <mergeCells count="28">
    <mergeCell ref="A1:C1"/>
    <mergeCell ref="K1:L1"/>
    <mergeCell ref="A2:C2"/>
    <mergeCell ref="D2:D7"/>
    <mergeCell ref="E2:E7"/>
    <mergeCell ref="F2:F7"/>
    <mergeCell ref="G2:G7"/>
    <mergeCell ref="H2:H7"/>
    <mergeCell ref="I2:I7"/>
    <mergeCell ref="B3:C3"/>
    <mergeCell ref="B4:C4"/>
    <mergeCell ref="K4:L4"/>
    <mergeCell ref="A5:C5"/>
    <mergeCell ref="K7:L7"/>
    <mergeCell ref="A9:C9"/>
    <mergeCell ref="K9:L9"/>
    <mergeCell ref="A10:C10"/>
    <mergeCell ref="D10:D15"/>
    <mergeCell ref="E10:E15"/>
    <mergeCell ref="F10:F15"/>
    <mergeCell ref="G10:G15"/>
    <mergeCell ref="H10:H15"/>
    <mergeCell ref="I10:I15"/>
    <mergeCell ref="B11:C11"/>
    <mergeCell ref="B12:C12"/>
    <mergeCell ref="K12:L12"/>
    <mergeCell ref="A13:C13"/>
    <mergeCell ref="K15:L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N17" activeCellId="0" sqref="N17"/>
    </sheetView>
  </sheetViews>
  <sheetFormatPr defaultColWidth="8.79296875" defaultRowHeight="15" zeroHeight="false" outlineLevelRow="0" outlineLevelCol="0"/>
  <cols>
    <col collapsed="false" customWidth="true" hidden="false" outlineLevel="0" max="1" min="1" style="0" width="4.85"/>
    <col collapsed="false" customWidth="true" hidden="false" outlineLevel="0" max="2" min="2" style="0" width="6.42"/>
    <col collapsed="false" customWidth="true" hidden="false" outlineLevel="0" max="3" min="3" style="0" width="4.57"/>
    <col collapsed="false" customWidth="true" hidden="false" outlineLevel="0" max="4" min="4" style="0" width="10.42"/>
    <col collapsed="false" customWidth="true" hidden="false" outlineLevel="0" max="5" min="5" style="0" width="7.85"/>
    <col collapsed="false" customWidth="true" hidden="false" outlineLevel="0" max="6" min="6" style="0" width="8.28"/>
    <col collapsed="false" customWidth="true" hidden="false" outlineLevel="0" max="7" min="7" style="0" width="6.42"/>
    <col collapsed="false" customWidth="true" hidden="false" outlineLevel="0" max="8" min="8" style="0" width="9.42"/>
    <col collapsed="false" customWidth="true" hidden="false" outlineLevel="0" max="9" min="9" style="0" width="11.85"/>
    <col collapsed="false" customWidth="true" hidden="false" outlineLevel="0" max="10" min="10" style="0" width="11"/>
    <col collapsed="false" customWidth="true" hidden="false" outlineLevel="0" max="11" min="11" style="0" width="4.85"/>
    <col collapsed="false" customWidth="true" hidden="false" outlineLevel="0" max="12" min="12" style="0" width="8.28"/>
  </cols>
  <sheetData>
    <row r="1" customFormat="false" ht="15" hidden="false" customHeight="false" outlineLevel="0" collapsed="false">
      <c r="A1" s="44" t="s">
        <v>180</v>
      </c>
      <c r="B1" s="44"/>
      <c r="C1" s="44"/>
      <c r="D1" s="44"/>
      <c r="E1" s="44"/>
      <c r="F1" s="44"/>
      <c r="T1" s="43" t="s">
        <v>204</v>
      </c>
      <c r="U1" s="43" t="s">
        <v>181</v>
      </c>
      <c r="W1" s="45" t="s">
        <v>0</v>
      </c>
    </row>
    <row r="2" customFormat="false" ht="15" hidden="false" customHeight="false" outlineLevel="0" collapsed="false">
      <c r="A2" s="43" t="s">
        <v>204</v>
      </c>
      <c r="B2" s="43" t="s">
        <v>194</v>
      </c>
      <c r="C2" s="43" t="s">
        <v>205</v>
      </c>
      <c r="D2" s="43" t="s">
        <v>206</v>
      </c>
      <c r="E2" s="43" t="s">
        <v>207</v>
      </c>
      <c r="F2" s="43" t="s">
        <v>208</v>
      </c>
      <c r="H2" s="43" t="s">
        <v>194</v>
      </c>
      <c r="I2" s="43" t="s">
        <v>209</v>
      </c>
      <c r="J2" s="43" t="s">
        <v>210</v>
      </c>
      <c r="T2" s="43" t="n">
        <v>-5</v>
      </c>
      <c r="U2" s="43" t="n">
        <v>2</v>
      </c>
      <c r="W2" s="45" t="s">
        <v>211</v>
      </c>
    </row>
    <row r="3" customFormat="false" ht="15" hidden="false" customHeight="false" outlineLevel="0" collapsed="false">
      <c r="A3" s="43" t="n">
        <v>7</v>
      </c>
      <c r="B3" s="43" t="n">
        <v>17</v>
      </c>
      <c r="C3" s="43" t="n">
        <v>13</v>
      </c>
      <c r="D3" s="43" t="n">
        <v>0</v>
      </c>
      <c r="E3" s="41" t="n">
        <v>0</v>
      </c>
      <c r="F3" s="41" t="n">
        <v>1</v>
      </c>
      <c r="H3" s="46" t="n">
        <f aca="false">B3*VLOOKUP(A3,$T$2:$U$21,2)/C6*(1-(D6/100))*(1-E6)*F3</f>
        <v>46.3636363636364</v>
      </c>
      <c r="I3" s="47" t="n">
        <f aca="false">H3*0.4</f>
        <v>18.5454545454545</v>
      </c>
      <c r="J3" s="48" t="n">
        <f aca="false">H3*0.2</f>
        <v>9.27272727272727</v>
      </c>
      <c r="T3" s="43" t="n">
        <v>-4</v>
      </c>
      <c r="U3" s="43" t="n">
        <v>2</v>
      </c>
      <c r="W3" s="49" t="s">
        <v>212</v>
      </c>
    </row>
    <row r="4" customFormat="false" ht="15" hidden="false" customHeight="false" outlineLevel="0" collapsed="false">
      <c r="A4" s="44" t="s">
        <v>199</v>
      </c>
      <c r="B4" s="44"/>
      <c r="C4" s="44"/>
      <c r="D4" s="44"/>
      <c r="E4" s="44"/>
      <c r="F4" s="44"/>
      <c r="T4" s="43" t="n">
        <v>-3</v>
      </c>
      <c r="U4" s="43" t="n">
        <v>2</v>
      </c>
      <c r="W4" s="49" t="s">
        <v>213</v>
      </c>
    </row>
    <row r="5" customFormat="false" ht="15" hidden="false" customHeight="false" outlineLevel="0" collapsed="false">
      <c r="A5" s="43" t="s">
        <v>204</v>
      </c>
      <c r="B5" s="43" t="s">
        <v>194</v>
      </c>
      <c r="C5" s="43" t="s">
        <v>205</v>
      </c>
      <c r="D5" s="43" t="s">
        <v>206</v>
      </c>
      <c r="E5" s="43" t="s">
        <v>207</v>
      </c>
      <c r="F5" s="43" t="s">
        <v>208</v>
      </c>
      <c r="H5" s="43" t="s">
        <v>194</v>
      </c>
      <c r="I5" s="43" t="s">
        <v>209</v>
      </c>
      <c r="J5" s="43" t="s">
        <v>210</v>
      </c>
      <c r="T5" s="43" t="n">
        <v>-2</v>
      </c>
      <c r="U5" s="43" t="n">
        <v>2</v>
      </c>
      <c r="W5" s="49" t="s">
        <v>214</v>
      </c>
    </row>
    <row r="6" customFormat="false" ht="15" hidden="false" customHeight="false" outlineLevel="0" collapsed="false">
      <c r="A6" s="43" t="n">
        <v>7</v>
      </c>
      <c r="B6" s="43" t="n">
        <v>25</v>
      </c>
      <c r="C6" s="43" t="n">
        <v>11</v>
      </c>
      <c r="D6" s="43" t="n">
        <v>0</v>
      </c>
      <c r="E6" s="41" t="n">
        <v>0</v>
      </c>
      <c r="F6" s="41" t="n">
        <v>1</v>
      </c>
      <c r="H6" s="46" t="n">
        <f aca="false">B6*VLOOKUP(A6,$T$2:$U$21,2)/C3*(1-(D3/100))*(1-E3)*F6</f>
        <v>57.6923076923077</v>
      </c>
      <c r="I6" s="47" t="n">
        <f aca="false">H6*0.4</f>
        <v>23.0769230769231</v>
      </c>
      <c r="J6" s="48" t="n">
        <f aca="false">H6*0.2</f>
        <v>11.5384615384615</v>
      </c>
      <c r="T6" s="43" t="n">
        <v>-1</v>
      </c>
      <c r="U6" s="43" t="n">
        <v>4</v>
      </c>
      <c r="W6" s="49" t="s">
        <v>215</v>
      </c>
    </row>
    <row r="7" customFormat="false" ht="15" hidden="false" customHeight="false" outlineLevel="0" collapsed="false">
      <c r="T7" s="43" t="n">
        <v>0</v>
      </c>
      <c r="U7" s="43" t="n">
        <v>6</v>
      </c>
    </row>
    <row r="8" customFormat="false" ht="15" hidden="false" customHeight="false" outlineLevel="0" collapsed="false">
      <c r="T8" s="43" t="n">
        <v>1</v>
      </c>
      <c r="U8" s="43" t="n">
        <v>8</v>
      </c>
    </row>
    <row r="9" customFormat="false" ht="15" hidden="false" customHeight="false" outlineLevel="0" collapsed="false">
      <c r="T9" s="43" t="n">
        <v>2</v>
      </c>
      <c r="U9" s="43" t="n">
        <v>10</v>
      </c>
    </row>
    <row r="10" customFormat="false" ht="15" hidden="false" customHeight="false" outlineLevel="0" collapsed="false">
      <c r="T10" s="43" t="n">
        <v>3</v>
      </c>
      <c r="U10" s="43" t="n">
        <v>12</v>
      </c>
    </row>
    <row r="11" customFormat="false" ht="15" hidden="false" customHeight="false" outlineLevel="0" collapsed="false">
      <c r="T11" s="43" t="n">
        <v>4</v>
      </c>
      <c r="U11" s="43" t="n">
        <v>16</v>
      </c>
    </row>
    <row r="12" customFormat="false" ht="15" hidden="false" customHeight="false" outlineLevel="0" collapsed="false">
      <c r="T12" s="43" t="n">
        <v>5</v>
      </c>
      <c r="U12" s="43" t="n">
        <v>20</v>
      </c>
    </row>
    <row r="13" customFormat="false" ht="15" hidden="false" customHeight="false" outlineLevel="0" collapsed="false">
      <c r="T13" s="43" t="n">
        <v>6</v>
      </c>
      <c r="U13" s="43" t="n">
        <v>25</v>
      </c>
    </row>
    <row r="14" customFormat="false" ht="15" hidden="false" customHeight="false" outlineLevel="0" collapsed="false">
      <c r="T14" s="43" t="n">
        <v>7</v>
      </c>
      <c r="U14" s="43" t="n">
        <v>30</v>
      </c>
    </row>
    <row r="15" customFormat="false" ht="15" hidden="false" customHeight="false" outlineLevel="0" collapsed="false">
      <c r="T15" s="43" t="n">
        <v>8</v>
      </c>
      <c r="U15" s="43" t="n">
        <v>35</v>
      </c>
    </row>
    <row r="16" customFormat="false" ht="15" hidden="false" customHeight="false" outlineLevel="0" collapsed="false">
      <c r="T16" s="43" t="n">
        <v>9</v>
      </c>
      <c r="U16" s="43" t="n">
        <v>40</v>
      </c>
    </row>
    <row r="17" customFormat="false" ht="15" hidden="false" customHeight="false" outlineLevel="0" collapsed="false">
      <c r="T17" s="43" t="n">
        <v>10</v>
      </c>
      <c r="U17" s="43" t="n">
        <v>45</v>
      </c>
    </row>
    <row r="18" customFormat="false" ht="15" hidden="false" customHeight="false" outlineLevel="0" collapsed="false">
      <c r="T18" s="43" t="n">
        <v>11</v>
      </c>
      <c r="U18" s="43" t="n">
        <v>50</v>
      </c>
    </row>
    <row r="19" customFormat="false" ht="15" hidden="false" customHeight="false" outlineLevel="0" collapsed="false">
      <c r="T19" s="43" t="n">
        <v>12</v>
      </c>
      <c r="U19" s="43" t="n">
        <v>60</v>
      </c>
    </row>
    <row r="20" customFormat="false" ht="15" hidden="false" customHeight="false" outlineLevel="0" collapsed="false">
      <c r="T20" s="43" t="n">
        <v>13</v>
      </c>
      <c r="U20" s="43" t="n">
        <v>70</v>
      </c>
    </row>
    <row r="21" customFormat="false" ht="15" hidden="false" customHeight="false" outlineLevel="0" collapsed="false">
      <c r="T21" s="43" t="n">
        <v>14</v>
      </c>
      <c r="U21" s="43" t="n">
        <v>80</v>
      </c>
    </row>
  </sheetData>
  <mergeCells count="2">
    <mergeCell ref="A1:F1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92"/>
  <sheetViews>
    <sheetView showFormulas="false" showGridLines="true" showRowColHeaders="true" showZeros="true" rightToLeft="false" tabSelected="false" showOutlineSymbols="true" defaultGridColor="true" view="normal" topLeftCell="A34" colorId="64" zoomScale="120" zoomScaleNormal="120" zoomScalePageLayoutView="100" workbookViewId="0">
      <pane xSplit="1" ySplit="0" topLeftCell="B34" activePane="topRight" state="frozen"/>
      <selection pane="topLeft" activeCell="A34" activeCellId="0" sqref="A34"/>
      <selection pane="topRight" activeCell="A56" activeCellId="0" sqref="A56"/>
    </sheetView>
  </sheetViews>
  <sheetFormatPr defaultColWidth="8.85546875" defaultRowHeight="15" zeroHeight="false" outlineLevelRow="0" outlineLevelCol="0"/>
  <cols>
    <col collapsed="false" customWidth="true" hidden="false" outlineLevel="0" max="1" min="1" style="43" width="13.71"/>
    <col collapsed="false" customWidth="true" hidden="false" outlineLevel="0" max="2" min="2" style="50" width="12.72"/>
    <col collapsed="false" customWidth="true" hidden="false" outlineLevel="0" max="3" min="3" style="50" width="14.42"/>
    <col collapsed="false" customWidth="true" hidden="false" outlineLevel="0" max="4" min="4" style="50" width="15.57"/>
    <col collapsed="false" customWidth="true" hidden="false" outlineLevel="0" max="5" min="5" style="51" width="16.42"/>
    <col collapsed="false" customWidth="true" hidden="false" outlineLevel="0" max="6" min="6" style="50" width="18.71"/>
    <col collapsed="false" customWidth="true" hidden="false" outlineLevel="0" max="7" min="7" style="50" width="13.57"/>
    <col collapsed="false" customWidth="true" hidden="false" outlineLevel="0" max="8" min="8" style="50" width="14.85"/>
    <col collapsed="false" customWidth="true" hidden="false" outlineLevel="0" max="9" min="9" style="51" width="14"/>
    <col collapsed="false" customWidth="false" hidden="false" outlineLevel="0" max="10" min="10" style="51" width="8.85"/>
    <col collapsed="false" customWidth="true" hidden="false" outlineLevel="0" max="11" min="11" style="50" width="13.42"/>
    <col collapsed="false" customWidth="true" hidden="false" outlineLevel="0" max="12" min="12" style="50" width="17"/>
    <col collapsed="false" customWidth="true" hidden="false" outlineLevel="0" max="13" min="13" style="50" width="18.28"/>
    <col collapsed="false" customWidth="true" hidden="false" outlineLevel="0" max="14" min="14" style="50" width="11.71"/>
    <col collapsed="false" customWidth="true" hidden="false" outlineLevel="0" max="15" min="15" style="52" width="11.42"/>
    <col collapsed="false" customWidth="true" hidden="false" outlineLevel="0" max="16" min="16" style="50" width="19"/>
    <col collapsed="false" customWidth="true" hidden="false" outlineLevel="0" max="17" min="17" style="50" width="26.28"/>
    <col collapsed="false" customWidth="true" hidden="false" outlineLevel="0" max="18" min="18" style="53" width="11"/>
    <col collapsed="false" customWidth="true" hidden="false" outlineLevel="0" max="19" min="19" style="0" width="10.14"/>
    <col collapsed="false" customWidth="true" hidden="false" outlineLevel="0" max="20" min="20" style="0" width="16.72"/>
    <col collapsed="false" customWidth="true" hidden="false" outlineLevel="0" max="21" min="21" style="54" width="12.28"/>
    <col collapsed="false" customWidth="true" hidden="false" outlineLevel="0" max="22" min="22" style="50" width="13.28"/>
    <col collapsed="false" customWidth="true" hidden="false" outlineLevel="0" max="23" min="23" style="50" width="12"/>
    <col collapsed="false" customWidth="true" hidden="false" outlineLevel="0" max="24" min="24" style="50" width="10.57"/>
    <col collapsed="false" customWidth="true" hidden="false" outlineLevel="0" max="25" min="25" style="50" width="11.42"/>
    <col collapsed="false" customWidth="false" hidden="false" outlineLevel="0" max="26" min="26" style="50" width="8.85"/>
    <col collapsed="false" customWidth="true" hidden="false" outlineLevel="0" max="27" min="27" style="50" width="12.57"/>
    <col collapsed="false" customWidth="true" hidden="false" outlineLevel="0" max="28" min="28" style="50" width="10"/>
    <col collapsed="false" customWidth="true" hidden="false" outlineLevel="0" max="29" min="29" style="50" width="16"/>
    <col collapsed="false" customWidth="true" hidden="false" outlineLevel="0" max="30" min="30" style="50" width="11"/>
    <col collapsed="false" customWidth="true" hidden="false" outlineLevel="0" max="31" min="31" style="50" width="8.42"/>
    <col collapsed="false" customWidth="true" hidden="false" outlineLevel="0" max="32" min="32" style="50" width="12.57"/>
    <col collapsed="false" customWidth="true" hidden="false" outlineLevel="0" max="33" min="33" style="50" width="20.57"/>
    <col collapsed="false" customWidth="true" hidden="false" outlineLevel="0" max="34" min="34" style="50" width="12.42"/>
    <col collapsed="false" customWidth="true" hidden="false" outlineLevel="0" max="35" min="35" style="50" width="13.85"/>
    <col collapsed="false" customWidth="true" hidden="false" outlineLevel="0" max="36" min="36" style="50" width="10"/>
    <col collapsed="false" customWidth="true" hidden="false" outlineLevel="0" max="37" min="37" style="50" width="11.57"/>
    <col collapsed="false" customWidth="true" hidden="false" outlineLevel="0" max="38" min="38" style="50" width="14.14"/>
    <col collapsed="false" customWidth="true" hidden="false" outlineLevel="0" max="39" min="39" style="50" width="20.28"/>
    <col collapsed="false" customWidth="true" hidden="false" outlineLevel="0" max="40" min="40" style="50" width="12.42"/>
    <col collapsed="false" customWidth="true" hidden="false" outlineLevel="0" max="41" min="41" style="50" width="15.13"/>
    <col collapsed="false" customWidth="true" hidden="false" outlineLevel="0" max="42" min="42" style="50" width="16.72"/>
    <col collapsed="false" customWidth="true" hidden="false" outlineLevel="0" max="43" min="43" style="50" width="26.14"/>
    <col collapsed="false" customWidth="true" hidden="false" outlineLevel="0" max="44" min="44" style="50" width="27.71"/>
    <col collapsed="false" customWidth="true" hidden="false" outlineLevel="0" max="45" min="45" style="50" width="13.13"/>
    <col collapsed="false" customWidth="true" hidden="false" outlineLevel="0" max="46" min="46" style="50" width="17.42"/>
    <col collapsed="false" customWidth="true" hidden="false" outlineLevel="0" max="47" min="47" style="50" width="14.14"/>
    <col collapsed="false" customWidth="true" hidden="false" outlineLevel="0" max="48" min="48" style="50" width="11.14"/>
    <col collapsed="false" customWidth="true" hidden="false" outlineLevel="0" max="49" min="49" style="50" width="18.71"/>
    <col collapsed="false" customWidth="true" hidden="false" outlineLevel="0" max="50" min="50" style="50" width="12.57"/>
    <col collapsed="false" customWidth="true" hidden="false" outlineLevel="0" max="51" min="51" style="50" width="15.28"/>
    <col collapsed="false" customWidth="true" hidden="false" outlineLevel="0" max="52" min="52" style="50" width="11.14"/>
    <col collapsed="false" customWidth="true" hidden="false" outlineLevel="0" max="53" min="53" style="50" width="11.42"/>
    <col collapsed="false" customWidth="true" hidden="false" outlineLevel="0" max="54" min="54" style="50" width="12.28"/>
    <col collapsed="false" customWidth="true" hidden="false" outlineLevel="0" max="55" min="55" style="50" width="16.57"/>
    <col collapsed="false" customWidth="true" hidden="false" outlineLevel="0" max="56" min="56" style="50" width="15.13"/>
    <col collapsed="false" customWidth="true" hidden="false" outlineLevel="0" max="57" min="57" style="50" width="10.57"/>
    <col collapsed="false" customWidth="true" hidden="false" outlineLevel="0" max="58" min="58" style="50" width="11.85"/>
    <col collapsed="false" customWidth="true" hidden="false" outlineLevel="0" max="59" min="59" style="50" width="13.57"/>
    <col collapsed="false" customWidth="true" hidden="false" outlineLevel="0" max="60" min="60" style="50" width="11.85"/>
    <col collapsed="false" customWidth="true" hidden="false" outlineLevel="0" max="61" min="61" style="50" width="16.42"/>
    <col collapsed="false" customWidth="true" hidden="false" outlineLevel="0" max="62" min="62" style="50" width="20.57"/>
    <col collapsed="false" customWidth="true" hidden="false" outlineLevel="0" max="63" min="63" style="50" width="21.14"/>
    <col collapsed="false" customWidth="true" hidden="false" outlineLevel="0" max="64" min="64" style="50" width="20.28"/>
    <col collapsed="false" customWidth="true" hidden="false" outlineLevel="0" max="65" min="65" style="50" width="15.57"/>
    <col collapsed="false" customWidth="true" hidden="false" outlineLevel="0" max="66" min="66" style="50" width="15.13"/>
    <col collapsed="false" customWidth="true" hidden="false" outlineLevel="0" max="67" min="67" style="50" width="17.86"/>
    <col collapsed="false" customWidth="true" hidden="false" outlineLevel="0" max="68" min="68" style="50" width="18.85"/>
    <col collapsed="false" customWidth="true" hidden="false" outlineLevel="0" max="69" min="69" style="50" width="13.71"/>
    <col collapsed="false" customWidth="true" hidden="false" outlineLevel="0" max="70" min="70" style="50" width="18.57"/>
    <col collapsed="false" customWidth="true" hidden="false" outlineLevel="0" max="71" min="71" style="50" width="17.72"/>
    <col collapsed="false" customWidth="true" hidden="false" outlineLevel="0" max="72" min="72" style="50" width="14.29"/>
    <col collapsed="false" customWidth="true" hidden="false" outlineLevel="0" max="73" min="73" style="50" width="19.28"/>
    <col collapsed="false" customWidth="true" hidden="false" outlineLevel="0" max="74" min="74" style="50" width="17.72"/>
    <col collapsed="false" customWidth="true" hidden="false" outlineLevel="0" max="75" min="75" style="50" width="12.72"/>
    <col collapsed="false" customWidth="true" hidden="false" outlineLevel="0" max="76" min="76" style="50" width="21.72"/>
    <col collapsed="false" customWidth="true" hidden="false" outlineLevel="0" max="77" min="77" style="50" width="19"/>
    <col collapsed="false" customWidth="true" hidden="false" outlineLevel="0" max="78" min="78" style="50" width="11.57"/>
    <col collapsed="false" customWidth="true" hidden="false" outlineLevel="0" max="79" min="79" style="50" width="12.14"/>
    <col collapsed="false" customWidth="true" hidden="false" outlineLevel="0" max="80" min="80" style="50" width="11.57"/>
    <col collapsed="false" customWidth="true" hidden="false" outlineLevel="0" max="81" min="81" style="50" width="9"/>
    <col collapsed="false" customWidth="true" hidden="false" outlineLevel="0" max="82" min="82" style="50" width="13.13"/>
    <col collapsed="false" customWidth="true" hidden="false" outlineLevel="0" max="83" min="83" style="50" width="10.42"/>
    <col collapsed="false" customWidth="true" hidden="false" outlineLevel="0" max="88" min="88" style="0" width="11.28"/>
    <col collapsed="false" customWidth="true" hidden="false" outlineLevel="0" max="89" min="89" style="0" width="5"/>
    <col collapsed="false" customWidth="true" hidden="false" outlineLevel="0" max="90" min="90" style="0" width="10.42"/>
    <col collapsed="false" customWidth="true" hidden="false" outlineLevel="0" max="92" min="92" style="0" width="8.28"/>
    <col collapsed="false" customWidth="true" hidden="false" outlineLevel="0" max="96" min="93" style="0" width="12.85"/>
    <col collapsed="false" customWidth="true" hidden="false" outlineLevel="0" max="105" min="105" style="0" width="9.72"/>
  </cols>
  <sheetData>
    <row r="1" s="43" customFormat="true" ht="15" hidden="false" customHeight="false" outlineLevel="0" collapsed="false">
      <c r="A1" s="43" t="s">
        <v>0</v>
      </c>
      <c r="B1" s="43" t="s">
        <v>104</v>
      </c>
      <c r="C1" s="43" t="s">
        <v>216</v>
      </c>
      <c r="D1" s="43" t="s">
        <v>103</v>
      </c>
      <c r="E1" s="43" t="s">
        <v>217</v>
      </c>
      <c r="F1" s="43" t="s">
        <v>218</v>
      </c>
      <c r="G1" s="43" t="s">
        <v>143</v>
      </c>
      <c r="H1" s="43" t="s">
        <v>142</v>
      </c>
      <c r="I1" s="43" t="s">
        <v>219</v>
      </c>
      <c r="J1" s="43" t="s">
        <v>220</v>
      </c>
      <c r="K1" s="43" t="s">
        <v>221</v>
      </c>
      <c r="L1" s="43" t="s">
        <v>222</v>
      </c>
      <c r="M1" s="43" t="s">
        <v>223</v>
      </c>
      <c r="N1" s="43" t="s">
        <v>224</v>
      </c>
      <c r="O1" s="43" t="s">
        <v>85</v>
      </c>
      <c r="P1" s="43" t="s">
        <v>225</v>
      </c>
      <c r="Q1" s="43" t="s">
        <v>226</v>
      </c>
      <c r="R1" s="43" t="s">
        <v>146</v>
      </c>
      <c r="S1" s="43" t="s">
        <v>227</v>
      </c>
      <c r="T1" s="43" t="s">
        <v>228</v>
      </c>
      <c r="U1" s="43" t="s">
        <v>229</v>
      </c>
      <c r="V1" s="55" t="s">
        <v>230</v>
      </c>
      <c r="W1" s="55" t="s">
        <v>231</v>
      </c>
      <c r="X1" s="55" t="s">
        <v>232</v>
      </c>
      <c r="Y1" s="55" t="s">
        <v>233</v>
      </c>
      <c r="Z1" s="55" t="s">
        <v>234</v>
      </c>
      <c r="AA1" s="55" t="s">
        <v>235</v>
      </c>
      <c r="AB1" s="55" t="s">
        <v>236</v>
      </c>
      <c r="AC1" s="55" t="s">
        <v>237</v>
      </c>
      <c r="AD1" s="55" t="s">
        <v>238</v>
      </c>
      <c r="AE1" s="55" t="s">
        <v>239</v>
      </c>
      <c r="AF1" s="55" t="s">
        <v>240</v>
      </c>
      <c r="AG1" s="55" t="s">
        <v>241</v>
      </c>
      <c r="AH1" s="55" t="s">
        <v>242</v>
      </c>
      <c r="AI1" s="55" t="s">
        <v>243</v>
      </c>
      <c r="AJ1" s="55" t="s">
        <v>244</v>
      </c>
      <c r="AK1" s="55" t="s">
        <v>245</v>
      </c>
      <c r="AL1" s="55" t="s">
        <v>246</v>
      </c>
      <c r="AM1" s="55" t="s">
        <v>247</v>
      </c>
      <c r="AN1" s="55" t="s">
        <v>248</v>
      </c>
      <c r="AO1" s="55" t="s">
        <v>249</v>
      </c>
      <c r="AP1" s="55" t="s">
        <v>250</v>
      </c>
      <c r="AQ1" s="55" t="s">
        <v>251</v>
      </c>
      <c r="AR1" s="55" t="s">
        <v>252</v>
      </c>
      <c r="AS1" s="55" t="s">
        <v>253</v>
      </c>
      <c r="AT1" s="55" t="s">
        <v>254</v>
      </c>
      <c r="AU1" s="55" t="s">
        <v>255</v>
      </c>
      <c r="AV1" s="55" t="s">
        <v>256</v>
      </c>
      <c r="AW1" s="55" t="s">
        <v>257</v>
      </c>
      <c r="AX1" s="55" t="s">
        <v>258</v>
      </c>
      <c r="AY1" s="55" t="s">
        <v>259</v>
      </c>
      <c r="AZ1" s="55" t="s">
        <v>260</v>
      </c>
      <c r="BA1" s="55" t="s">
        <v>261</v>
      </c>
      <c r="BB1" s="55" t="s">
        <v>262</v>
      </c>
      <c r="BC1" s="55" t="s">
        <v>263</v>
      </c>
      <c r="BD1" s="55" t="s">
        <v>264</v>
      </c>
      <c r="BE1" s="55" t="s">
        <v>265</v>
      </c>
      <c r="BF1" s="55" t="s">
        <v>266</v>
      </c>
      <c r="BG1" s="55" t="s">
        <v>267</v>
      </c>
      <c r="BH1" s="55" t="s">
        <v>268</v>
      </c>
      <c r="BI1" s="55" t="s">
        <v>269</v>
      </c>
      <c r="BJ1" s="55" t="s">
        <v>270</v>
      </c>
      <c r="BK1" s="55" t="s">
        <v>271</v>
      </c>
      <c r="BL1" s="55" t="s">
        <v>272</v>
      </c>
      <c r="BM1" s="55" t="s">
        <v>273</v>
      </c>
      <c r="BN1" s="55" t="s">
        <v>274</v>
      </c>
      <c r="BO1" s="55" t="s">
        <v>275</v>
      </c>
      <c r="BP1" s="55" t="s">
        <v>276</v>
      </c>
      <c r="BQ1" s="55" t="s">
        <v>277</v>
      </c>
      <c r="BR1" s="55" t="s">
        <v>278</v>
      </c>
      <c r="BS1" s="55" t="s">
        <v>279</v>
      </c>
      <c r="BT1" s="55" t="s">
        <v>280</v>
      </c>
      <c r="BU1" s="55" t="s">
        <v>281</v>
      </c>
      <c r="BV1" s="55" t="s">
        <v>282</v>
      </c>
      <c r="BW1" s="55" t="s">
        <v>283</v>
      </c>
      <c r="BX1" s="55" t="s">
        <v>284</v>
      </c>
      <c r="BY1" s="55" t="s">
        <v>285</v>
      </c>
      <c r="BZ1" s="55" t="s">
        <v>286</v>
      </c>
      <c r="CA1" s="55" t="s">
        <v>287</v>
      </c>
      <c r="CB1" s="55" t="s">
        <v>288</v>
      </c>
      <c r="CC1" s="55" t="s">
        <v>289</v>
      </c>
      <c r="CD1" s="55" t="s">
        <v>290</v>
      </c>
      <c r="CE1" s="55" t="s">
        <v>291</v>
      </c>
    </row>
    <row r="2" customFormat="false" ht="15" hidden="false" customHeight="false" outlineLevel="0" collapsed="false">
      <c r="A2" s="43" t="s">
        <v>292</v>
      </c>
      <c r="B2" s="50" t="n">
        <v>0.2</v>
      </c>
      <c r="C2" s="50" t="n">
        <v>0.1</v>
      </c>
      <c r="D2" s="50" t="n">
        <v>0.2</v>
      </c>
      <c r="E2" s="51" t="n">
        <v>1</v>
      </c>
      <c r="F2" s="50" t="n">
        <v>1</v>
      </c>
      <c r="G2" s="50" t="n">
        <v>1</v>
      </c>
      <c r="H2" s="50" t="n">
        <v>1</v>
      </c>
      <c r="I2" s="51" t="n">
        <v>1</v>
      </c>
      <c r="J2" s="51" t="n">
        <v>1</v>
      </c>
      <c r="K2" s="50" t="n">
        <v>1</v>
      </c>
      <c r="L2" s="50" t="n">
        <v>1</v>
      </c>
      <c r="M2" s="50" t="n">
        <v>1</v>
      </c>
      <c r="N2" s="56" t="n">
        <v>1</v>
      </c>
      <c r="O2" s="52" t="n">
        <v>0.0001</v>
      </c>
      <c r="P2" s="57" t="n">
        <v>1</v>
      </c>
      <c r="Q2" s="50" t="n">
        <v>1</v>
      </c>
      <c r="T2" s="0" t="n">
        <v>1</v>
      </c>
      <c r="U2" s="56" t="n">
        <v>1</v>
      </c>
      <c r="V2" s="56" t="n">
        <v>1</v>
      </c>
      <c r="W2" s="56" t="n">
        <v>1</v>
      </c>
      <c r="X2" s="56" t="n">
        <v>1</v>
      </c>
      <c r="Y2" s="56" t="n">
        <v>1</v>
      </c>
      <c r="Z2" s="56" t="n">
        <v>1</v>
      </c>
      <c r="AA2" s="56" t="n">
        <v>1</v>
      </c>
      <c r="AB2" s="56" t="n">
        <v>1</v>
      </c>
      <c r="AC2" s="56" t="n">
        <v>1</v>
      </c>
      <c r="AD2" s="56" t="n">
        <v>1</v>
      </c>
      <c r="AE2" s="56" t="n">
        <v>1</v>
      </c>
      <c r="AF2" s="56" t="n">
        <v>1</v>
      </c>
      <c r="AG2" s="56" t="n">
        <v>1</v>
      </c>
      <c r="AH2" s="56" t="n">
        <v>1</v>
      </c>
      <c r="AI2" s="56" t="n">
        <v>1</v>
      </c>
      <c r="AJ2" s="56" t="n">
        <v>1</v>
      </c>
      <c r="AK2" s="56" t="n">
        <v>1</v>
      </c>
      <c r="AL2" s="56" t="n">
        <v>1</v>
      </c>
      <c r="AM2" s="56" t="n">
        <v>1</v>
      </c>
      <c r="AN2" s="56" t="n">
        <v>1</v>
      </c>
      <c r="AO2" s="56" t="n">
        <v>1</v>
      </c>
      <c r="AP2" s="56" t="n">
        <v>1</v>
      </c>
      <c r="AQ2" s="56" t="n">
        <v>1</v>
      </c>
      <c r="AR2" s="56" t="n">
        <v>1</v>
      </c>
      <c r="AS2" s="56" t="n">
        <v>1</v>
      </c>
      <c r="AT2" s="56" t="n">
        <v>1</v>
      </c>
      <c r="AU2" s="56" t="n">
        <v>1</v>
      </c>
      <c r="AV2" s="56" t="n">
        <v>1</v>
      </c>
      <c r="AW2" s="56" t="n">
        <v>1</v>
      </c>
      <c r="AX2" s="56" t="n">
        <v>1</v>
      </c>
      <c r="AY2" s="56" t="n">
        <v>1</v>
      </c>
      <c r="AZ2" s="56" t="n">
        <v>1</v>
      </c>
      <c r="BA2" s="56" t="n">
        <v>1</v>
      </c>
      <c r="BB2" s="56" t="n">
        <v>1</v>
      </c>
      <c r="BC2" s="56" t="n">
        <v>1</v>
      </c>
      <c r="BD2" s="56" t="n">
        <v>1</v>
      </c>
      <c r="BE2" s="56" t="n">
        <v>1</v>
      </c>
      <c r="BF2" s="56" t="n">
        <v>1</v>
      </c>
      <c r="BG2" s="56" t="n">
        <v>1</v>
      </c>
      <c r="BH2" s="56" t="n">
        <v>1</v>
      </c>
      <c r="BI2" s="56" t="n">
        <v>1</v>
      </c>
      <c r="BJ2" s="56" t="n">
        <v>1</v>
      </c>
      <c r="BK2" s="56" t="n">
        <v>1</v>
      </c>
      <c r="BL2" s="56" t="n">
        <v>1</v>
      </c>
      <c r="BM2" s="56" t="n">
        <v>1</v>
      </c>
      <c r="BN2" s="56" t="n">
        <v>1</v>
      </c>
      <c r="BO2" s="56" t="n">
        <v>1</v>
      </c>
      <c r="BP2" s="56" t="n">
        <v>1</v>
      </c>
      <c r="BQ2" s="56" t="n">
        <v>1</v>
      </c>
      <c r="BR2" s="56" t="n">
        <v>1</v>
      </c>
      <c r="BS2" s="56" t="n">
        <v>1</v>
      </c>
      <c r="BT2" s="56" t="n">
        <v>1</v>
      </c>
      <c r="BU2" s="56" t="n">
        <v>1</v>
      </c>
      <c r="BV2" s="56" t="n">
        <v>1</v>
      </c>
      <c r="BW2" s="56" t="n">
        <v>1</v>
      </c>
      <c r="BX2" s="56" t="n">
        <v>1</v>
      </c>
      <c r="BY2" s="56" t="n">
        <v>1</v>
      </c>
      <c r="BZ2" s="56" t="n">
        <v>1</v>
      </c>
      <c r="CA2" s="56" t="n">
        <v>1</v>
      </c>
      <c r="CB2" s="56" t="n">
        <v>1</v>
      </c>
      <c r="CC2" s="56" t="n">
        <v>1</v>
      </c>
      <c r="CD2" s="56" t="n">
        <v>1</v>
      </c>
      <c r="CE2" s="56" t="n">
        <v>1</v>
      </c>
      <c r="CJ2" s="43"/>
      <c r="CK2" s="43"/>
      <c r="CL2" s="43"/>
      <c r="CM2" s="43"/>
      <c r="CN2" s="43"/>
      <c r="CO2" s="43"/>
      <c r="CP2" s="43"/>
      <c r="CW2" s="0" t="n">
        <v>500000</v>
      </c>
      <c r="CX2" s="50" t="n">
        <f aca="false">CZ2/$CW$2</f>
        <v>0.0076</v>
      </c>
      <c r="CY2" s="0" t="n">
        <v>1</v>
      </c>
      <c r="CZ2" s="0" t="n">
        <v>3800</v>
      </c>
      <c r="DA2" s="58" t="n">
        <f aca="false">CZ2-CZ1</f>
        <v>3800</v>
      </c>
      <c r="DB2" s="50" t="n">
        <f aca="false">CZ2/$CZ$52</f>
        <v>0.0197019816045709</v>
      </c>
    </row>
    <row r="3" customFormat="false" ht="15" hidden="false" customHeight="false" outlineLevel="0" collapsed="false">
      <c r="A3" s="43" t="s">
        <v>293</v>
      </c>
      <c r="E3" s="52"/>
      <c r="I3" s="52" t="n">
        <v>0.25</v>
      </c>
      <c r="J3" s="52" t="n">
        <v>0.25</v>
      </c>
      <c r="Q3" s="50" t="n">
        <f aca="false">-0.05-0.05-0.1-0.15</f>
        <v>-0.35</v>
      </c>
      <c r="R3" s="59"/>
      <c r="S3" s="56"/>
      <c r="T3" s="50" t="n">
        <v>-1</v>
      </c>
      <c r="CF3" s="50"/>
      <c r="CJ3" s="43"/>
      <c r="CK3" s="43"/>
      <c r="CL3" s="43"/>
      <c r="CM3" s="43"/>
      <c r="CN3" s="41"/>
      <c r="CO3" s="43"/>
      <c r="CP3" s="43"/>
      <c r="CX3" s="50" t="n">
        <f aca="false">CZ3/$CW$2</f>
        <v>0.015202</v>
      </c>
      <c r="CY3" s="0" t="n">
        <v>2</v>
      </c>
      <c r="CZ3" s="0" t="n">
        <v>7601</v>
      </c>
      <c r="DA3" s="58" t="n">
        <f aca="false">CZ3-CZ2</f>
        <v>3801</v>
      </c>
      <c r="DB3" s="50" t="n">
        <f aca="false">CZ3/$CZ$52</f>
        <v>0.0394091479411429</v>
      </c>
    </row>
    <row r="4" customFormat="false" ht="15" hidden="false" customHeight="false" outlineLevel="0" collapsed="false">
      <c r="A4" s="43" t="s">
        <v>213</v>
      </c>
      <c r="B4" s="50" t="n">
        <f aca="false">0.1+0.05</f>
        <v>0.15</v>
      </c>
      <c r="C4" s="50" t="n">
        <v>0.2</v>
      </c>
      <c r="D4" s="50" t="n">
        <f aca="false">0.1+0.05</f>
        <v>0.15</v>
      </c>
      <c r="E4" s="52"/>
      <c r="G4" s="50" t="n">
        <f aca="false">0.25+0.25+0.05</f>
        <v>0.55</v>
      </c>
      <c r="H4" s="50" t="n">
        <f aca="false">0.25+0.25+0.25</f>
        <v>0.75</v>
      </c>
      <c r="I4" s="52" t="n">
        <v>-0.25</v>
      </c>
      <c r="J4" s="52" t="n">
        <v>-0.25</v>
      </c>
      <c r="K4" s="50" t="n">
        <v>-0.01</v>
      </c>
      <c r="L4" s="50" t="n">
        <v>0.01</v>
      </c>
      <c r="Q4" s="50" t="n">
        <f aca="false">0.05+0.05+0.1+0.1+0.1+0.1</f>
        <v>0.5</v>
      </c>
      <c r="R4" s="53" t="n">
        <v>1</v>
      </c>
      <c r="S4" s="56"/>
      <c r="T4" s="50" t="n">
        <v>0.8</v>
      </c>
      <c r="AH4" s="50" t="n">
        <v>0.1</v>
      </c>
      <c r="BD4" s="50" t="n">
        <v>0.1</v>
      </c>
      <c r="BE4" s="50" t="n">
        <v>0.1</v>
      </c>
      <c r="BF4" s="50" t="n">
        <v>0.1</v>
      </c>
      <c r="BX4" s="50" t="n">
        <v>0.1</v>
      </c>
      <c r="BY4" s="50" t="n">
        <v>0.05</v>
      </c>
      <c r="CX4" s="50" t="n">
        <f aca="false">CZ4/$CW$2</f>
        <v>0.022802</v>
      </c>
      <c r="CY4" s="0" t="n">
        <v>3</v>
      </c>
      <c r="CZ4" s="0" t="n">
        <v>11401</v>
      </c>
      <c r="DA4" s="58" t="n">
        <f aca="false">CZ4-CZ3</f>
        <v>3800</v>
      </c>
      <c r="DB4" s="50" t="n">
        <f aca="false">CZ4/$CZ$52</f>
        <v>0.0591111295457138</v>
      </c>
    </row>
    <row r="5" customFormat="false" ht="15" hidden="false" customHeight="false" outlineLevel="0" collapsed="false">
      <c r="A5" s="43" t="s">
        <v>214</v>
      </c>
      <c r="B5" s="50" t="n">
        <f aca="false">-0.1-0.05+0.01+0.05</f>
        <v>-0.09</v>
      </c>
      <c r="C5" s="50" t="n">
        <v>-0.2</v>
      </c>
      <c r="D5" s="50" t="n">
        <f aca="false">-0.1+0.05</f>
        <v>-0.05</v>
      </c>
      <c r="E5" s="52"/>
      <c r="F5" s="50" t="n">
        <v>0.25</v>
      </c>
      <c r="G5" s="50" t="n">
        <f aca="false">-0.25-0.25+0.1</f>
        <v>-0.4</v>
      </c>
      <c r="H5" s="50" t="n">
        <f aca="false">-0.25-0.25+0.1</f>
        <v>-0.4</v>
      </c>
      <c r="I5" s="52"/>
      <c r="J5" s="52"/>
      <c r="M5" s="50" t="n">
        <v>0.25</v>
      </c>
      <c r="Q5" s="50" t="n">
        <f aca="false">0.15-0.05</f>
        <v>0.1</v>
      </c>
      <c r="R5" s="59"/>
      <c r="S5" s="56" t="n">
        <f aca="false">6+10+9</f>
        <v>25</v>
      </c>
      <c r="T5" s="50" t="n">
        <v>0.2</v>
      </c>
      <c r="Y5" s="50" t="n">
        <v>0.5</v>
      </c>
      <c r="AA5" s="50" t="n">
        <v>0.1</v>
      </c>
      <c r="AH5" s="50" t="n">
        <v>0.3</v>
      </c>
      <c r="AQ5" s="50" t="n">
        <v>0.1</v>
      </c>
      <c r="BA5" s="50" t="n">
        <v>0.1</v>
      </c>
      <c r="BB5" s="50" t="n">
        <v>0.1</v>
      </c>
      <c r="BF5" s="50" t="n">
        <v>0.1</v>
      </c>
      <c r="BJ5" s="50" t="n">
        <v>0.05</v>
      </c>
      <c r="BT5" s="50" t="n">
        <v>0.05</v>
      </c>
      <c r="CX5" s="50" t="n">
        <f aca="false">CZ5/$CW$2</f>
        <v>0.030404</v>
      </c>
      <c r="CY5" s="0" t="n">
        <v>4</v>
      </c>
      <c r="CZ5" s="0" t="n">
        <v>15202</v>
      </c>
      <c r="DA5" s="58" t="n">
        <f aca="false">CZ5-CZ4</f>
        <v>3801</v>
      </c>
      <c r="DB5" s="50" t="n">
        <f aca="false">CZ5/$CZ$52</f>
        <v>0.0788182958822858</v>
      </c>
    </row>
    <row r="6" customFormat="false" ht="15" hidden="false" customHeight="false" outlineLevel="0" collapsed="false">
      <c r="A6" s="43" t="s">
        <v>294</v>
      </c>
      <c r="B6" s="50" t="n">
        <f aca="false">0.05+0.01+0.01</f>
        <v>0.07</v>
      </c>
      <c r="D6" s="50" t="n">
        <v>0.05</v>
      </c>
      <c r="G6" s="50" t="n">
        <f aca="false">0.1+0.1</f>
        <v>0.2</v>
      </c>
      <c r="H6" s="50" t="n">
        <f aca="false">0.1+0.25</f>
        <v>0.35</v>
      </c>
      <c r="K6" s="50" t="n">
        <v>-0.01</v>
      </c>
      <c r="L6" s="50" t="n">
        <f aca="false">0.01+0.01+0.01+0.01</f>
        <v>0.04</v>
      </c>
      <c r="M6" s="50" t="n">
        <f aca="false">0.05+0.05</f>
        <v>0.1</v>
      </c>
      <c r="O6" s="52" t="n">
        <f aca="false">0.0001+0.0001+0.0001+0.0001</f>
        <v>0.0004</v>
      </c>
      <c r="P6" s="50" t="n">
        <v>-0.1</v>
      </c>
      <c r="Q6" s="50" t="n">
        <f aca="false">0.1+0.1+0.1+0.1</f>
        <v>0.4</v>
      </c>
      <c r="S6" s="49" t="n">
        <f aca="false">9+13+12+19+21</f>
        <v>74</v>
      </c>
      <c r="U6" s="54" t="n">
        <f aca="false">-0.002-0.002</f>
        <v>-0.004</v>
      </c>
      <c r="W6" s="50" t="n">
        <f aca="false">0.2+0.2+0.1</f>
        <v>0.5</v>
      </c>
      <c r="X6" s="50" t="n">
        <v>0.2</v>
      </c>
      <c r="AF6" s="50" t="n">
        <f aca="false">0.15+0.15</f>
        <v>0.3</v>
      </c>
      <c r="AG6" s="50" t="n">
        <v>0.1</v>
      </c>
      <c r="AH6" s="50" t="n">
        <f aca="false">0.1+0.15</f>
        <v>0.25</v>
      </c>
      <c r="AN6" s="50" t="n">
        <v>0.1</v>
      </c>
      <c r="AR6" s="50" t="n">
        <v>0.1</v>
      </c>
      <c r="AS6" s="50" t="n">
        <v>0.1</v>
      </c>
      <c r="AY6" s="50" t="n">
        <v>0.2</v>
      </c>
      <c r="AZ6" s="50" t="n">
        <v>0.5</v>
      </c>
      <c r="BA6" s="50" t="n">
        <v>0.15</v>
      </c>
      <c r="BB6" s="50" t="n">
        <f aca="false">0.1+0.15</f>
        <v>0.25</v>
      </c>
      <c r="BC6" s="50" t="n">
        <v>0.1</v>
      </c>
      <c r="BD6" s="50" t="n">
        <v>0.1</v>
      </c>
      <c r="BE6" s="50" t="n">
        <f aca="false">0.1+0.15</f>
        <v>0.25</v>
      </c>
      <c r="BF6" s="50" t="n">
        <v>0.1</v>
      </c>
      <c r="BI6" s="50" t="n">
        <v>0.1</v>
      </c>
      <c r="BR6" s="50" t="n">
        <v>0.1</v>
      </c>
      <c r="BX6" s="50" t="n">
        <f aca="false">0.1+0.1</f>
        <v>0.2</v>
      </c>
      <c r="BY6" s="50" t="n">
        <f aca="false">0.05+0.05</f>
        <v>0.1</v>
      </c>
      <c r="CX6" s="50" t="n">
        <f aca="false">CZ6/$CW$2</f>
        <v>0.038004</v>
      </c>
      <c r="CY6" s="0" t="n">
        <v>5</v>
      </c>
      <c r="CZ6" s="0" t="n">
        <v>19002</v>
      </c>
      <c r="DA6" s="58" t="n">
        <f aca="false">CZ6-CZ5</f>
        <v>3800</v>
      </c>
      <c r="DB6" s="50" t="n">
        <f aca="false">CZ6/$CZ$52</f>
        <v>0.0985202774868567</v>
      </c>
    </row>
    <row r="7" customFormat="false" ht="15" hidden="false" customHeight="false" outlineLevel="0" collapsed="false">
      <c r="A7" s="43" t="s">
        <v>295</v>
      </c>
      <c r="B7" s="50" t="n">
        <f aca="false">0.01+0.01+0.01+0.01</f>
        <v>0.04</v>
      </c>
      <c r="D7" s="50" t="n">
        <v>0.05</v>
      </c>
      <c r="G7" s="50" t="n">
        <f aca="false">0.05+0.1+0.5+0.5</f>
        <v>1.15</v>
      </c>
      <c r="H7" s="50" t="n">
        <f aca="false">0.1+0.25+0.02</f>
        <v>0.37</v>
      </c>
      <c r="J7" s="60"/>
      <c r="K7" s="50" t="n">
        <v>-0.01</v>
      </c>
      <c r="L7" s="50" t="n">
        <f aca="false">0.01+0.01+0.01+0.01</f>
        <v>0.04</v>
      </c>
      <c r="M7" s="50" t="n">
        <f aca="false">0.05+0.05</f>
        <v>0.1</v>
      </c>
      <c r="N7" s="50" t="n">
        <f aca="false">-0.03-0.02</f>
        <v>-0.05</v>
      </c>
      <c r="O7" s="52" t="n">
        <v>0.0001</v>
      </c>
      <c r="S7" s="49" t="n">
        <f aca="false">16+2+20</f>
        <v>38</v>
      </c>
      <c r="V7" s="50" t="n">
        <v>0.5</v>
      </c>
      <c r="X7" s="50" t="n">
        <v>0.2</v>
      </c>
      <c r="AH7" s="50" t="n">
        <f aca="false">0.1+0.25</f>
        <v>0.35</v>
      </c>
      <c r="AI7" s="50" t="n">
        <v>1</v>
      </c>
      <c r="AL7" s="50" t="n">
        <v>0.1</v>
      </c>
      <c r="AM7" s="50" t="n">
        <v>0.02</v>
      </c>
      <c r="AO7" s="50" t="n">
        <v>0.05</v>
      </c>
      <c r="AP7" s="50" t="n">
        <f aca="false">0.25+0.02</f>
        <v>0.27</v>
      </c>
      <c r="AS7" s="50" t="n">
        <f aca="false">0.1+0.05</f>
        <v>0.15</v>
      </c>
      <c r="AX7" s="50" t="n">
        <v>0.01</v>
      </c>
      <c r="BD7" s="50" t="n">
        <v>0.1</v>
      </c>
      <c r="BE7" s="50" t="n">
        <v>0.1</v>
      </c>
      <c r="BF7" s="50" t="n">
        <v>0.1</v>
      </c>
      <c r="BH7" s="50" t="n">
        <v>0.02</v>
      </c>
      <c r="BI7" s="50" t="n">
        <v>0.1</v>
      </c>
      <c r="BM7" s="50" t="n">
        <v>0.02</v>
      </c>
      <c r="BN7" s="50" t="n">
        <v>0.02</v>
      </c>
      <c r="BS7" s="50" t="n">
        <v>0.02</v>
      </c>
      <c r="BU7" s="50" t="n">
        <v>0.02</v>
      </c>
      <c r="BX7" s="50" t="n">
        <f aca="false">0.1+0.05+0.1</f>
        <v>0.25</v>
      </c>
      <c r="BY7" s="50" t="n">
        <f aca="false">0.05+0.05</f>
        <v>0.1</v>
      </c>
      <c r="CX7" s="50" t="n">
        <f aca="false">CZ7/$CW$2</f>
        <v>0.045606</v>
      </c>
      <c r="CY7" s="0" t="n">
        <v>6</v>
      </c>
      <c r="CZ7" s="0" t="n">
        <v>22803</v>
      </c>
      <c r="DA7" s="58" t="n">
        <f aca="false">CZ7-CZ6</f>
        <v>3801</v>
      </c>
      <c r="DB7" s="50" t="n">
        <f aca="false">CZ7/$CZ$52</f>
        <v>0.118227443823429</v>
      </c>
    </row>
    <row r="8" customFormat="false" ht="15" hidden="false" customHeight="false" outlineLevel="0" collapsed="false">
      <c r="A8" s="43" t="n">
        <v>1840</v>
      </c>
      <c r="R8" s="53" t="n">
        <v>1</v>
      </c>
      <c r="S8" s="49" t="n">
        <f aca="false">4+3</f>
        <v>7</v>
      </c>
      <c r="Y8" s="50" t="n">
        <f aca="false">0.2+0.5+0.5</f>
        <v>1.2</v>
      </c>
      <c r="Z8" s="50" t="n">
        <v>0.25</v>
      </c>
      <c r="AA8" s="50" t="n">
        <f aca="false">0.2+0.1</f>
        <v>0.3</v>
      </c>
      <c r="AB8" s="50" t="n">
        <v>0.25</v>
      </c>
      <c r="AD8" s="50" t="n">
        <f aca="false">0.15+0.1</f>
        <v>0.25</v>
      </c>
      <c r="AE8" s="50" t="n">
        <v>0.25</v>
      </c>
      <c r="BZ8" s="50" t="n">
        <v>0.1</v>
      </c>
      <c r="CA8" s="50" t="n">
        <v>0.1</v>
      </c>
      <c r="CX8" s="50" t="n">
        <f aca="false">CZ8/$CW$2</f>
        <v>0.053206</v>
      </c>
      <c r="CY8" s="0" t="n">
        <v>7</v>
      </c>
      <c r="CZ8" s="0" t="n">
        <v>26603</v>
      </c>
      <c r="DA8" s="58" t="n">
        <f aca="false">CZ8-CZ7</f>
        <v>3800</v>
      </c>
      <c r="DB8" s="50" t="n">
        <f aca="false">CZ8/$CZ$52</f>
        <v>0.137929425428</v>
      </c>
    </row>
    <row r="9" customFormat="false" ht="15" hidden="false" customHeight="false" outlineLevel="0" collapsed="false">
      <c r="A9" s="43" t="n">
        <v>1848</v>
      </c>
      <c r="S9" s="0" t="n">
        <v>3</v>
      </c>
      <c r="CX9" s="50" t="n">
        <f aca="false">CZ9/$CW$2</f>
        <v>0.060808</v>
      </c>
      <c r="CY9" s="0" t="n">
        <v>8</v>
      </c>
      <c r="CZ9" s="0" t="n">
        <v>30404</v>
      </c>
      <c r="DA9" s="58" t="n">
        <f aca="false">CZ9-CZ8</f>
        <v>3801</v>
      </c>
      <c r="DB9" s="50" t="n">
        <f aca="false">CZ9/$CZ$52</f>
        <v>0.157636591764572</v>
      </c>
    </row>
    <row r="10" customFormat="false" ht="15" hidden="false" customHeight="false" outlineLevel="0" collapsed="false">
      <c r="A10" s="43" t="n">
        <v>1850</v>
      </c>
      <c r="B10" s="50" t="n">
        <f aca="false">0.05+0.01+0.01+0.01+0.01+0.01</f>
        <v>0.1</v>
      </c>
      <c r="D10" s="50" t="n">
        <v>0.05</v>
      </c>
      <c r="G10" s="50" t="n">
        <f aca="false">0.05+0.1</f>
        <v>0.15</v>
      </c>
      <c r="H10" s="50" t="n">
        <f aca="false">0.3+0.1+0.25+0.05</f>
        <v>0.7</v>
      </c>
      <c r="K10" s="50" t="n">
        <v>-0.01</v>
      </c>
      <c r="L10" s="50" t="n">
        <f aca="false">0.01+0.01+0.025+0.025</f>
        <v>0.07</v>
      </c>
      <c r="M10" s="50" t="n">
        <f aca="false">0.1+0.05</f>
        <v>0.15</v>
      </c>
      <c r="N10" s="50" t="n">
        <f aca="false">-0.01-0.01-0.01-0.1+0.05</f>
        <v>-0.08</v>
      </c>
      <c r="Q10" s="50" t="n">
        <f aca="false">0.2+0.05+0.2+0.05+0.05+0.05+0.2</f>
        <v>0.8</v>
      </c>
      <c r="R10" s="53" t="n">
        <v>1</v>
      </c>
      <c r="Y10" s="50" t="n">
        <f aca="false">0.2+0.2+0.25</f>
        <v>0.65</v>
      </c>
      <c r="Z10" s="50" t="n">
        <v>0.25</v>
      </c>
      <c r="AA10" s="50" t="n">
        <f aca="false">0.15+0.1</f>
        <v>0.25</v>
      </c>
      <c r="AB10" s="50" t="n">
        <v>0.25</v>
      </c>
      <c r="AD10" s="50" t="n">
        <f aca="false">0.2+0.1+0.3+0.4+0.25+0.25</f>
        <v>1.5</v>
      </c>
      <c r="AE10" s="50" t="n">
        <v>0.25</v>
      </c>
      <c r="AF10" s="50" t="n">
        <f aca="false">0.15+0.15</f>
        <v>0.3</v>
      </c>
      <c r="AH10" s="50" t="n">
        <f aca="false">0.1+0.1+0.1+0.05+0.1+0.15</f>
        <v>0.6</v>
      </c>
      <c r="AJ10" s="50" t="n">
        <v>0.1</v>
      </c>
      <c r="AK10" s="50" t="n">
        <f aca="false">0.3+0.05+0.05</f>
        <v>0.4</v>
      </c>
      <c r="AL10" s="50" t="n">
        <v>0.15</v>
      </c>
      <c r="AY10" s="50" t="n">
        <v>0.3</v>
      </c>
      <c r="AZ10" s="50" t="n">
        <v>0.1</v>
      </c>
      <c r="BD10" s="50" t="n">
        <f aca="false">0.1+0.25</f>
        <v>0.35</v>
      </c>
      <c r="BE10" s="50" t="n">
        <f aca="false">0.1+0.2+0.2</f>
        <v>0.5</v>
      </c>
      <c r="BF10" s="50" t="n">
        <f aca="false">0.1+0.2+0.3+0.2+0.05</f>
        <v>0.85</v>
      </c>
      <c r="BG10" s="50" t="n">
        <v>0.2</v>
      </c>
      <c r="BH10" s="50" t="n">
        <v>0.05</v>
      </c>
      <c r="BI10" s="50" t="n">
        <f aca="false">0.2+0.1</f>
        <v>0.3</v>
      </c>
      <c r="BK10" s="50" t="n">
        <v>0.1</v>
      </c>
      <c r="BT10" s="50" t="n">
        <v>0.1</v>
      </c>
      <c r="BU10" s="50" t="n">
        <v>0.05</v>
      </c>
      <c r="BX10" s="50" t="n">
        <f aca="false">0.1+0.05+0.1</f>
        <v>0.25</v>
      </c>
      <c r="BY10" s="50" t="n">
        <f aca="false">0.05+0.05</f>
        <v>0.1</v>
      </c>
      <c r="BZ10" s="50" t="n">
        <v>0.1</v>
      </c>
      <c r="CA10" s="50" t="n">
        <v>0.1</v>
      </c>
      <c r="CB10" s="50" t="n">
        <v>0.5</v>
      </c>
      <c r="CC10" s="50" t="n">
        <v>0.2</v>
      </c>
      <c r="CD10" s="50" t="n">
        <v>0.1</v>
      </c>
      <c r="CE10" s="50" t="n">
        <v>0.5</v>
      </c>
      <c r="CX10" s="50" t="n">
        <f aca="false">CZ10/$CW$2</f>
        <v>0.068408</v>
      </c>
      <c r="CY10" s="0" t="n">
        <v>9</v>
      </c>
      <c r="CZ10" s="0" t="n">
        <v>34204</v>
      </c>
      <c r="DA10" s="58" t="n">
        <f aca="false">CZ10-CZ9</f>
        <v>3800</v>
      </c>
      <c r="DB10" s="50" t="n">
        <f aca="false">CZ10/$CZ$52</f>
        <v>0.177338573369143</v>
      </c>
    </row>
    <row r="11" customFormat="false" ht="15" hidden="false" customHeight="false" outlineLevel="0" collapsed="false">
      <c r="A11" s="43" t="n">
        <v>1855</v>
      </c>
      <c r="CX11" s="50" t="n">
        <f aca="false">CZ11/$CW$2</f>
        <v>0.07601</v>
      </c>
      <c r="CY11" s="0" t="n">
        <v>10</v>
      </c>
      <c r="CZ11" s="0" t="n">
        <v>38005</v>
      </c>
      <c r="DA11" s="58" t="n">
        <f aca="false">CZ11-CZ10</f>
        <v>3801</v>
      </c>
      <c r="DB11" s="50" t="n">
        <f aca="false">CZ11/$CZ$52</f>
        <v>0.197045739705715</v>
      </c>
    </row>
    <row r="12" customFormat="false" ht="15" hidden="false" customHeight="false" outlineLevel="0" collapsed="false">
      <c r="A12" s="43" t="n">
        <v>1860</v>
      </c>
      <c r="AC12" s="50" t="n">
        <v>0.05</v>
      </c>
      <c r="AO12" s="50" t="n">
        <v>0.05</v>
      </c>
      <c r="AV12" s="50" t="n">
        <v>0.05</v>
      </c>
      <c r="CX12" s="50" t="n">
        <f aca="false">CZ12/$CW$2</f>
        <v>0.08361</v>
      </c>
      <c r="CY12" s="0" t="n">
        <v>11</v>
      </c>
      <c r="CZ12" s="0" t="n">
        <v>41805</v>
      </c>
      <c r="DA12" s="58" t="n">
        <f aca="false">CZ12-CZ11</f>
        <v>3800</v>
      </c>
      <c r="DB12" s="50" t="n">
        <f aca="false">CZ12/$CZ$52</f>
        <v>0.216747721310285</v>
      </c>
    </row>
    <row r="13" customFormat="false" ht="15" hidden="false" customHeight="false" outlineLevel="0" collapsed="false">
      <c r="A13" s="43" t="n">
        <v>1870</v>
      </c>
      <c r="B13" s="50" t="n">
        <f aca="false">0.05+0.01+0.01</f>
        <v>0.07</v>
      </c>
      <c r="D13" s="50" t="n">
        <v>0.05</v>
      </c>
      <c r="K13" s="50" t="n">
        <f aca="false">-0.01-0.01-0.01-0.01</f>
        <v>-0.04</v>
      </c>
      <c r="L13" s="50" t="n">
        <v>0.01</v>
      </c>
      <c r="M13" s="50" t="n">
        <f aca="false">0.1+0.05</f>
        <v>0.15</v>
      </c>
      <c r="N13" s="50" t="n">
        <f aca="false">-0.01-0.01-0.01-0.01-0.01-0.01-0.1</f>
        <v>-0.16</v>
      </c>
      <c r="O13" s="52" t="n">
        <v>0.0001</v>
      </c>
      <c r="P13" s="50" t="n">
        <v>-0.2</v>
      </c>
      <c r="Q13" s="50" t="n">
        <f aca="false">0.2+0.05+0.2+0.05+0.05+0.05+0.2</f>
        <v>0.8</v>
      </c>
      <c r="R13" s="53" t="n">
        <v>1</v>
      </c>
      <c r="V13" s="50" t="n">
        <v>0.2</v>
      </c>
      <c r="W13" s="50" t="n">
        <v>0.2</v>
      </c>
      <c r="X13" s="50" t="n">
        <v>0.2</v>
      </c>
      <c r="Y13" s="50" t="n">
        <f aca="false">0.3+0.25+0.25+0.1+0.25</f>
        <v>1.15</v>
      </c>
      <c r="Z13" s="50" t="n">
        <f aca="false">0.75+0.25</f>
        <v>1</v>
      </c>
      <c r="AA13" s="50" t="n">
        <v>0.2</v>
      </c>
      <c r="AB13" s="50" t="n">
        <f aca="false">0.75+0.25</f>
        <v>1</v>
      </c>
      <c r="AD13" s="50" t="n">
        <f aca="false">0.25+0.3+0.1</f>
        <v>0.65</v>
      </c>
      <c r="AE13" s="50" t="n">
        <f aca="false">0.75+0.25</f>
        <v>1</v>
      </c>
      <c r="AH13" s="50" t="n">
        <f aca="false">0.1+0.25</f>
        <v>0.35</v>
      </c>
      <c r="AP13" s="50" t="n">
        <v>0.03</v>
      </c>
      <c r="AR13" s="50" t="n">
        <v>0.05</v>
      </c>
      <c r="AS13" s="50" t="n">
        <v>0.05</v>
      </c>
      <c r="AT13" s="50" t="n">
        <v>0.05</v>
      </c>
      <c r="AY13" s="50" t="n">
        <f aca="false">0.2+0.2</f>
        <v>0.4</v>
      </c>
      <c r="AZ13" s="50" t="n">
        <v>0.15</v>
      </c>
      <c r="BA13" s="50" t="n">
        <v>0.2</v>
      </c>
      <c r="BD13" s="50" t="n">
        <f aca="false">0.1+0.5+0.25</f>
        <v>0.85</v>
      </c>
      <c r="BE13" s="50" t="n">
        <f aca="false">0.1+0.2</f>
        <v>0.3</v>
      </c>
      <c r="BF13" s="50" t="n">
        <f aca="false">0.1+0.1+0.2+0.1</f>
        <v>0.5</v>
      </c>
      <c r="BH13" s="50" t="n">
        <v>0.02</v>
      </c>
      <c r="BI13" s="50" t="n">
        <v>0.05</v>
      </c>
      <c r="BO13" s="50" t="n">
        <v>0.03</v>
      </c>
      <c r="BP13" s="50" t="n">
        <v>0.03</v>
      </c>
      <c r="BR13" s="50" t="n">
        <v>0.03</v>
      </c>
      <c r="BS13" s="50" t="n">
        <v>0.03</v>
      </c>
      <c r="BT13" s="50" t="n">
        <v>0.07</v>
      </c>
      <c r="BV13" s="50" t="n">
        <v>0.03</v>
      </c>
      <c r="BX13" s="50" t="n">
        <f aca="false">0.1+0.2+0.1</f>
        <v>0.4</v>
      </c>
      <c r="BY13" s="50" t="n">
        <f aca="false">0.05+0.05</f>
        <v>0.1</v>
      </c>
      <c r="BZ13" s="50" t="n">
        <v>0.2</v>
      </c>
      <c r="CA13" s="50" t="n">
        <v>0.2</v>
      </c>
      <c r="CX13" s="50" t="n">
        <f aca="false">CZ13/$CW$2</f>
        <v>0.091212</v>
      </c>
      <c r="CY13" s="0" t="n">
        <v>12</v>
      </c>
      <c r="CZ13" s="0" t="n">
        <v>45606</v>
      </c>
      <c r="DA13" s="58" t="n">
        <f aca="false">CZ13-CZ12</f>
        <v>3801</v>
      </c>
      <c r="DB13" s="50" t="n">
        <f aca="false">CZ13/$CZ$52</f>
        <v>0.236454887646858</v>
      </c>
    </row>
    <row r="14" customFormat="false" ht="15" hidden="false" customHeight="false" outlineLevel="0" collapsed="false">
      <c r="A14" s="43" t="n">
        <v>1872</v>
      </c>
      <c r="CX14" s="50" t="n">
        <f aca="false">CZ14/$CW$2</f>
        <v>0.098808</v>
      </c>
      <c r="CY14" s="0" t="n">
        <v>13</v>
      </c>
      <c r="CZ14" s="0" t="n">
        <v>49404</v>
      </c>
      <c r="DA14" s="58" t="n">
        <f aca="false">CZ14-CZ13</f>
        <v>3798</v>
      </c>
      <c r="DB14" s="50" t="n">
        <f aca="false">CZ14/$CZ$52</f>
        <v>0.256146499787426</v>
      </c>
    </row>
    <row r="15" customFormat="false" ht="15" hidden="false" customHeight="false" outlineLevel="0" collapsed="false">
      <c r="A15" s="43" t="n">
        <v>1875</v>
      </c>
      <c r="CX15" s="50" t="n">
        <f aca="false">CZ15/$CW$2</f>
        <v>0.106414</v>
      </c>
      <c r="CY15" s="0" t="n">
        <v>14</v>
      </c>
      <c r="CZ15" s="0" t="n">
        <v>53207</v>
      </c>
      <c r="DA15" s="58" t="n">
        <f aca="false">CZ15-CZ14</f>
        <v>3803</v>
      </c>
      <c r="DB15" s="50" t="n">
        <f aca="false">CZ15/$CZ$52</f>
        <v>0.275864035588</v>
      </c>
    </row>
    <row r="16" customFormat="false" ht="15" hidden="false" customHeight="false" outlineLevel="0" collapsed="false">
      <c r="A16" s="43" t="n">
        <v>1880</v>
      </c>
      <c r="G16" s="50" t="n">
        <v>0.15</v>
      </c>
      <c r="H16" s="50" t="n">
        <f aca="false">0.15+0.3</f>
        <v>0.45</v>
      </c>
      <c r="Q16" s="50" t="n">
        <v>0.05</v>
      </c>
      <c r="AF16" s="50" t="n">
        <v>0.15</v>
      </c>
      <c r="AH16" s="50" t="n">
        <v>0.3</v>
      </c>
      <c r="AL16" s="50" t="n">
        <v>0.15</v>
      </c>
      <c r="AM16" s="50" t="n">
        <f aca="false">0.01+0.02</f>
        <v>0.03</v>
      </c>
      <c r="AY16" s="50" t="n">
        <v>0.2</v>
      </c>
      <c r="BF16" s="50" t="n">
        <v>0.3</v>
      </c>
      <c r="BR16" s="50" t="n">
        <v>0.1</v>
      </c>
      <c r="CX16" s="50" t="n">
        <f aca="false">CZ16/$CW$2</f>
        <v>0.114014</v>
      </c>
      <c r="CY16" s="0" t="n">
        <v>15</v>
      </c>
      <c r="CZ16" s="0" t="n">
        <v>57007</v>
      </c>
      <c r="DA16" s="58" t="n">
        <f aca="false">CZ16-CZ15</f>
        <v>3800</v>
      </c>
      <c r="DB16" s="50" t="n">
        <f aca="false">CZ16/$CZ$52</f>
        <v>0.295566017192571</v>
      </c>
    </row>
    <row r="17" customFormat="false" ht="15" hidden="false" customHeight="false" outlineLevel="0" collapsed="false">
      <c r="A17" s="43" t="n">
        <v>1890</v>
      </c>
      <c r="Y17" s="50" t="n">
        <v>0.35</v>
      </c>
      <c r="AA17" s="50" t="n">
        <v>0.2</v>
      </c>
      <c r="AD17" s="50" t="n">
        <v>0.2</v>
      </c>
      <c r="AK17" s="50" t="n">
        <f aca="false">0.02+0.02</f>
        <v>0.04</v>
      </c>
      <c r="BD17" s="50" t="n">
        <v>0.25</v>
      </c>
      <c r="BZ17" s="50" t="n">
        <v>0.05</v>
      </c>
      <c r="CA17" s="50" t="n">
        <v>0.05</v>
      </c>
      <c r="CX17" s="50" t="n">
        <f aca="false">CZ17/$CW$2</f>
        <v>0.121616</v>
      </c>
      <c r="CY17" s="0" t="n">
        <v>16</v>
      </c>
      <c r="CZ17" s="0" t="n">
        <v>60808</v>
      </c>
      <c r="DA17" s="58" t="n">
        <f aca="false">CZ17-CZ16</f>
        <v>3801</v>
      </c>
      <c r="DB17" s="50" t="n">
        <f aca="false">CZ17/$CZ$52</f>
        <v>0.315273183529143</v>
      </c>
    </row>
    <row r="18" customFormat="false" ht="15" hidden="false" customHeight="false" outlineLevel="0" collapsed="false">
      <c r="A18" s="43" t="n">
        <v>1895</v>
      </c>
      <c r="CX18" s="50" t="n">
        <f aca="false">CZ18/$CW$2</f>
        <v>0.129216</v>
      </c>
      <c r="CY18" s="0" t="n">
        <v>17</v>
      </c>
      <c r="CZ18" s="0" t="n">
        <v>64608</v>
      </c>
      <c r="DA18" s="58" t="n">
        <f aca="false">CZ18-CZ17</f>
        <v>3800</v>
      </c>
      <c r="DB18" s="50" t="n">
        <f aca="false">CZ18/$CZ$52</f>
        <v>0.334975165133714</v>
      </c>
    </row>
    <row r="19" customFormat="false" ht="15" hidden="false" customHeight="false" outlineLevel="0" collapsed="false">
      <c r="A19" s="43" t="n">
        <v>1898</v>
      </c>
      <c r="R19" s="53" t="n">
        <v>1</v>
      </c>
      <c r="AF19" s="50" t="n">
        <v>0.15</v>
      </c>
      <c r="CX19" s="50" t="n">
        <f aca="false">CZ19/$CW$2</f>
        <v>0.136816</v>
      </c>
      <c r="CY19" s="0" t="n">
        <v>18</v>
      </c>
      <c r="CZ19" s="0" t="n">
        <v>68408</v>
      </c>
      <c r="DA19" s="58" t="n">
        <f aca="false">CZ19-CZ18</f>
        <v>3800</v>
      </c>
      <c r="DB19" s="50" t="n">
        <f aca="false">CZ19/$CZ$52</f>
        <v>0.354677146738285</v>
      </c>
    </row>
    <row r="20" customFormat="false" ht="15" hidden="false" customHeight="false" outlineLevel="0" collapsed="false">
      <c r="A20" s="43" t="n">
        <v>1900</v>
      </c>
      <c r="B20" s="50" t="n">
        <v>0.05</v>
      </c>
      <c r="D20" s="50" t="n">
        <f aca="false">0.05+0.05</f>
        <v>0.1</v>
      </c>
      <c r="E20" s="60" t="n">
        <f aca="false">0.05+0.05+0.05</f>
        <v>0.15</v>
      </c>
      <c r="G20" s="50" t="n">
        <f aca="false">0.15+0.5</f>
        <v>0.65</v>
      </c>
      <c r="H20" s="50" t="n">
        <f aca="false">0.15</f>
        <v>0.15</v>
      </c>
      <c r="K20" s="50" t="n">
        <v>-0.01</v>
      </c>
      <c r="L20" s="50" t="n">
        <v>0.03</v>
      </c>
      <c r="M20" s="50" t="n">
        <f aca="false">0.1+0.05+0.02+0.02+0.1</f>
        <v>0.29</v>
      </c>
      <c r="N20" s="50" t="n">
        <f aca="false">0.1-0.01</f>
        <v>0.09</v>
      </c>
      <c r="Q20" s="50" t="n">
        <f aca="false">0.35+0.3+0.2</f>
        <v>0.85</v>
      </c>
      <c r="U20" s="54" t="n">
        <f aca="false">-0.005-0.005-0.005</f>
        <v>-0.015</v>
      </c>
      <c r="AF20" s="50" t="n">
        <v>0.15</v>
      </c>
      <c r="AH20" s="50" t="n">
        <f aca="false">0.1+0.4</f>
        <v>0.5</v>
      </c>
      <c r="AN20" s="50" t="n">
        <v>0.05</v>
      </c>
      <c r="AQ20" s="50" t="n">
        <v>0.1</v>
      </c>
      <c r="AS20" s="50" t="n">
        <f aca="false">0.05+0.05</f>
        <v>0.1</v>
      </c>
      <c r="AW20" s="50" t="n">
        <v>0.03</v>
      </c>
      <c r="AZ20" s="50" t="n">
        <v>0.3</v>
      </c>
      <c r="BD20" s="50" t="n">
        <f aca="false">0.1+0.25</f>
        <v>0.35</v>
      </c>
      <c r="BE20" s="50" t="n">
        <f aca="false">0.1+0.3+0.2</f>
        <v>0.6</v>
      </c>
      <c r="BF20" s="50" t="n">
        <f aca="false">0.1+0.1+0.1+0.1</f>
        <v>0.4</v>
      </c>
      <c r="BL20" s="50" t="n">
        <v>1</v>
      </c>
      <c r="BO20" s="50" t="n">
        <v>0.03</v>
      </c>
      <c r="BQ20" s="50" t="n">
        <v>0.03</v>
      </c>
      <c r="BX20" s="50" t="n">
        <f aca="false">0.1+0.2+0.1</f>
        <v>0.4</v>
      </c>
      <c r="BY20" s="50" t="n">
        <f aca="false">0.05+0.05</f>
        <v>0.1</v>
      </c>
      <c r="CB20" s="50" t="n">
        <v>0.3</v>
      </c>
      <c r="CX20" s="50" t="n">
        <f aca="false">CZ20/$CW$2</f>
        <v>0.144418</v>
      </c>
      <c r="CY20" s="0" t="n">
        <v>19</v>
      </c>
      <c r="CZ20" s="0" t="n">
        <v>72209</v>
      </c>
      <c r="DA20" s="58" t="n">
        <f aca="false">CZ20-CZ19</f>
        <v>3801</v>
      </c>
      <c r="DB20" s="50" t="n">
        <f aca="false">CZ20/$CZ$52</f>
        <v>0.374384313074857</v>
      </c>
    </row>
    <row r="21" customFormat="false" ht="15" hidden="false" customHeight="false" outlineLevel="0" collapsed="false">
      <c r="A21" s="43" t="n">
        <v>1905</v>
      </c>
      <c r="O21" s="52" t="n">
        <v>0.0001</v>
      </c>
      <c r="Y21" s="50" t="n">
        <f aca="false">0.4+0.4+0.5</f>
        <v>1.3</v>
      </c>
      <c r="AA21" s="50" t="n">
        <f aca="false">0.25+0.3</f>
        <v>0.55</v>
      </c>
      <c r="AD21" s="50" t="n">
        <f aca="false">0.25+0.3+0.5</f>
        <v>1.05</v>
      </c>
      <c r="AK21" s="50" t="n">
        <v>0.05</v>
      </c>
      <c r="CX21" s="50" t="n">
        <f aca="false">CZ21/$CW$2</f>
        <v>0.152018</v>
      </c>
      <c r="CY21" s="0" t="n">
        <v>20</v>
      </c>
      <c r="CZ21" s="0" t="n">
        <v>76009</v>
      </c>
      <c r="DA21" s="58" t="n">
        <f aca="false">CZ21-CZ20</f>
        <v>3800</v>
      </c>
      <c r="DB21" s="50" t="n">
        <f aca="false">CZ21/$CZ$52</f>
        <v>0.394086294679428</v>
      </c>
    </row>
    <row r="22" customFormat="false" ht="15" hidden="false" customHeight="false" outlineLevel="0" collapsed="false">
      <c r="A22" s="43" t="n">
        <v>1910</v>
      </c>
      <c r="O22" s="52" t="n">
        <v>0.0001</v>
      </c>
      <c r="CX22" s="50" t="n">
        <f aca="false">CZ22/$CW$2</f>
        <v>0.159602</v>
      </c>
      <c r="CY22" s="0" t="n">
        <v>21</v>
      </c>
      <c r="CZ22" s="0" t="n">
        <v>79801</v>
      </c>
      <c r="DA22" s="58" t="n">
        <f aca="false">CZ22-CZ21</f>
        <v>3792</v>
      </c>
      <c r="DB22" s="50" t="n">
        <f aca="false">CZ22/$CZ$52</f>
        <v>0.413746798427989</v>
      </c>
    </row>
    <row r="23" customFormat="false" ht="15" hidden="false" customHeight="false" outlineLevel="0" collapsed="false">
      <c r="A23" s="43" t="n">
        <v>1914</v>
      </c>
      <c r="Q23" s="50" t="n">
        <v>0.2</v>
      </c>
      <c r="CX23" s="50" t="n">
        <f aca="false">CZ23/$CW$2</f>
        <v>0.167202</v>
      </c>
      <c r="CY23" s="0" t="n">
        <v>22</v>
      </c>
      <c r="CZ23" s="0" t="n">
        <v>83601</v>
      </c>
      <c r="DA23" s="58" t="n">
        <f aca="false">CZ23-CZ22</f>
        <v>3800</v>
      </c>
      <c r="DB23" s="50" t="n">
        <f aca="false">CZ23/$CZ$52</f>
        <v>0.43344878003256</v>
      </c>
    </row>
    <row r="24" customFormat="false" ht="15" hidden="false" customHeight="false" outlineLevel="0" collapsed="false">
      <c r="A24" s="43" t="n">
        <v>1915</v>
      </c>
      <c r="R24" s="53" t="n">
        <v>1</v>
      </c>
      <c r="CX24" s="50" t="n">
        <f aca="false">CZ24/$CW$2</f>
        <v>0.174822</v>
      </c>
      <c r="CY24" s="0" t="n">
        <v>23</v>
      </c>
      <c r="CZ24" s="0" t="n">
        <v>87411</v>
      </c>
      <c r="DA24" s="58" t="n">
        <f aca="false">CZ24-CZ23</f>
        <v>3810</v>
      </c>
      <c r="DB24" s="50" t="n">
        <f aca="false">CZ24/$CZ$52</f>
        <v>0.453202608957143</v>
      </c>
    </row>
    <row r="25" customFormat="false" ht="15" hidden="false" customHeight="false" outlineLevel="0" collapsed="false">
      <c r="A25" s="43" t="n">
        <v>1919</v>
      </c>
      <c r="B25" s="50" t="n">
        <v>0.05</v>
      </c>
      <c r="N25" s="50" t="n">
        <v>-0.01</v>
      </c>
      <c r="Q25" s="50" t="n">
        <f aca="false">0.2-0.3-0.3+0.2</f>
        <v>-0.2</v>
      </c>
      <c r="CX25" s="50" t="n">
        <f aca="false">CZ25/$CW$2</f>
        <v>0.182422</v>
      </c>
      <c r="CY25" s="0" t="n">
        <v>24</v>
      </c>
      <c r="CZ25" s="0" t="n">
        <v>91211</v>
      </c>
      <c r="DA25" s="58" t="n">
        <f aca="false">CZ25-CZ24</f>
        <v>3800</v>
      </c>
      <c r="DB25" s="50" t="n">
        <f aca="false">CZ25/$CZ$52</f>
        <v>0.472904590561714</v>
      </c>
    </row>
    <row r="26" customFormat="false" ht="15" hidden="false" customHeight="false" outlineLevel="0" collapsed="false">
      <c r="CX26" s="50" t="n">
        <f aca="false">CZ26/$CW$2</f>
        <v>0.190024</v>
      </c>
      <c r="CY26" s="0" t="n">
        <v>25</v>
      </c>
      <c r="CZ26" s="0" t="n">
        <v>95012</v>
      </c>
      <c r="DA26" s="58" t="n">
        <f aca="false">CZ26-CZ25</f>
        <v>3801</v>
      </c>
      <c r="DB26" s="50" t="n">
        <f aca="false">CZ26/$CZ$52</f>
        <v>0.492611756898286</v>
      </c>
    </row>
    <row r="27" customFormat="false" ht="15" hidden="false" customHeight="false" outlineLevel="0" collapsed="false">
      <c r="CX27" s="50" t="n">
        <f aca="false">CZ27/$CW$2</f>
        <v>0.197624</v>
      </c>
      <c r="CY27" s="0" t="n">
        <v>26</v>
      </c>
      <c r="CZ27" s="0" t="n">
        <v>98812</v>
      </c>
      <c r="DA27" s="58" t="n">
        <f aca="false">CZ27-CZ26</f>
        <v>3800</v>
      </c>
      <c r="DB27" s="50" t="n">
        <f aca="false">CZ27/$CZ$52</f>
        <v>0.512313738502857</v>
      </c>
    </row>
    <row r="28" customFormat="false" ht="15" hidden="false" customHeight="false" outlineLevel="0" collapsed="false">
      <c r="A28" s="43" t="s">
        <v>0</v>
      </c>
      <c r="B28" s="43" t="s">
        <v>104</v>
      </c>
      <c r="C28" s="43" t="s">
        <v>216</v>
      </c>
      <c r="D28" s="43" t="s">
        <v>103</v>
      </c>
      <c r="E28" s="43" t="s">
        <v>217</v>
      </c>
      <c r="F28" s="43" t="s">
        <v>218</v>
      </c>
      <c r="G28" s="43" t="s">
        <v>143</v>
      </c>
      <c r="H28" s="43" t="s">
        <v>142</v>
      </c>
      <c r="I28" s="61" t="s">
        <v>219</v>
      </c>
      <c r="J28" s="61" t="s">
        <v>220</v>
      </c>
      <c r="K28" s="43" t="s">
        <v>221</v>
      </c>
      <c r="L28" s="43" t="s">
        <v>222</v>
      </c>
      <c r="M28" s="43" t="s">
        <v>223</v>
      </c>
      <c r="N28" s="43" t="s">
        <v>224</v>
      </c>
      <c r="O28" s="43" t="s">
        <v>85</v>
      </c>
      <c r="P28" s="43" t="s">
        <v>225</v>
      </c>
      <c r="Q28" s="43" t="s">
        <v>226</v>
      </c>
      <c r="R28" s="43" t="s">
        <v>146</v>
      </c>
      <c r="S28" s="43" t="s">
        <v>227</v>
      </c>
      <c r="T28" s="43" t="s">
        <v>228</v>
      </c>
      <c r="U28" s="43" t="s">
        <v>229</v>
      </c>
      <c r="V28" s="55" t="s">
        <v>230</v>
      </c>
      <c r="W28" s="55" t="s">
        <v>231</v>
      </c>
      <c r="X28" s="55" t="s">
        <v>232</v>
      </c>
      <c r="Y28" s="55" t="s">
        <v>233</v>
      </c>
      <c r="Z28" s="55" t="s">
        <v>234</v>
      </c>
      <c r="AA28" s="55" t="s">
        <v>235</v>
      </c>
      <c r="AB28" s="55" t="s">
        <v>236</v>
      </c>
      <c r="AC28" s="55" t="s">
        <v>237</v>
      </c>
      <c r="AD28" s="55" t="s">
        <v>238</v>
      </c>
      <c r="AE28" s="55" t="s">
        <v>239</v>
      </c>
      <c r="AF28" s="55" t="s">
        <v>240</v>
      </c>
      <c r="AG28" s="55" t="s">
        <v>241</v>
      </c>
      <c r="AH28" s="55" t="s">
        <v>242</v>
      </c>
      <c r="AI28" s="55" t="s">
        <v>243</v>
      </c>
      <c r="AJ28" s="55" t="s">
        <v>244</v>
      </c>
      <c r="AK28" s="55" t="s">
        <v>245</v>
      </c>
      <c r="AL28" s="55" t="s">
        <v>246</v>
      </c>
      <c r="AM28" s="55" t="s">
        <v>247</v>
      </c>
      <c r="AN28" s="55" t="s">
        <v>248</v>
      </c>
      <c r="AO28" s="55" t="s">
        <v>249</v>
      </c>
      <c r="AP28" s="55" t="s">
        <v>250</v>
      </c>
      <c r="AQ28" s="55" t="s">
        <v>251</v>
      </c>
      <c r="AR28" s="55" t="s">
        <v>252</v>
      </c>
      <c r="AS28" s="55" t="s">
        <v>253</v>
      </c>
      <c r="AT28" s="55" t="s">
        <v>254</v>
      </c>
      <c r="AU28" s="55" t="s">
        <v>255</v>
      </c>
      <c r="AV28" s="55" t="s">
        <v>256</v>
      </c>
      <c r="AW28" s="55" t="s">
        <v>257</v>
      </c>
      <c r="AX28" s="55" t="s">
        <v>258</v>
      </c>
      <c r="AY28" s="55" t="s">
        <v>259</v>
      </c>
      <c r="AZ28" s="55" t="s">
        <v>260</v>
      </c>
      <c r="BA28" s="55" t="s">
        <v>261</v>
      </c>
      <c r="BB28" s="55" t="s">
        <v>262</v>
      </c>
      <c r="BC28" s="55" t="s">
        <v>263</v>
      </c>
      <c r="BD28" s="55" t="s">
        <v>264</v>
      </c>
      <c r="BE28" s="55" t="s">
        <v>265</v>
      </c>
      <c r="BF28" s="55" t="s">
        <v>266</v>
      </c>
      <c r="BG28" s="55" t="s">
        <v>267</v>
      </c>
      <c r="BH28" s="55" t="s">
        <v>268</v>
      </c>
      <c r="BI28" s="55" t="s">
        <v>269</v>
      </c>
      <c r="BJ28" s="55" t="s">
        <v>270</v>
      </c>
      <c r="BK28" s="55" t="s">
        <v>271</v>
      </c>
      <c r="BL28" s="55" t="s">
        <v>272</v>
      </c>
      <c r="BM28" s="55" t="s">
        <v>273</v>
      </c>
      <c r="BN28" s="55" t="s">
        <v>274</v>
      </c>
      <c r="BO28" s="55" t="s">
        <v>275</v>
      </c>
      <c r="BP28" s="55" t="s">
        <v>276</v>
      </c>
      <c r="BQ28" s="55" t="s">
        <v>277</v>
      </c>
      <c r="BR28" s="55" t="s">
        <v>278</v>
      </c>
      <c r="BS28" s="55" t="s">
        <v>279</v>
      </c>
      <c r="BT28" s="55" t="s">
        <v>280</v>
      </c>
      <c r="BU28" s="55" t="s">
        <v>281</v>
      </c>
      <c r="BV28" s="55" t="s">
        <v>282</v>
      </c>
      <c r="BW28" s="55" t="s">
        <v>283</v>
      </c>
      <c r="BX28" s="55" t="s">
        <v>284</v>
      </c>
      <c r="BY28" s="55" t="s">
        <v>285</v>
      </c>
      <c r="BZ28" s="55" t="s">
        <v>286</v>
      </c>
      <c r="CA28" s="55" t="s">
        <v>287</v>
      </c>
      <c r="CB28" s="55" t="s">
        <v>288</v>
      </c>
      <c r="CC28" s="55" t="s">
        <v>289</v>
      </c>
      <c r="CD28" s="55" t="s">
        <v>290</v>
      </c>
      <c r="CE28" s="55" t="s">
        <v>291</v>
      </c>
      <c r="CX28" s="50" t="n">
        <f aca="false">CZ28/$CW$2</f>
        <v>0.205226</v>
      </c>
      <c r="CY28" s="0" t="n">
        <v>27</v>
      </c>
      <c r="CZ28" s="0" t="n">
        <v>102613</v>
      </c>
      <c r="DA28" s="58" t="n">
        <f aca="false">CZ28-CZ27</f>
        <v>3801</v>
      </c>
      <c r="DB28" s="50" t="n">
        <f aca="false">CZ28/$CZ$52</f>
        <v>0.532020904839429</v>
      </c>
    </row>
    <row r="29" customFormat="false" ht="15" hidden="false" customHeight="false" outlineLevel="0" collapsed="false">
      <c r="A29" s="43" t="s">
        <v>292</v>
      </c>
      <c r="B29" s="50" t="n">
        <f aca="false">SUM(B2)</f>
        <v>0.2</v>
      </c>
      <c r="C29" s="50" t="n">
        <f aca="false">SUM(C2)</f>
        <v>0.1</v>
      </c>
      <c r="D29" s="50" t="n">
        <f aca="false">SUM(D2)</f>
        <v>0.2</v>
      </c>
      <c r="E29" s="50" t="n">
        <f aca="false">SUM(E2)</f>
        <v>1</v>
      </c>
      <c r="F29" s="50" t="n">
        <f aca="false">SUM(F2)</f>
        <v>1</v>
      </c>
      <c r="G29" s="50" t="n">
        <f aca="false">SUM(G2)</f>
        <v>1</v>
      </c>
      <c r="H29" s="50" t="n">
        <f aca="false">SUM(H2)</f>
        <v>1</v>
      </c>
      <c r="I29" s="52" t="n">
        <f aca="false">SUM(I2)</f>
        <v>1</v>
      </c>
      <c r="J29" s="52" t="n">
        <f aca="false">SUM(J2)</f>
        <v>1</v>
      </c>
      <c r="K29" s="50" t="n">
        <f aca="false">SUM(K2)</f>
        <v>1</v>
      </c>
      <c r="L29" s="50" t="n">
        <f aca="false">SUM(L2)</f>
        <v>1</v>
      </c>
      <c r="M29" s="50" t="n">
        <f aca="false">SUM(M2)</f>
        <v>1</v>
      </c>
      <c r="N29" s="50" t="n">
        <f aca="false">SUM(N2)</f>
        <v>1</v>
      </c>
      <c r="O29" s="52" t="n">
        <f aca="false">SUM(O2)</f>
        <v>0.0001</v>
      </c>
      <c r="P29" s="50" t="n">
        <f aca="false">SUM(P2)</f>
        <v>1</v>
      </c>
      <c r="Q29" s="50" t="n">
        <f aca="false">SUM(Q2)</f>
        <v>1</v>
      </c>
      <c r="R29" s="56" t="n">
        <f aca="false">SUM(R2)</f>
        <v>0</v>
      </c>
      <c r="S29" s="56" t="n">
        <f aca="false">SUM(S2)</f>
        <v>0</v>
      </c>
      <c r="T29" s="50" t="n">
        <f aca="false">SUM(T2)</f>
        <v>1</v>
      </c>
      <c r="U29" s="54" t="n">
        <f aca="false">SUM(U2)</f>
        <v>1</v>
      </c>
      <c r="V29" s="50" t="n">
        <f aca="false">SUM(V2)</f>
        <v>1</v>
      </c>
      <c r="W29" s="50" t="n">
        <f aca="false">SUM(W2)</f>
        <v>1</v>
      </c>
      <c r="X29" s="50" t="n">
        <f aca="false">SUM(X2)</f>
        <v>1</v>
      </c>
      <c r="Y29" s="50" t="n">
        <f aca="false">SUM(Y2)</f>
        <v>1</v>
      </c>
      <c r="Z29" s="50" t="n">
        <f aca="false">SUM(Z2)</f>
        <v>1</v>
      </c>
      <c r="AA29" s="50" t="n">
        <f aca="false">SUM(AA2)</f>
        <v>1</v>
      </c>
      <c r="AB29" s="50" t="n">
        <f aca="false">SUM(AB2)</f>
        <v>1</v>
      </c>
      <c r="AC29" s="50" t="n">
        <f aca="false">SUM(AC2)</f>
        <v>1</v>
      </c>
      <c r="AD29" s="50" t="n">
        <f aca="false">SUM(AD2)</f>
        <v>1</v>
      </c>
      <c r="AE29" s="50" t="n">
        <f aca="false">SUM(AE2)</f>
        <v>1</v>
      </c>
      <c r="AF29" s="50" t="n">
        <f aca="false">SUM(AF2)</f>
        <v>1</v>
      </c>
      <c r="AG29" s="50" t="n">
        <f aca="false">SUM(AG2)</f>
        <v>1</v>
      </c>
      <c r="AH29" s="50" t="n">
        <f aca="false">SUM(AH2)</f>
        <v>1</v>
      </c>
      <c r="AI29" s="50" t="n">
        <f aca="false">SUM(AI2)</f>
        <v>1</v>
      </c>
      <c r="AJ29" s="50" t="n">
        <f aca="false">SUM(AJ2)</f>
        <v>1</v>
      </c>
      <c r="AK29" s="50" t="n">
        <f aca="false">SUM(AK2)</f>
        <v>1</v>
      </c>
      <c r="AL29" s="50" t="n">
        <f aca="false">SUM(AL2)</f>
        <v>1</v>
      </c>
      <c r="AM29" s="50" t="n">
        <f aca="false">SUM(AM2)</f>
        <v>1</v>
      </c>
      <c r="AN29" s="50" t="n">
        <f aca="false">SUM(AN2)</f>
        <v>1</v>
      </c>
      <c r="AO29" s="50" t="n">
        <f aca="false">SUM(AO2)</f>
        <v>1</v>
      </c>
      <c r="AP29" s="50" t="n">
        <f aca="false">SUM(AP2)</f>
        <v>1</v>
      </c>
      <c r="AQ29" s="50" t="n">
        <f aca="false">SUM(AQ2)</f>
        <v>1</v>
      </c>
      <c r="AR29" s="50" t="n">
        <f aca="false">SUM(AR2)</f>
        <v>1</v>
      </c>
      <c r="AS29" s="50" t="n">
        <f aca="false">SUM(AS2)</f>
        <v>1</v>
      </c>
      <c r="AT29" s="50" t="n">
        <f aca="false">SUM(AT2)</f>
        <v>1</v>
      </c>
      <c r="AU29" s="50" t="n">
        <f aca="false">SUM(AU2)</f>
        <v>1</v>
      </c>
      <c r="AV29" s="50" t="n">
        <f aca="false">SUM(AV2)</f>
        <v>1</v>
      </c>
      <c r="AW29" s="50" t="n">
        <f aca="false">SUM(AW2)</f>
        <v>1</v>
      </c>
      <c r="AX29" s="50" t="n">
        <f aca="false">SUM(AX2)</f>
        <v>1</v>
      </c>
      <c r="AY29" s="50" t="n">
        <f aca="false">SUM(AY2)</f>
        <v>1</v>
      </c>
      <c r="AZ29" s="50" t="n">
        <f aca="false">SUM(AZ2)</f>
        <v>1</v>
      </c>
      <c r="BA29" s="50" t="n">
        <f aca="false">SUM(BA2)</f>
        <v>1</v>
      </c>
      <c r="BB29" s="50" t="n">
        <f aca="false">SUM(BB2)</f>
        <v>1</v>
      </c>
      <c r="BC29" s="50" t="n">
        <f aca="false">SUM(BC2)</f>
        <v>1</v>
      </c>
      <c r="BD29" s="50" t="n">
        <f aca="false">SUM(BD2)</f>
        <v>1</v>
      </c>
      <c r="BE29" s="50" t="n">
        <f aca="false">SUM(BE2)</f>
        <v>1</v>
      </c>
      <c r="BF29" s="50" t="n">
        <f aca="false">SUM(BF2)</f>
        <v>1</v>
      </c>
      <c r="BG29" s="50" t="n">
        <f aca="false">SUM(BG2)</f>
        <v>1</v>
      </c>
      <c r="BH29" s="50" t="n">
        <f aca="false">SUM(BH2)</f>
        <v>1</v>
      </c>
      <c r="BI29" s="50" t="n">
        <f aca="false">SUM(BI2)</f>
        <v>1</v>
      </c>
      <c r="BJ29" s="50" t="n">
        <f aca="false">SUM(BJ2)</f>
        <v>1</v>
      </c>
      <c r="BK29" s="50" t="n">
        <f aca="false">SUM(BK2)</f>
        <v>1</v>
      </c>
      <c r="BL29" s="50" t="n">
        <f aca="false">SUM(BL2)</f>
        <v>1</v>
      </c>
      <c r="BM29" s="50" t="n">
        <f aca="false">SUM(BM2)</f>
        <v>1</v>
      </c>
      <c r="BN29" s="50" t="n">
        <f aca="false">SUM(BN2)</f>
        <v>1</v>
      </c>
      <c r="BO29" s="50" t="n">
        <f aca="false">SUM(BO2)</f>
        <v>1</v>
      </c>
      <c r="BP29" s="50" t="n">
        <f aca="false">SUM(BP2)</f>
        <v>1</v>
      </c>
      <c r="BQ29" s="50" t="n">
        <f aca="false">SUM(BQ2)</f>
        <v>1</v>
      </c>
      <c r="BR29" s="50" t="n">
        <f aca="false">SUM(BR2)</f>
        <v>1</v>
      </c>
      <c r="BS29" s="50" t="n">
        <f aca="false">SUM(BS2)</f>
        <v>1</v>
      </c>
      <c r="BT29" s="50" t="n">
        <f aca="false">SUM(BT2)</f>
        <v>1</v>
      </c>
      <c r="BU29" s="50" t="n">
        <f aca="false">SUM(BU2)</f>
        <v>1</v>
      </c>
      <c r="BV29" s="50" t="n">
        <f aca="false">SUM(BV2)</f>
        <v>1</v>
      </c>
      <c r="BW29" s="50" t="n">
        <f aca="false">SUM(BW2)</f>
        <v>1</v>
      </c>
      <c r="BX29" s="50" t="n">
        <f aca="false">SUM(BX2)</f>
        <v>1</v>
      </c>
      <c r="BY29" s="50" t="n">
        <f aca="false">SUM(BY2)</f>
        <v>1</v>
      </c>
      <c r="BZ29" s="50" t="n">
        <f aca="false">SUM(BZ2)</f>
        <v>1</v>
      </c>
      <c r="CA29" s="50" t="n">
        <f aca="false">SUM(CA2)</f>
        <v>1</v>
      </c>
      <c r="CB29" s="50" t="n">
        <f aca="false">SUM(CB2)</f>
        <v>1</v>
      </c>
      <c r="CC29" s="50" t="n">
        <f aca="false">SUM(CC2)</f>
        <v>1</v>
      </c>
      <c r="CD29" s="50" t="n">
        <f aca="false">SUM(CD2)</f>
        <v>1</v>
      </c>
      <c r="CE29" s="50" t="n">
        <f aca="false">SUM(CE2)</f>
        <v>1</v>
      </c>
      <c r="CX29" s="50" t="n">
        <f aca="false">CZ29/$CW$2</f>
        <v>0.212826</v>
      </c>
      <c r="CY29" s="0" t="n">
        <v>28</v>
      </c>
      <c r="CZ29" s="0" t="n">
        <v>106413</v>
      </c>
      <c r="DA29" s="58" t="n">
        <f aca="false">CZ29-CZ28</f>
        <v>3800</v>
      </c>
      <c r="DB29" s="50" t="n">
        <f aca="false">CZ29/$CZ$52</f>
        <v>0.551722886444</v>
      </c>
    </row>
    <row r="30" customFormat="false" ht="15" hidden="false" customHeight="false" outlineLevel="0" collapsed="false">
      <c r="A30" s="43" t="s">
        <v>293</v>
      </c>
      <c r="B30" s="50" t="n">
        <f aca="false">SUM(B2:B3)</f>
        <v>0.2</v>
      </c>
      <c r="C30" s="50" t="n">
        <f aca="false">SUM(C2:C3)</f>
        <v>0.1</v>
      </c>
      <c r="D30" s="50" t="n">
        <f aca="false">SUM(D2:D3)</f>
        <v>0.2</v>
      </c>
      <c r="E30" s="50" t="n">
        <f aca="false">SUM(E2:E3)</f>
        <v>1</v>
      </c>
      <c r="F30" s="50" t="n">
        <f aca="false">SUM(F2:F3)</f>
        <v>1</v>
      </c>
      <c r="G30" s="50" t="n">
        <f aca="false">SUM(G2:G3)</f>
        <v>1</v>
      </c>
      <c r="H30" s="50" t="n">
        <f aca="false">SUM(H2:H3)</f>
        <v>1</v>
      </c>
      <c r="I30" s="52" t="n">
        <f aca="false">SUM(I2:I3)</f>
        <v>1.25</v>
      </c>
      <c r="J30" s="52" t="n">
        <f aca="false">SUM(J2:J3)</f>
        <v>1.25</v>
      </c>
      <c r="K30" s="50" t="n">
        <f aca="false">SUM(K2:K3)</f>
        <v>1</v>
      </c>
      <c r="L30" s="50" t="n">
        <f aca="false">SUM(L2:L3)</f>
        <v>1</v>
      </c>
      <c r="M30" s="50" t="n">
        <f aca="false">SUM(M2:M3)</f>
        <v>1</v>
      </c>
      <c r="N30" s="50" t="n">
        <f aca="false">SUM(N2:N3)</f>
        <v>1</v>
      </c>
      <c r="O30" s="52" t="n">
        <f aca="false">SUM(O2:O3)</f>
        <v>0.0001</v>
      </c>
      <c r="P30" s="50" t="n">
        <f aca="false">SUM(P2:P3)</f>
        <v>1</v>
      </c>
      <c r="Q30" s="50" t="n">
        <f aca="false">SUM(Q2:Q3)</f>
        <v>0.65</v>
      </c>
      <c r="R30" s="56" t="n">
        <f aca="false">SUM(R2:R3)</f>
        <v>0</v>
      </c>
      <c r="S30" s="56" t="n">
        <f aca="false">SUM(S2:S3)</f>
        <v>0</v>
      </c>
      <c r="T30" s="50" t="n">
        <f aca="false">SUM(T2:T3)</f>
        <v>0</v>
      </c>
      <c r="U30" s="54" t="n">
        <f aca="false">SUM(U2:U3)</f>
        <v>1</v>
      </c>
      <c r="V30" s="50" t="n">
        <f aca="false">SUM(V2:V3)</f>
        <v>1</v>
      </c>
      <c r="W30" s="50" t="n">
        <f aca="false">SUM(W2:W3)</f>
        <v>1</v>
      </c>
      <c r="X30" s="50" t="n">
        <f aca="false">SUM(X2:X3)</f>
        <v>1</v>
      </c>
      <c r="Y30" s="50" t="n">
        <f aca="false">SUM(Y2:Y3)</f>
        <v>1</v>
      </c>
      <c r="Z30" s="50" t="n">
        <f aca="false">SUM(Z2:Z3)</f>
        <v>1</v>
      </c>
      <c r="AA30" s="50" t="n">
        <f aca="false">SUM(AA2:AA3)</f>
        <v>1</v>
      </c>
      <c r="AB30" s="50" t="n">
        <f aca="false">SUM(AB2:AB3)</f>
        <v>1</v>
      </c>
      <c r="AC30" s="50" t="n">
        <f aca="false">SUM(AC2:AC3)</f>
        <v>1</v>
      </c>
      <c r="AD30" s="50" t="n">
        <f aca="false">SUM(AD2:AD3)</f>
        <v>1</v>
      </c>
      <c r="AE30" s="50" t="n">
        <f aca="false">SUM(AE2:AE3)</f>
        <v>1</v>
      </c>
      <c r="AF30" s="50" t="n">
        <f aca="false">SUM(AF2:AF3)</f>
        <v>1</v>
      </c>
      <c r="AG30" s="50" t="n">
        <f aca="false">SUM(AG2:AG3)</f>
        <v>1</v>
      </c>
      <c r="AH30" s="50" t="n">
        <f aca="false">SUM(AH2:AH3)</f>
        <v>1</v>
      </c>
      <c r="AI30" s="50" t="n">
        <f aca="false">SUM(AI2:AI3)</f>
        <v>1</v>
      </c>
      <c r="AJ30" s="50" t="n">
        <f aca="false">SUM(AJ2:AJ3)</f>
        <v>1</v>
      </c>
      <c r="AK30" s="50" t="n">
        <f aca="false">SUM(AK2:AK3)</f>
        <v>1</v>
      </c>
      <c r="AL30" s="50" t="n">
        <f aca="false">SUM(AL2:AL3)</f>
        <v>1</v>
      </c>
      <c r="AM30" s="50" t="n">
        <f aca="false">SUM(AM2:AM3)</f>
        <v>1</v>
      </c>
      <c r="AN30" s="50" t="n">
        <f aca="false">SUM(AN2:AN3)</f>
        <v>1</v>
      </c>
      <c r="AO30" s="50" t="n">
        <f aca="false">SUM(AO2:AO3)</f>
        <v>1</v>
      </c>
      <c r="AP30" s="50" t="n">
        <f aca="false">SUM(AP2:AP3)</f>
        <v>1</v>
      </c>
      <c r="AQ30" s="50" t="n">
        <f aca="false">SUM(AQ2:AQ3)</f>
        <v>1</v>
      </c>
      <c r="AR30" s="50" t="n">
        <f aca="false">SUM(AR2:AR3)</f>
        <v>1</v>
      </c>
      <c r="AS30" s="50" t="n">
        <f aca="false">SUM(AS2:AS3)</f>
        <v>1</v>
      </c>
      <c r="AT30" s="50" t="n">
        <f aca="false">SUM(AT2:AT3)</f>
        <v>1</v>
      </c>
      <c r="AU30" s="50" t="n">
        <f aca="false">SUM(AU2:AU3)</f>
        <v>1</v>
      </c>
      <c r="AV30" s="50" t="n">
        <f aca="false">SUM(AV2:AV3)</f>
        <v>1</v>
      </c>
      <c r="AW30" s="50" t="n">
        <f aca="false">SUM(AW2:AW3)</f>
        <v>1</v>
      </c>
      <c r="AX30" s="50" t="n">
        <f aca="false">SUM(AX2:AX3)</f>
        <v>1</v>
      </c>
      <c r="AY30" s="50" t="n">
        <f aca="false">SUM(AY2:AY3)</f>
        <v>1</v>
      </c>
      <c r="AZ30" s="50" t="n">
        <f aca="false">SUM(AZ2:AZ3)</f>
        <v>1</v>
      </c>
      <c r="BA30" s="50" t="n">
        <f aca="false">SUM(BA2:BA3)</f>
        <v>1</v>
      </c>
      <c r="BB30" s="50" t="n">
        <f aca="false">SUM(BB2:BB3)</f>
        <v>1</v>
      </c>
      <c r="BC30" s="50" t="n">
        <f aca="false">SUM(BC2:BC3)</f>
        <v>1</v>
      </c>
      <c r="BD30" s="50" t="n">
        <f aca="false">SUM(BD2:BD3)</f>
        <v>1</v>
      </c>
      <c r="BE30" s="50" t="n">
        <f aca="false">SUM(BE2:BE3)</f>
        <v>1</v>
      </c>
      <c r="BF30" s="50" t="n">
        <f aca="false">SUM(BF2:BF3)</f>
        <v>1</v>
      </c>
      <c r="BG30" s="50" t="n">
        <f aca="false">SUM(BG2:BG3)</f>
        <v>1</v>
      </c>
      <c r="BH30" s="50" t="n">
        <f aca="false">SUM(BH2:BH3)</f>
        <v>1</v>
      </c>
      <c r="BI30" s="50" t="n">
        <f aca="false">SUM(BI2:BI3)</f>
        <v>1</v>
      </c>
      <c r="BJ30" s="50" t="n">
        <f aca="false">SUM(BJ2:BJ3)</f>
        <v>1</v>
      </c>
      <c r="BK30" s="50" t="n">
        <f aca="false">SUM(BK2:BK3)</f>
        <v>1</v>
      </c>
      <c r="BL30" s="50" t="n">
        <f aca="false">SUM(BL2:BL3)</f>
        <v>1</v>
      </c>
      <c r="BM30" s="50" t="n">
        <f aca="false">SUM(BM2:BM3)</f>
        <v>1</v>
      </c>
      <c r="BN30" s="50" t="n">
        <f aca="false">SUM(BN2:BN3)</f>
        <v>1</v>
      </c>
      <c r="BO30" s="50" t="n">
        <f aca="false">SUM(BO2:BO3)</f>
        <v>1</v>
      </c>
      <c r="BP30" s="50" t="n">
        <f aca="false">SUM(BP2:BP3)</f>
        <v>1</v>
      </c>
      <c r="BQ30" s="50" t="n">
        <f aca="false">SUM(BQ2:BQ3)</f>
        <v>1</v>
      </c>
      <c r="BR30" s="50" t="n">
        <f aca="false">SUM(BR2:BR3)</f>
        <v>1</v>
      </c>
      <c r="BS30" s="50" t="n">
        <f aca="false">SUM(BS2:BS3)</f>
        <v>1</v>
      </c>
      <c r="BT30" s="50" t="n">
        <f aca="false">SUM(BT2:BT3)</f>
        <v>1</v>
      </c>
      <c r="BU30" s="50" t="n">
        <f aca="false">SUM(BU2:BU3)</f>
        <v>1</v>
      </c>
      <c r="BV30" s="50" t="n">
        <f aca="false">SUM(BV2:BV3)</f>
        <v>1</v>
      </c>
      <c r="BW30" s="50" t="n">
        <f aca="false">SUM(BW2:BW3)</f>
        <v>1</v>
      </c>
      <c r="BX30" s="50" t="n">
        <f aca="false">SUM(BX2:BX3)</f>
        <v>1</v>
      </c>
      <c r="BY30" s="50" t="n">
        <f aca="false">SUM(BY2:BY3)</f>
        <v>1</v>
      </c>
      <c r="BZ30" s="50" t="n">
        <f aca="false">SUM(BZ2:BZ3)</f>
        <v>1</v>
      </c>
      <c r="CA30" s="50" t="n">
        <f aca="false">SUM(CA2:CA3)</f>
        <v>1</v>
      </c>
      <c r="CB30" s="50" t="n">
        <f aca="false">SUM(CB2:CB3)</f>
        <v>1</v>
      </c>
      <c r="CC30" s="50" t="n">
        <f aca="false">SUM(CC2:CC3)</f>
        <v>1</v>
      </c>
      <c r="CD30" s="50" t="n">
        <f aca="false">SUM(CD2:CD3)</f>
        <v>1</v>
      </c>
      <c r="CE30" s="50" t="n">
        <f aca="false">SUM(CE2:CE3)</f>
        <v>1</v>
      </c>
      <c r="CX30" s="50" t="n">
        <f aca="false">CZ30/$CW$2</f>
        <v>0.220428</v>
      </c>
      <c r="CY30" s="0" t="n">
        <v>29</v>
      </c>
      <c r="CZ30" s="0" t="n">
        <v>110214</v>
      </c>
      <c r="DA30" s="58" t="n">
        <f aca="false">CZ30-CZ29</f>
        <v>3801</v>
      </c>
      <c r="DB30" s="50" t="n">
        <f aca="false">CZ30/$CZ$52</f>
        <v>0.571430052780572</v>
      </c>
    </row>
    <row r="31" customFormat="false" ht="15" hidden="false" customHeight="false" outlineLevel="0" collapsed="false">
      <c r="A31" s="43" t="s">
        <v>213</v>
      </c>
      <c r="B31" s="50" t="n">
        <f aca="false">SUM(B2:B4)</f>
        <v>0.35</v>
      </c>
      <c r="C31" s="50" t="n">
        <f aca="false">SUM(C2:C4)</f>
        <v>0.3</v>
      </c>
      <c r="D31" s="50" t="n">
        <f aca="false">SUM(D2:D4)</f>
        <v>0.35</v>
      </c>
      <c r="E31" s="50" t="n">
        <f aca="false">SUM(E2:E4)</f>
        <v>1</v>
      </c>
      <c r="F31" s="50" t="n">
        <f aca="false">SUM(F2:F4)</f>
        <v>1</v>
      </c>
      <c r="G31" s="50" t="n">
        <f aca="false">SUM(G2:G4)</f>
        <v>1.55</v>
      </c>
      <c r="H31" s="50" t="n">
        <f aca="false">SUM(H2:H4)</f>
        <v>1.75</v>
      </c>
      <c r="I31" s="52" t="n">
        <f aca="false">SUM(I2:I4)</f>
        <v>1</v>
      </c>
      <c r="J31" s="52" t="n">
        <f aca="false">SUM(J2:J4)</f>
        <v>1</v>
      </c>
      <c r="K31" s="50" t="n">
        <f aca="false">SUM(K2:K4)</f>
        <v>0.99</v>
      </c>
      <c r="L31" s="50" t="n">
        <f aca="false">SUM(L2:L4)</f>
        <v>1.01</v>
      </c>
      <c r="M31" s="50" t="n">
        <f aca="false">SUM(M2:M4)</f>
        <v>1</v>
      </c>
      <c r="N31" s="50" t="n">
        <f aca="false">SUM(N2:N4)</f>
        <v>1</v>
      </c>
      <c r="O31" s="52" t="n">
        <f aca="false">SUM(O2:O4)</f>
        <v>0.0001</v>
      </c>
      <c r="P31" s="50" t="n">
        <f aca="false">SUM(P2:P4)</f>
        <v>1</v>
      </c>
      <c r="Q31" s="50" t="n">
        <f aca="false">SUM(Q2:Q4)</f>
        <v>1.15</v>
      </c>
      <c r="R31" s="56" t="n">
        <f aca="false">SUM(R2:R4)</f>
        <v>1</v>
      </c>
      <c r="S31" s="56" t="n">
        <f aca="false">SUM(S2:S4)</f>
        <v>0</v>
      </c>
      <c r="T31" s="50" t="n">
        <f aca="false">SUM(T2:T4)</f>
        <v>0.8</v>
      </c>
      <c r="U31" s="54" t="n">
        <f aca="false">SUM(U2:U4)</f>
        <v>1</v>
      </c>
      <c r="V31" s="50" t="n">
        <f aca="false">SUM(V2:V4)</f>
        <v>1</v>
      </c>
      <c r="W31" s="50" t="n">
        <f aca="false">SUM(W2:W4)</f>
        <v>1</v>
      </c>
      <c r="X31" s="50" t="n">
        <f aca="false">SUM(X2:X4)</f>
        <v>1</v>
      </c>
      <c r="Y31" s="50" t="n">
        <f aca="false">SUM(Y2:Y4)</f>
        <v>1</v>
      </c>
      <c r="Z31" s="50" t="n">
        <f aca="false">SUM(Z2:Z4)</f>
        <v>1</v>
      </c>
      <c r="AA31" s="50" t="n">
        <f aca="false">SUM(AA2:AA4)</f>
        <v>1</v>
      </c>
      <c r="AB31" s="50" t="n">
        <f aca="false">SUM(AB2:AB4)</f>
        <v>1</v>
      </c>
      <c r="AC31" s="50" t="n">
        <f aca="false">SUM(AC2:AC4)</f>
        <v>1</v>
      </c>
      <c r="AD31" s="50" t="n">
        <f aca="false">SUM(AD2:AD4)</f>
        <v>1</v>
      </c>
      <c r="AE31" s="50" t="n">
        <f aca="false">SUM(AE2:AE4)</f>
        <v>1</v>
      </c>
      <c r="AF31" s="50" t="n">
        <f aca="false">SUM(AF2:AF4)</f>
        <v>1</v>
      </c>
      <c r="AG31" s="50" t="n">
        <f aca="false">SUM(AG2:AG4)</f>
        <v>1</v>
      </c>
      <c r="AH31" s="50" t="n">
        <f aca="false">SUM(AH2:AH4)</f>
        <v>1.1</v>
      </c>
      <c r="AI31" s="50" t="n">
        <f aca="false">SUM(AI2:AI4)</f>
        <v>1</v>
      </c>
      <c r="AJ31" s="50" t="n">
        <f aca="false">SUM(AJ2:AJ4)</f>
        <v>1</v>
      </c>
      <c r="AK31" s="50" t="n">
        <f aca="false">SUM(AK2:AK4)</f>
        <v>1</v>
      </c>
      <c r="AL31" s="50" t="n">
        <f aca="false">SUM(AL2:AL4)</f>
        <v>1</v>
      </c>
      <c r="AM31" s="50" t="n">
        <f aca="false">SUM(AM2:AM4)</f>
        <v>1</v>
      </c>
      <c r="AN31" s="50" t="n">
        <f aca="false">SUM(AN2:AN4)</f>
        <v>1</v>
      </c>
      <c r="AO31" s="50" t="n">
        <f aca="false">SUM(AO2:AO4)</f>
        <v>1</v>
      </c>
      <c r="AP31" s="50" t="n">
        <f aca="false">SUM(AP2:AP4)</f>
        <v>1</v>
      </c>
      <c r="AQ31" s="50" t="n">
        <f aca="false">SUM(AQ2:AQ4)</f>
        <v>1</v>
      </c>
      <c r="AR31" s="50" t="n">
        <f aca="false">SUM(AR2:AR4)</f>
        <v>1</v>
      </c>
      <c r="AS31" s="50" t="n">
        <f aca="false">SUM(AS2:AS4)</f>
        <v>1</v>
      </c>
      <c r="AT31" s="50" t="n">
        <f aca="false">SUM(AT2:AT4)</f>
        <v>1</v>
      </c>
      <c r="AU31" s="50" t="n">
        <f aca="false">SUM(AU2:AU4)</f>
        <v>1</v>
      </c>
      <c r="AV31" s="50" t="n">
        <f aca="false">SUM(AV2:AV4)</f>
        <v>1</v>
      </c>
      <c r="AW31" s="50" t="n">
        <f aca="false">SUM(AW2:AW4)</f>
        <v>1</v>
      </c>
      <c r="AX31" s="50" t="n">
        <f aca="false">SUM(AX2:AX4)</f>
        <v>1</v>
      </c>
      <c r="AY31" s="50" t="n">
        <f aca="false">SUM(AY2:AY4)</f>
        <v>1</v>
      </c>
      <c r="AZ31" s="50" t="n">
        <f aca="false">SUM(AZ2:AZ4)</f>
        <v>1</v>
      </c>
      <c r="BA31" s="50" t="n">
        <f aca="false">SUM(BA2:BA4)</f>
        <v>1</v>
      </c>
      <c r="BB31" s="50" t="n">
        <f aca="false">SUM(BB2:BB4)</f>
        <v>1</v>
      </c>
      <c r="BC31" s="50" t="n">
        <f aca="false">SUM(BC2:BC4)</f>
        <v>1</v>
      </c>
      <c r="BD31" s="50" t="n">
        <f aca="false">SUM(BD2:BD4)</f>
        <v>1.1</v>
      </c>
      <c r="BE31" s="50" t="n">
        <f aca="false">SUM(BE2:BE4)</f>
        <v>1.1</v>
      </c>
      <c r="BF31" s="50" t="n">
        <f aca="false">SUM(BF2:BF4)</f>
        <v>1.1</v>
      </c>
      <c r="BG31" s="50" t="n">
        <f aca="false">SUM(BG2:BG4)</f>
        <v>1</v>
      </c>
      <c r="BH31" s="50" t="n">
        <f aca="false">SUM(BH2:BH4)</f>
        <v>1</v>
      </c>
      <c r="BI31" s="50" t="n">
        <f aca="false">SUM(BI2:BI4)</f>
        <v>1</v>
      </c>
      <c r="BJ31" s="50" t="n">
        <f aca="false">SUM(BJ2:BJ4)</f>
        <v>1</v>
      </c>
      <c r="BK31" s="50" t="n">
        <f aca="false">SUM(BK2:BK4)</f>
        <v>1</v>
      </c>
      <c r="BL31" s="50" t="n">
        <f aca="false">SUM(BL2:BL4)</f>
        <v>1</v>
      </c>
      <c r="BM31" s="50" t="n">
        <f aca="false">SUM(BM2:BM4)</f>
        <v>1</v>
      </c>
      <c r="BN31" s="50" t="n">
        <f aca="false">SUM(BN2:BN4)</f>
        <v>1</v>
      </c>
      <c r="BO31" s="50" t="n">
        <f aca="false">SUM(BO2:BO4)</f>
        <v>1</v>
      </c>
      <c r="BP31" s="50" t="n">
        <f aca="false">SUM(BP2:BP4)</f>
        <v>1</v>
      </c>
      <c r="BQ31" s="50" t="n">
        <f aca="false">SUM(BQ2:BQ4)</f>
        <v>1</v>
      </c>
      <c r="BR31" s="50" t="n">
        <f aca="false">SUM(BR2:BR4)</f>
        <v>1</v>
      </c>
      <c r="BS31" s="50" t="n">
        <f aca="false">SUM(BS2:BS4)</f>
        <v>1</v>
      </c>
      <c r="BT31" s="50" t="n">
        <f aca="false">SUM(BT2:BT4)</f>
        <v>1</v>
      </c>
      <c r="BU31" s="50" t="n">
        <f aca="false">SUM(BU2:BU4)</f>
        <v>1</v>
      </c>
      <c r="BV31" s="50" t="n">
        <f aca="false">SUM(BV2:BV4)</f>
        <v>1</v>
      </c>
      <c r="BW31" s="50" t="n">
        <f aca="false">SUM(BW2:BW4)</f>
        <v>1</v>
      </c>
      <c r="BX31" s="50" t="n">
        <f aca="false">SUM(BX2:BX4)</f>
        <v>1.1</v>
      </c>
      <c r="BY31" s="50" t="n">
        <f aca="false">SUM(BY2:BY4)</f>
        <v>1.05</v>
      </c>
      <c r="BZ31" s="50" t="n">
        <f aca="false">SUM(BZ2:BZ4)</f>
        <v>1</v>
      </c>
      <c r="CA31" s="50" t="n">
        <f aca="false">SUM(CA2:CA4)</f>
        <v>1</v>
      </c>
      <c r="CB31" s="50" t="n">
        <f aca="false">SUM(CB2:CB4)</f>
        <v>1</v>
      </c>
      <c r="CC31" s="50" t="n">
        <f aca="false">SUM(CC2:CC4)</f>
        <v>1</v>
      </c>
      <c r="CD31" s="50" t="n">
        <f aca="false">SUM(CD2:CD4)</f>
        <v>1</v>
      </c>
      <c r="CE31" s="50" t="n">
        <f aca="false">SUM(CE2:CE4)</f>
        <v>1</v>
      </c>
      <c r="CX31" s="50" t="n">
        <f aca="false">CZ31/$CW$2</f>
        <v>0.228028</v>
      </c>
      <c r="CY31" s="0" t="n">
        <v>30</v>
      </c>
      <c r="CZ31" s="0" t="n">
        <v>114014</v>
      </c>
      <c r="DA31" s="58" t="n">
        <f aca="false">CZ31-CZ30</f>
        <v>3800</v>
      </c>
      <c r="DB31" s="50" t="n">
        <f aca="false">CZ31/$CZ$52</f>
        <v>0.591132034385143</v>
      </c>
    </row>
    <row r="32" customFormat="false" ht="15" hidden="false" customHeight="false" outlineLevel="0" collapsed="false">
      <c r="A32" s="43" t="s">
        <v>214</v>
      </c>
      <c r="B32" s="50" t="n">
        <f aca="false">SUM(B2:B5)</f>
        <v>0.26</v>
      </c>
      <c r="C32" s="50" t="n">
        <f aca="false">SUM(C2:C5)</f>
        <v>0.1</v>
      </c>
      <c r="D32" s="50" t="n">
        <f aca="false">SUM(D2:D5)</f>
        <v>0.3</v>
      </c>
      <c r="E32" s="50" t="n">
        <f aca="false">SUM(E2:E5)</f>
        <v>1</v>
      </c>
      <c r="F32" s="50" t="n">
        <f aca="false">SUM(F2:F5)</f>
        <v>1.25</v>
      </c>
      <c r="G32" s="50" t="n">
        <f aca="false">SUM(G2:G5)</f>
        <v>1.15</v>
      </c>
      <c r="H32" s="50" t="n">
        <f aca="false">SUM(H2:H5)</f>
        <v>1.35</v>
      </c>
      <c r="I32" s="52" t="n">
        <f aca="false">SUM(I2:I5)</f>
        <v>1</v>
      </c>
      <c r="J32" s="52" t="n">
        <f aca="false">SUM(J2:J5)</f>
        <v>1</v>
      </c>
      <c r="K32" s="50" t="n">
        <f aca="false">SUM(K2:K5)</f>
        <v>0.99</v>
      </c>
      <c r="L32" s="50" t="n">
        <f aca="false">SUM(L2:L5)</f>
        <v>1.01</v>
      </c>
      <c r="M32" s="50" t="n">
        <f aca="false">SUM(M2:M5)</f>
        <v>1.25</v>
      </c>
      <c r="N32" s="50" t="n">
        <f aca="false">SUM(N2:N5)</f>
        <v>1</v>
      </c>
      <c r="O32" s="52" t="n">
        <f aca="false">SUM(O2:O5)</f>
        <v>0.0001</v>
      </c>
      <c r="P32" s="50" t="n">
        <f aca="false">SUM(P2:P5)</f>
        <v>1</v>
      </c>
      <c r="Q32" s="50" t="n">
        <f aca="false">SUM(Q2:Q5)</f>
        <v>1.25</v>
      </c>
      <c r="R32" s="56" t="n">
        <f aca="false">SUM(R2:R5)</f>
        <v>1</v>
      </c>
      <c r="S32" s="56" t="n">
        <f aca="false">SUM(S2:S5)</f>
        <v>25</v>
      </c>
      <c r="T32" s="50" t="n">
        <f aca="false">SUM(T2:T5)</f>
        <v>1</v>
      </c>
      <c r="U32" s="54" t="n">
        <f aca="false">SUM(U2:U5)</f>
        <v>1</v>
      </c>
      <c r="V32" s="50" t="n">
        <f aca="false">SUM(V2:V5)</f>
        <v>1</v>
      </c>
      <c r="W32" s="50" t="n">
        <f aca="false">SUM(W2:W5)</f>
        <v>1</v>
      </c>
      <c r="X32" s="50" t="n">
        <f aca="false">SUM(X2:X5)</f>
        <v>1</v>
      </c>
      <c r="Y32" s="50" t="n">
        <f aca="false">SUM(Y2:Y5)</f>
        <v>1.5</v>
      </c>
      <c r="Z32" s="50" t="n">
        <f aca="false">SUM(Z2:Z5)</f>
        <v>1</v>
      </c>
      <c r="AA32" s="50" t="n">
        <f aca="false">SUM(AA2:AA5)</f>
        <v>1.1</v>
      </c>
      <c r="AB32" s="50" t="n">
        <f aca="false">SUM(AB2:AB5)</f>
        <v>1</v>
      </c>
      <c r="AC32" s="50" t="n">
        <f aca="false">SUM(AC2:AC5)</f>
        <v>1</v>
      </c>
      <c r="AD32" s="50" t="n">
        <f aca="false">SUM(AD2:AD5)</f>
        <v>1</v>
      </c>
      <c r="AE32" s="50" t="n">
        <f aca="false">SUM(AE2:AE5)</f>
        <v>1</v>
      </c>
      <c r="AF32" s="50" t="n">
        <f aca="false">SUM(AF2:AF5)</f>
        <v>1</v>
      </c>
      <c r="AG32" s="50" t="n">
        <f aca="false">SUM(AG2:AG5)</f>
        <v>1</v>
      </c>
      <c r="AH32" s="50" t="n">
        <f aca="false">SUM(AH2:AH5)</f>
        <v>1.4</v>
      </c>
      <c r="AI32" s="50" t="n">
        <f aca="false">SUM(AI2:AI5)</f>
        <v>1</v>
      </c>
      <c r="AJ32" s="50" t="n">
        <f aca="false">SUM(AJ2:AJ5)</f>
        <v>1</v>
      </c>
      <c r="AK32" s="50" t="n">
        <f aca="false">SUM(AK2:AK5)</f>
        <v>1</v>
      </c>
      <c r="AL32" s="50" t="n">
        <f aca="false">SUM(AL2:AL5)</f>
        <v>1</v>
      </c>
      <c r="AM32" s="50" t="n">
        <f aca="false">SUM(AM2:AM5)</f>
        <v>1</v>
      </c>
      <c r="AN32" s="50" t="n">
        <f aca="false">SUM(AN2:AN5)</f>
        <v>1</v>
      </c>
      <c r="AO32" s="50" t="n">
        <f aca="false">SUM(AO2:AO5)</f>
        <v>1</v>
      </c>
      <c r="AP32" s="50" t="n">
        <f aca="false">SUM(AP2:AP5)</f>
        <v>1</v>
      </c>
      <c r="AQ32" s="50" t="n">
        <f aca="false">SUM(AQ2:AQ5)</f>
        <v>1.1</v>
      </c>
      <c r="AR32" s="50" t="n">
        <f aca="false">SUM(AR2:AR5)</f>
        <v>1</v>
      </c>
      <c r="AS32" s="50" t="n">
        <f aca="false">SUM(AS2:AS5)</f>
        <v>1</v>
      </c>
      <c r="AT32" s="50" t="n">
        <f aca="false">SUM(AT2:AT5)</f>
        <v>1</v>
      </c>
      <c r="AU32" s="50" t="n">
        <f aca="false">SUM(AU2:AU5)</f>
        <v>1</v>
      </c>
      <c r="AV32" s="50" t="n">
        <f aca="false">SUM(AV2:AV5)</f>
        <v>1</v>
      </c>
      <c r="AW32" s="50" t="n">
        <f aca="false">SUM(AW2:AW5)</f>
        <v>1</v>
      </c>
      <c r="AX32" s="50" t="n">
        <f aca="false">SUM(AX2:AX5)</f>
        <v>1</v>
      </c>
      <c r="AY32" s="50" t="n">
        <f aca="false">SUM(AY2:AY5)</f>
        <v>1</v>
      </c>
      <c r="AZ32" s="50" t="n">
        <f aca="false">SUM(AZ2:AZ5)</f>
        <v>1</v>
      </c>
      <c r="BA32" s="50" t="n">
        <f aca="false">SUM(BA2:BA5)</f>
        <v>1.1</v>
      </c>
      <c r="BB32" s="50" t="n">
        <f aca="false">SUM(BB2:BB5)</f>
        <v>1.1</v>
      </c>
      <c r="BC32" s="50" t="n">
        <f aca="false">SUM(BC2:BC5)</f>
        <v>1</v>
      </c>
      <c r="BD32" s="50" t="n">
        <f aca="false">SUM(BD2:BD5)</f>
        <v>1.1</v>
      </c>
      <c r="BE32" s="50" t="n">
        <f aca="false">SUM(BE2:BE5)</f>
        <v>1.1</v>
      </c>
      <c r="BF32" s="50" t="n">
        <f aca="false">SUM(BF2:BF5)</f>
        <v>1.2</v>
      </c>
      <c r="BG32" s="50" t="n">
        <f aca="false">SUM(BG2:BG5)</f>
        <v>1</v>
      </c>
      <c r="BH32" s="50" t="n">
        <f aca="false">SUM(BH2:BH5)</f>
        <v>1</v>
      </c>
      <c r="BI32" s="50" t="n">
        <f aca="false">SUM(BI2:BI5)</f>
        <v>1</v>
      </c>
      <c r="BJ32" s="50" t="n">
        <f aca="false">SUM(BJ2:BJ5)</f>
        <v>1.05</v>
      </c>
      <c r="BK32" s="50" t="n">
        <f aca="false">SUM(BK2:BK5)</f>
        <v>1</v>
      </c>
      <c r="BL32" s="50" t="n">
        <f aca="false">SUM(BL2:BL5)</f>
        <v>1</v>
      </c>
      <c r="BM32" s="50" t="n">
        <f aca="false">SUM(BM2:BM5)</f>
        <v>1</v>
      </c>
      <c r="BN32" s="50" t="n">
        <f aca="false">SUM(BN2:BN5)</f>
        <v>1</v>
      </c>
      <c r="BO32" s="50" t="n">
        <f aca="false">SUM(BO2:BO5)</f>
        <v>1</v>
      </c>
      <c r="BP32" s="50" t="n">
        <f aca="false">SUM(BP2:BP5)</f>
        <v>1</v>
      </c>
      <c r="BQ32" s="50" t="n">
        <f aca="false">SUM(BQ2:BQ5)</f>
        <v>1</v>
      </c>
      <c r="BR32" s="50" t="n">
        <f aca="false">SUM(BR2:BR5)</f>
        <v>1</v>
      </c>
      <c r="BS32" s="50" t="n">
        <f aca="false">SUM(BS2:BS5)</f>
        <v>1</v>
      </c>
      <c r="BT32" s="50" t="n">
        <f aca="false">SUM(BT2:BT5)</f>
        <v>1.05</v>
      </c>
      <c r="BU32" s="50" t="n">
        <f aca="false">SUM(BU2:BU5)</f>
        <v>1</v>
      </c>
      <c r="BV32" s="50" t="n">
        <f aca="false">SUM(BV2:BV5)</f>
        <v>1</v>
      </c>
      <c r="BW32" s="50" t="n">
        <f aca="false">SUM(BW2:BW5)</f>
        <v>1</v>
      </c>
      <c r="BX32" s="50" t="n">
        <f aca="false">SUM(BX2:BX5)</f>
        <v>1.1</v>
      </c>
      <c r="BY32" s="50" t="n">
        <f aca="false">SUM(BY2:BY5)</f>
        <v>1.05</v>
      </c>
      <c r="BZ32" s="50" t="n">
        <f aca="false">SUM(BZ2:BZ5)</f>
        <v>1</v>
      </c>
      <c r="CA32" s="50" t="n">
        <f aca="false">SUM(CA2:CA5)</f>
        <v>1</v>
      </c>
      <c r="CB32" s="50" t="n">
        <f aca="false">SUM(CB2:CB5)</f>
        <v>1</v>
      </c>
      <c r="CC32" s="50" t="n">
        <f aca="false">SUM(CC2:CC5)</f>
        <v>1</v>
      </c>
      <c r="CD32" s="50" t="n">
        <f aca="false">SUM(CD2:CD5)</f>
        <v>1</v>
      </c>
      <c r="CE32" s="50" t="n">
        <f aca="false">SUM(CE2:CE5)</f>
        <v>1</v>
      </c>
      <c r="CO32" s="49" t="s">
        <v>296</v>
      </c>
      <c r="CP32" s="49" t="s">
        <v>297</v>
      </c>
      <c r="CQ32" s="49" t="s">
        <v>298</v>
      </c>
      <c r="CR32" s="49" t="s">
        <v>299</v>
      </c>
      <c r="CS32" s="49" t="s">
        <v>300</v>
      </c>
      <c r="CT32" s="49" t="s">
        <v>301</v>
      </c>
      <c r="CU32" s="49" t="s">
        <v>302</v>
      </c>
      <c r="CV32" s="49" t="s">
        <v>303</v>
      </c>
      <c r="CX32" s="50" t="n">
        <f aca="false">CZ32/$CW$2</f>
        <v>0.23563</v>
      </c>
      <c r="CY32" s="0" t="n">
        <v>31</v>
      </c>
      <c r="CZ32" s="0" t="n">
        <v>117815</v>
      </c>
      <c r="DA32" s="58" t="n">
        <f aca="false">CZ32-CZ31</f>
        <v>3801</v>
      </c>
      <c r="DB32" s="50" t="n">
        <f aca="false">CZ32/$CZ$52</f>
        <v>0.610839200721715</v>
      </c>
    </row>
    <row r="33" customFormat="false" ht="15" hidden="false" customHeight="false" outlineLevel="0" collapsed="false">
      <c r="A33" s="43" t="s">
        <v>294</v>
      </c>
      <c r="B33" s="50" t="n">
        <f aca="false">SUM(B2:B6)</f>
        <v>0.33</v>
      </c>
      <c r="C33" s="50" t="n">
        <f aca="false">SUM(C2:C6)</f>
        <v>0.1</v>
      </c>
      <c r="D33" s="50" t="n">
        <f aca="false">SUM(D2:D6)</f>
        <v>0.35</v>
      </c>
      <c r="E33" s="50" t="n">
        <f aca="false">SUM(E2:E6)</f>
        <v>1</v>
      </c>
      <c r="F33" s="50" t="n">
        <f aca="false">SUM(F2:F6)</f>
        <v>1.25</v>
      </c>
      <c r="G33" s="50" t="n">
        <f aca="false">SUM(G2:G6)</f>
        <v>1.35</v>
      </c>
      <c r="H33" s="50" t="n">
        <f aca="false">SUM(H2:H6)</f>
        <v>1.7</v>
      </c>
      <c r="I33" s="52" t="n">
        <f aca="false">SUM(I2:I6)</f>
        <v>1</v>
      </c>
      <c r="J33" s="52" t="n">
        <f aca="false">SUM(J2:J6)</f>
        <v>1</v>
      </c>
      <c r="K33" s="50" t="n">
        <f aca="false">SUM(K2:K6)</f>
        <v>0.98</v>
      </c>
      <c r="L33" s="50" t="n">
        <f aca="false">SUM(L2:L6)</f>
        <v>1.05</v>
      </c>
      <c r="M33" s="50" t="n">
        <f aca="false">SUM(M2:M6)</f>
        <v>1.35</v>
      </c>
      <c r="N33" s="50" t="n">
        <f aca="false">SUM(N2:N6)</f>
        <v>1</v>
      </c>
      <c r="O33" s="52" t="n">
        <f aca="false">SUM(O2:O6)</f>
        <v>0.0005</v>
      </c>
      <c r="P33" s="50" t="n">
        <f aca="false">SUM(P2:P6)</f>
        <v>0.9</v>
      </c>
      <c r="Q33" s="50" t="n">
        <f aca="false">SUM(Q2:Q6)</f>
        <v>1.65</v>
      </c>
      <c r="R33" s="56" t="n">
        <f aca="false">SUM(R2:R6)</f>
        <v>1</v>
      </c>
      <c r="S33" s="56" t="n">
        <f aca="false">SUM(S2:S6)</f>
        <v>99</v>
      </c>
      <c r="T33" s="50" t="n">
        <f aca="false">SUM(T2:T6)</f>
        <v>1</v>
      </c>
      <c r="U33" s="54" t="n">
        <f aca="false">SUM(U2:U6)</f>
        <v>0.996</v>
      </c>
      <c r="V33" s="50" t="n">
        <f aca="false">SUM(V2:V6)</f>
        <v>1</v>
      </c>
      <c r="W33" s="50" t="n">
        <f aca="false">SUM(W2:W6)</f>
        <v>1.5</v>
      </c>
      <c r="X33" s="50" t="n">
        <f aca="false">SUM(X2:X6)</f>
        <v>1.2</v>
      </c>
      <c r="Y33" s="50" t="n">
        <f aca="false">SUM(Y2:Y6)</f>
        <v>1.5</v>
      </c>
      <c r="Z33" s="50" t="n">
        <f aca="false">SUM(Z2:Z6)</f>
        <v>1</v>
      </c>
      <c r="AA33" s="50" t="n">
        <f aca="false">SUM(AA2:AA6)</f>
        <v>1.1</v>
      </c>
      <c r="AB33" s="50" t="n">
        <f aca="false">SUM(AB2:AB6)</f>
        <v>1</v>
      </c>
      <c r="AC33" s="50" t="n">
        <f aca="false">SUM(AC2:AC6)</f>
        <v>1</v>
      </c>
      <c r="AD33" s="50" t="n">
        <f aca="false">SUM(AD2:AD6)</f>
        <v>1</v>
      </c>
      <c r="AE33" s="50" t="n">
        <f aca="false">SUM(AE2:AE6)</f>
        <v>1</v>
      </c>
      <c r="AF33" s="50" t="n">
        <f aca="false">SUM(AF2:AF6)</f>
        <v>1.3</v>
      </c>
      <c r="AG33" s="50" t="n">
        <f aca="false">SUM(AG2:AG6)</f>
        <v>1.1</v>
      </c>
      <c r="AH33" s="50" t="n">
        <f aca="false">SUM(AH2:AH6)</f>
        <v>1.65</v>
      </c>
      <c r="AI33" s="50" t="n">
        <f aca="false">SUM(AI2:AI6)</f>
        <v>1</v>
      </c>
      <c r="AJ33" s="50" t="n">
        <f aca="false">SUM(AJ2:AJ6)</f>
        <v>1</v>
      </c>
      <c r="AK33" s="50" t="n">
        <f aca="false">SUM(AK2:AK6)</f>
        <v>1</v>
      </c>
      <c r="AL33" s="50" t="n">
        <f aca="false">SUM(AL2:AL6)</f>
        <v>1</v>
      </c>
      <c r="AM33" s="50" t="n">
        <f aca="false">SUM(AM2:AM6)</f>
        <v>1</v>
      </c>
      <c r="AN33" s="50" t="n">
        <f aca="false">SUM(AN2:AN6)</f>
        <v>1.1</v>
      </c>
      <c r="AO33" s="50" t="n">
        <f aca="false">SUM(AO2:AO6)</f>
        <v>1</v>
      </c>
      <c r="AP33" s="50" t="n">
        <f aca="false">SUM(AP2:AP6)</f>
        <v>1</v>
      </c>
      <c r="AQ33" s="50" t="n">
        <f aca="false">SUM(AQ2:AQ6)</f>
        <v>1.1</v>
      </c>
      <c r="AR33" s="50" t="n">
        <f aca="false">SUM(AR2:AR6)</f>
        <v>1.1</v>
      </c>
      <c r="AS33" s="50" t="n">
        <f aca="false">SUM(AS2:AS6)</f>
        <v>1.1</v>
      </c>
      <c r="AT33" s="50" t="n">
        <f aca="false">SUM(AT2:AT6)</f>
        <v>1</v>
      </c>
      <c r="AU33" s="50" t="n">
        <f aca="false">SUM(AU2:AU6)</f>
        <v>1</v>
      </c>
      <c r="AV33" s="50" t="n">
        <f aca="false">SUM(AV2:AV6)</f>
        <v>1</v>
      </c>
      <c r="AW33" s="50" t="n">
        <f aca="false">SUM(AW2:AW6)</f>
        <v>1</v>
      </c>
      <c r="AX33" s="50" t="n">
        <f aca="false">SUM(AX2:AX6)</f>
        <v>1</v>
      </c>
      <c r="AY33" s="50" t="n">
        <f aca="false">SUM(AY2:AY6)</f>
        <v>1.2</v>
      </c>
      <c r="AZ33" s="50" t="n">
        <f aca="false">SUM(AZ2:AZ6)</f>
        <v>1.5</v>
      </c>
      <c r="BA33" s="50" t="n">
        <f aca="false">SUM(BA2:BA6)</f>
        <v>1.25</v>
      </c>
      <c r="BB33" s="50" t="n">
        <f aca="false">SUM(BB2:BB6)</f>
        <v>1.35</v>
      </c>
      <c r="BC33" s="50" t="n">
        <f aca="false">SUM(BC2:BC6)</f>
        <v>1.1</v>
      </c>
      <c r="BD33" s="50" t="n">
        <f aca="false">SUM(BD2:BD6)</f>
        <v>1.2</v>
      </c>
      <c r="BE33" s="50" t="n">
        <f aca="false">SUM(BE2:BE6)</f>
        <v>1.35</v>
      </c>
      <c r="BF33" s="50" t="n">
        <f aca="false">SUM(BF2:BF6)</f>
        <v>1.3</v>
      </c>
      <c r="BG33" s="50" t="n">
        <f aca="false">SUM(BG2:BG6)</f>
        <v>1</v>
      </c>
      <c r="BH33" s="50" t="n">
        <f aca="false">SUM(BH2:BH6)</f>
        <v>1</v>
      </c>
      <c r="BI33" s="50" t="n">
        <f aca="false">SUM(BI2:BI6)</f>
        <v>1.1</v>
      </c>
      <c r="BJ33" s="50" t="n">
        <f aca="false">SUM(BJ2:BJ6)</f>
        <v>1.05</v>
      </c>
      <c r="BK33" s="50" t="n">
        <f aca="false">SUM(BK2:BK6)</f>
        <v>1</v>
      </c>
      <c r="BL33" s="50" t="n">
        <f aca="false">SUM(BL2:BL6)</f>
        <v>1</v>
      </c>
      <c r="BM33" s="50" t="n">
        <f aca="false">SUM(BM2:BM6)</f>
        <v>1</v>
      </c>
      <c r="BN33" s="50" t="n">
        <f aca="false">SUM(BN2:BN6)</f>
        <v>1</v>
      </c>
      <c r="BO33" s="50" t="n">
        <f aca="false">SUM(BO2:BO6)</f>
        <v>1</v>
      </c>
      <c r="BP33" s="50" t="n">
        <f aca="false">SUM(BP2:BP6)</f>
        <v>1</v>
      </c>
      <c r="BQ33" s="50" t="n">
        <f aca="false">SUM(BQ2:BQ6)</f>
        <v>1</v>
      </c>
      <c r="BR33" s="50" t="n">
        <f aca="false">SUM(BR2:BR6)</f>
        <v>1.1</v>
      </c>
      <c r="BS33" s="50" t="n">
        <f aca="false">SUM(BS2:BS6)</f>
        <v>1</v>
      </c>
      <c r="BT33" s="50" t="n">
        <f aca="false">SUM(BT2:BT6)</f>
        <v>1.05</v>
      </c>
      <c r="BU33" s="50" t="n">
        <f aca="false">SUM(BU2:BU6)</f>
        <v>1</v>
      </c>
      <c r="BV33" s="50" t="n">
        <f aca="false">SUM(BV2:BV6)</f>
        <v>1</v>
      </c>
      <c r="BW33" s="50" t="n">
        <f aca="false">SUM(BW2:BW6)</f>
        <v>1</v>
      </c>
      <c r="BX33" s="50" t="n">
        <f aca="false">SUM(BX2:BX6)</f>
        <v>1.3</v>
      </c>
      <c r="BY33" s="50" t="n">
        <f aca="false">SUM(BY2:BY6)</f>
        <v>1.15</v>
      </c>
      <c r="BZ33" s="50" t="n">
        <f aca="false">SUM(BZ2:BZ6)</f>
        <v>1</v>
      </c>
      <c r="CA33" s="50" t="n">
        <f aca="false">SUM(CA2:CA6)</f>
        <v>1</v>
      </c>
      <c r="CB33" s="50" t="n">
        <f aca="false">SUM(CB2:CB6)</f>
        <v>1</v>
      </c>
      <c r="CC33" s="50" t="n">
        <f aca="false">SUM(CC2:CC6)</f>
        <v>1</v>
      </c>
      <c r="CD33" s="50" t="n">
        <f aca="false">SUM(CD2:CD6)</f>
        <v>1</v>
      </c>
      <c r="CE33" s="50" t="n">
        <f aca="false">SUM(CE2:CE6)</f>
        <v>1</v>
      </c>
      <c r="CO33" s="0" t="n">
        <v>1110000</v>
      </c>
      <c r="CP33" s="0" t="n">
        <v>16510</v>
      </c>
      <c r="CQ33" s="0" t="n">
        <v>3656</v>
      </c>
      <c r="CR33" s="0" t="n">
        <v>55800</v>
      </c>
      <c r="CS33" s="0" t="n">
        <v>4112</v>
      </c>
      <c r="CT33" s="0" t="n">
        <v>500000</v>
      </c>
      <c r="CU33" s="0" t="n">
        <v>131640</v>
      </c>
      <c r="CV33" s="0" t="n">
        <v>148620</v>
      </c>
      <c r="CX33" s="50" t="n">
        <f aca="false">CZ33/$CW$2</f>
        <v>0.24323</v>
      </c>
      <c r="CY33" s="0" t="n">
        <v>32</v>
      </c>
      <c r="CZ33" s="0" t="n">
        <v>121615</v>
      </c>
      <c r="DA33" s="58" t="n">
        <f aca="false">CZ33-CZ32</f>
        <v>3800</v>
      </c>
      <c r="DB33" s="50" t="n">
        <f aca="false">CZ33/$CZ$52</f>
        <v>0.630541182326286</v>
      </c>
    </row>
    <row r="34" customFormat="false" ht="15" hidden="false" customHeight="false" outlineLevel="0" collapsed="false">
      <c r="A34" s="43" t="s">
        <v>295</v>
      </c>
      <c r="B34" s="50" t="n">
        <f aca="false">SUM(B2:B7)</f>
        <v>0.37</v>
      </c>
      <c r="C34" s="50" t="n">
        <f aca="false">SUM(C2:C7)</f>
        <v>0.1</v>
      </c>
      <c r="D34" s="50" t="n">
        <f aca="false">SUM(D2:D7)</f>
        <v>0.4</v>
      </c>
      <c r="E34" s="50" t="n">
        <f aca="false">SUM(E2:E7)</f>
        <v>1</v>
      </c>
      <c r="F34" s="50" t="n">
        <f aca="false">SUM(F2:F7)</f>
        <v>1.25</v>
      </c>
      <c r="G34" s="50" t="n">
        <f aca="false">SUM(G2:G7)</f>
        <v>2.5</v>
      </c>
      <c r="H34" s="50" t="n">
        <f aca="false">SUM(H2:H7)</f>
        <v>2.07</v>
      </c>
      <c r="I34" s="52" t="n">
        <f aca="false">SUM(I2:I7)</f>
        <v>1</v>
      </c>
      <c r="J34" s="52" t="n">
        <f aca="false">SUM(J2:J7)</f>
        <v>1</v>
      </c>
      <c r="K34" s="50" t="n">
        <f aca="false">SUM(K2:K7)</f>
        <v>0.97</v>
      </c>
      <c r="L34" s="50" t="n">
        <f aca="false">SUM(L2:L7)</f>
        <v>1.09</v>
      </c>
      <c r="M34" s="50" t="n">
        <f aca="false">SUM(M2:M7)</f>
        <v>1.45</v>
      </c>
      <c r="N34" s="50" t="n">
        <f aca="false">SUM(N2:N7)</f>
        <v>0.95</v>
      </c>
      <c r="O34" s="52" t="n">
        <f aca="false">SUM(O2:O7)</f>
        <v>0.0006</v>
      </c>
      <c r="P34" s="50" t="n">
        <f aca="false">SUM(P2:P7)</f>
        <v>0.9</v>
      </c>
      <c r="Q34" s="50" t="n">
        <f aca="false">SUM(Q2:Q7)</f>
        <v>1.65</v>
      </c>
      <c r="R34" s="56" t="n">
        <f aca="false">SUM(R2:R7)</f>
        <v>1</v>
      </c>
      <c r="S34" s="56" t="n">
        <f aca="false">SUM(S2:S7)</f>
        <v>137</v>
      </c>
      <c r="T34" s="50" t="n">
        <f aca="false">SUM(T2:T7)</f>
        <v>1</v>
      </c>
      <c r="U34" s="54" t="n">
        <f aca="false">SUM(U2:U7)</f>
        <v>0.996</v>
      </c>
      <c r="V34" s="50" t="n">
        <f aca="false">SUM(V2:V7)</f>
        <v>1.5</v>
      </c>
      <c r="W34" s="50" t="n">
        <f aca="false">SUM(W2:W7)</f>
        <v>1.5</v>
      </c>
      <c r="X34" s="50" t="n">
        <f aca="false">SUM(X2:X7)</f>
        <v>1.4</v>
      </c>
      <c r="Y34" s="50" t="n">
        <f aca="false">SUM(Y2:Y7)</f>
        <v>1.5</v>
      </c>
      <c r="Z34" s="50" t="n">
        <f aca="false">SUM(Z2:Z7)</f>
        <v>1</v>
      </c>
      <c r="AA34" s="50" t="n">
        <f aca="false">SUM(AA2:AA7)</f>
        <v>1.1</v>
      </c>
      <c r="AB34" s="50" t="n">
        <f aca="false">SUM(AB2:AB7)</f>
        <v>1</v>
      </c>
      <c r="AC34" s="50" t="n">
        <f aca="false">SUM(AC2:AC7)</f>
        <v>1</v>
      </c>
      <c r="AD34" s="50" t="n">
        <f aca="false">SUM(AD2:AD7)</f>
        <v>1</v>
      </c>
      <c r="AE34" s="50" t="n">
        <f aca="false">SUM(AE2:AE7)</f>
        <v>1</v>
      </c>
      <c r="AF34" s="50" t="n">
        <f aca="false">SUM(AF2:AF7)</f>
        <v>1.3</v>
      </c>
      <c r="AG34" s="50" t="n">
        <f aca="false">SUM(AG2:AG7)</f>
        <v>1.1</v>
      </c>
      <c r="AH34" s="50" t="n">
        <f aca="false">SUM(AH2:AH7)</f>
        <v>2</v>
      </c>
      <c r="AI34" s="50" t="n">
        <f aca="false">SUM(AI2:AI7)</f>
        <v>2</v>
      </c>
      <c r="AJ34" s="50" t="n">
        <f aca="false">SUM(AJ2:AJ7)</f>
        <v>1</v>
      </c>
      <c r="AK34" s="50" t="n">
        <f aca="false">SUM(AK2:AK7)</f>
        <v>1</v>
      </c>
      <c r="AL34" s="50" t="n">
        <f aca="false">SUM(AL2:AL7)</f>
        <v>1.1</v>
      </c>
      <c r="AM34" s="50" t="n">
        <f aca="false">SUM(AM2:AM7)</f>
        <v>1.02</v>
      </c>
      <c r="AN34" s="50" t="n">
        <f aca="false">SUM(AN2:AN7)</f>
        <v>1.1</v>
      </c>
      <c r="AO34" s="50" t="n">
        <f aca="false">SUM(AO2:AO7)</f>
        <v>1.05</v>
      </c>
      <c r="AP34" s="50" t="n">
        <f aca="false">SUM(AP2:AP7)</f>
        <v>1.27</v>
      </c>
      <c r="AQ34" s="50" t="n">
        <f aca="false">SUM(AQ2:AQ7)</f>
        <v>1.1</v>
      </c>
      <c r="AR34" s="50" t="n">
        <f aca="false">SUM(AR2:AR7)</f>
        <v>1.1</v>
      </c>
      <c r="AS34" s="50" t="n">
        <f aca="false">SUM(AS2:AS7)</f>
        <v>1.25</v>
      </c>
      <c r="AT34" s="50" t="n">
        <f aca="false">SUM(AT2:AT7)</f>
        <v>1</v>
      </c>
      <c r="AU34" s="50" t="n">
        <f aca="false">SUM(AU2:AU7)</f>
        <v>1</v>
      </c>
      <c r="AV34" s="50" t="n">
        <f aca="false">SUM(AV2:AV7)</f>
        <v>1</v>
      </c>
      <c r="AW34" s="50" t="n">
        <f aca="false">SUM(AW2:AW7)</f>
        <v>1</v>
      </c>
      <c r="AX34" s="50" t="n">
        <f aca="false">SUM(AX2:AX7)</f>
        <v>1.01</v>
      </c>
      <c r="AY34" s="50" t="n">
        <f aca="false">SUM(AY2:AY7)</f>
        <v>1.2</v>
      </c>
      <c r="AZ34" s="50" t="n">
        <f aca="false">SUM(AZ2:AZ7)</f>
        <v>1.5</v>
      </c>
      <c r="BA34" s="50" t="n">
        <f aca="false">SUM(BA2:BA7)</f>
        <v>1.25</v>
      </c>
      <c r="BB34" s="50" t="n">
        <f aca="false">SUM(BB2:BB7)</f>
        <v>1.35</v>
      </c>
      <c r="BC34" s="50" t="n">
        <f aca="false">SUM(BC2:BC7)</f>
        <v>1.1</v>
      </c>
      <c r="BD34" s="50" t="n">
        <f aca="false">SUM(BD2:BD7)</f>
        <v>1.3</v>
      </c>
      <c r="BE34" s="50" t="n">
        <f aca="false">SUM(BE2:BE7)</f>
        <v>1.45</v>
      </c>
      <c r="BF34" s="50" t="n">
        <f aca="false">SUM(BF2:BF7)</f>
        <v>1.4</v>
      </c>
      <c r="BG34" s="50" t="n">
        <f aca="false">SUM(BG2:BG7)</f>
        <v>1</v>
      </c>
      <c r="BH34" s="50" t="n">
        <f aca="false">SUM(BH2:BH7)</f>
        <v>1.02</v>
      </c>
      <c r="BI34" s="50" t="n">
        <f aca="false">SUM(BI2:BI7)</f>
        <v>1.2</v>
      </c>
      <c r="BJ34" s="50" t="n">
        <f aca="false">SUM(BJ2:BJ7)</f>
        <v>1.05</v>
      </c>
      <c r="BK34" s="50" t="n">
        <f aca="false">SUM(BK2:BK7)</f>
        <v>1</v>
      </c>
      <c r="BL34" s="50" t="n">
        <f aca="false">SUM(BL2:BL7)</f>
        <v>1</v>
      </c>
      <c r="BM34" s="50" t="n">
        <f aca="false">SUM(BM2:BM7)</f>
        <v>1.02</v>
      </c>
      <c r="BN34" s="50" t="n">
        <f aca="false">SUM(BN2:BN7)</f>
        <v>1.02</v>
      </c>
      <c r="BO34" s="50" t="n">
        <f aca="false">SUM(BO2:BO7)</f>
        <v>1</v>
      </c>
      <c r="BP34" s="50" t="n">
        <f aca="false">SUM(BP2:BP7)</f>
        <v>1</v>
      </c>
      <c r="BQ34" s="50" t="n">
        <f aca="false">SUM(BQ2:BQ7)</f>
        <v>1</v>
      </c>
      <c r="BR34" s="50" t="n">
        <f aca="false">SUM(BR2:BR7)</f>
        <v>1.1</v>
      </c>
      <c r="BS34" s="50" t="n">
        <f aca="false">SUM(BS2:BS7)</f>
        <v>1.02</v>
      </c>
      <c r="BT34" s="50" t="n">
        <f aca="false">SUM(BT2:BT7)</f>
        <v>1.05</v>
      </c>
      <c r="BU34" s="50" t="n">
        <f aca="false">SUM(BU2:BU7)</f>
        <v>1.02</v>
      </c>
      <c r="BV34" s="50" t="n">
        <f aca="false">SUM(BV2:BV7)</f>
        <v>1</v>
      </c>
      <c r="BW34" s="50" t="n">
        <f aca="false">SUM(BW2:BW7)</f>
        <v>1</v>
      </c>
      <c r="BX34" s="50" t="n">
        <f aca="false">SUM(BX2:BX7)</f>
        <v>1.55</v>
      </c>
      <c r="BY34" s="50" t="n">
        <f aca="false">SUM(BY2:BY7)</f>
        <v>1.25</v>
      </c>
      <c r="BZ34" s="50" t="n">
        <f aca="false">SUM(BZ2:BZ7)</f>
        <v>1</v>
      </c>
      <c r="CA34" s="50" t="n">
        <f aca="false">SUM(CA2:CA7)</f>
        <v>1</v>
      </c>
      <c r="CB34" s="50" t="n">
        <f aca="false">SUM(CB2:CB7)</f>
        <v>1</v>
      </c>
      <c r="CC34" s="50" t="n">
        <f aca="false">SUM(CC2:CC7)</f>
        <v>1</v>
      </c>
      <c r="CD34" s="50" t="n">
        <f aca="false">SUM(CD2:CD7)</f>
        <v>1</v>
      </c>
      <c r="CE34" s="50" t="n">
        <f aca="false">SUM(CE2:CE7)</f>
        <v>1</v>
      </c>
      <c r="CO34" s="0" t="n">
        <v>68.699</v>
      </c>
      <c r="CP34" s="0" t="n">
        <v>3.959</v>
      </c>
      <c r="CQ34" s="0" t="n">
        <v>0.671</v>
      </c>
      <c r="CR34" s="0" t="n">
        <v>8.951</v>
      </c>
      <c r="CS34" s="0" t="n">
        <v>0.005</v>
      </c>
      <c r="CT34" s="0" t="n">
        <v>209.677</v>
      </c>
      <c r="CU34" s="0" t="n">
        <v>66.508</v>
      </c>
      <c r="CV34" s="0" t="n">
        <v>57.006</v>
      </c>
      <c r="CX34" s="50" t="n">
        <f aca="false">CZ34/$CW$2</f>
        <v>0.250832</v>
      </c>
      <c r="CY34" s="0" t="n">
        <v>33</v>
      </c>
      <c r="CZ34" s="0" t="n">
        <v>125416</v>
      </c>
      <c r="DA34" s="58" t="n">
        <f aca="false">CZ34-CZ33</f>
        <v>3801</v>
      </c>
      <c r="DB34" s="50" t="n">
        <f aca="false">CZ34/$CZ$52</f>
        <v>0.650248348662858</v>
      </c>
    </row>
    <row r="35" customFormat="false" ht="15" hidden="false" customHeight="false" outlineLevel="0" collapsed="false">
      <c r="A35" s="43" t="n">
        <v>1840</v>
      </c>
      <c r="B35" s="50" t="n">
        <f aca="false">SUM(B2:B8)</f>
        <v>0.37</v>
      </c>
      <c r="C35" s="50" t="n">
        <f aca="false">SUM(C2:C8)</f>
        <v>0.1</v>
      </c>
      <c r="D35" s="50" t="n">
        <f aca="false">SUM(D2:D8)</f>
        <v>0.4</v>
      </c>
      <c r="E35" s="50" t="n">
        <f aca="false">SUM(E2:E8)</f>
        <v>1</v>
      </c>
      <c r="F35" s="50" t="n">
        <f aca="false">SUM(F2:F8)</f>
        <v>1.25</v>
      </c>
      <c r="G35" s="50" t="n">
        <f aca="false">SUM(G2:G8)</f>
        <v>2.5</v>
      </c>
      <c r="H35" s="50" t="n">
        <f aca="false">SUM(H2:H8)</f>
        <v>2.07</v>
      </c>
      <c r="I35" s="52" t="n">
        <f aca="false">SUM(I2:I8)</f>
        <v>1</v>
      </c>
      <c r="J35" s="52" t="n">
        <f aca="false">SUM(J2:J8)</f>
        <v>1</v>
      </c>
      <c r="K35" s="50" t="n">
        <f aca="false">SUM(K2:K8)</f>
        <v>0.97</v>
      </c>
      <c r="L35" s="50" t="n">
        <f aca="false">SUM(L2:L8)</f>
        <v>1.09</v>
      </c>
      <c r="M35" s="50" t="n">
        <f aca="false">SUM(M2:M8)</f>
        <v>1.45</v>
      </c>
      <c r="N35" s="50" t="n">
        <f aca="false">SUM(N2:N8)</f>
        <v>0.95</v>
      </c>
      <c r="O35" s="52" t="n">
        <f aca="false">SUM(O2:O8)</f>
        <v>0.0006</v>
      </c>
      <c r="P35" s="50" t="n">
        <f aca="false">SUM(P2:P8)</f>
        <v>0.9</v>
      </c>
      <c r="Q35" s="50" t="n">
        <f aca="false">SUM(Q2:Q8)</f>
        <v>1.65</v>
      </c>
      <c r="R35" s="56" t="n">
        <f aca="false">SUM(R2:R8)</f>
        <v>2</v>
      </c>
      <c r="S35" s="56" t="n">
        <f aca="false">SUM(S2:S8)</f>
        <v>144</v>
      </c>
      <c r="T35" s="50" t="n">
        <f aca="false">SUM(T2:T8)</f>
        <v>1</v>
      </c>
      <c r="U35" s="54" t="n">
        <f aca="false">SUM(U2:U8)</f>
        <v>0.996</v>
      </c>
      <c r="V35" s="50" t="n">
        <f aca="false">SUM(V2:V8)</f>
        <v>1.5</v>
      </c>
      <c r="W35" s="50" t="n">
        <f aca="false">SUM(W2:W8)</f>
        <v>1.5</v>
      </c>
      <c r="X35" s="50" t="n">
        <f aca="false">SUM(X2:X8)</f>
        <v>1.4</v>
      </c>
      <c r="Y35" s="50" t="n">
        <f aca="false">SUM(Y2:Y8)</f>
        <v>2.7</v>
      </c>
      <c r="Z35" s="50" t="n">
        <f aca="false">SUM(Z2:Z8)</f>
        <v>1.25</v>
      </c>
      <c r="AA35" s="50" t="n">
        <f aca="false">SUM(AA2:AA8)</f>
        <v>1.4</v>
      </c>
      <c r="AB35" s="50" t="n">
        <f aca="false">SUM(AB2:AB8)</f>
        <v>1.25</v>
      </c>
      <c r="AC35" s="50" t="n">
        <f aca="false">SUM(AC2:AC8)</f>
        <v>1</v>
      </c>
      <c r="AD35" s="50" t="n">
        <f aca="false">SUM(AD2:AD8)</f>
        <v>1.25</v>
      </c>
      <c r="AE35" s="50" t="n">
        <f aca="false">SUM(AE2:AE8)</f>
        <v>1.25</v>
      </c>
      <c r="AF35" s="50" t="n">
        <f aca="false">SUM(AF2:AF8)</f>
        <v>1.3</v>
      </c>
      <c r="AG35" s="50" t="n">
        <f aca="false">SUM(AG2:AG8)</f>
        <v>1.1</v>
      </c>
      <c r="AH35" s="50" t="n">
        <f aca="false">SUM(AH2:AH8)</f>
        <v>2</v>
      </c>
      <c r="AI35" s="50" t="n">
        <f aca="false">SUM(AI2:AI8)</f>
        <v>2</v>
      </c>
      <c r="AJ35" s="50" t="n">
        <f aca="false">SUM(AJ2:AJ8)</f>
        <v>1</v>
      </c>
      <c r="AK35" s="50" t="n">
        <f aca="false">SUM(AK2:AK8)</f>
        <v>1</v>
      </c>
      <c r="AL35" s="50" t="n">
        <f aca="false">SUM(AL2:AL8)</f>
        <v>1.1</v>
      </c>
      <c r="AM35" s="50" t="n">
        <f aca="false">SUM(AM2:AM8)</f>
        <v>1.02</v>
      </c>
      <c r="AN35" s="50" t="n">
        <f aca="false">SUM(AN2:AN8)</f>
        <v>1.1</v>
      </c>
      <c r="AO35" s="50" t="n">
        <f aca="false">SUM(AO2:AO8)</f>
        <v>1.05</v>
      </c>
      <c r="AP35" s="50" t="n">
        <f aca="false">SUM(AP2:AP8)</f>
        <v>1.27</v>
      </c>
      <c r="AQ35" s="50" t="n">
        <f aca="false">SUM(AQ2:AQ8)</f>
        <v>1.1</v>
      </c>
      <c r="AR35" s="50" t="n">
        <f aca="false">SUM(AR2:AR8)</f>
        <v>1.1</v>
      </c>
      <c r="AS35" s="50" t="n">
        <f aca="false">SUM(AS2:AS8)</f>
        <v>1.25</v>
      </c>
      <c r="AT35" s="50" t="n">
        <f aca="false">SUM(AT2:AT8)</f>
        <v>1</v>
      </c>
      <c r="AU35" s="50" t="n">
        <f aca="false">SUM(AU2:AU8)</f>
        <v>1</v>
      </c>
      <c r="AV35" s="50" t="n">
        <f aca="false">SUM(AV2:AV8)</f>
        <v>1</v>
      </c>
      <c r="AW35" s="50" t="n">
        <f aca="false">SUM(AW2:AW8)</f>
        <v>1</v>
      </c>
      <c r="AX35" s="50" t="n">
        <f aca="false">SUM(AX2:AX8)</f>
        <v>1.01</v>
      </c>
      <c r="AY35" s="50" t="n">
        <f aca="false">SUM(AY2:AY8)</f>
        <v>1.2</v>
      </c>
      <c r="AZ35" s="50" t="n">
        <f aca="false">SUM(AZ2:AZ8)</f>
        <v>1.5</v>
      </c>
      <c r="BA35" s="50" t="n">
        <f aca="false">SUM(BA2:BA8)</f>
        <v>1.25</v>
      </c>
      <c r="BB35" s="50" t="n">
        <f aca="false">SUM(BB2:BB8)</f>
        <v>1.35</v>
      </c>
      <c r="BC35" s="50" t="n">
        <f aca="false">SUM(BC2:BC8)</f>
        <v>1.1</v>
      </c>
      <c r="BD35" s="50" t="n">
        <f aca="false">SUM(BD2:BD8)</f>
        <v>1.3</v>
      </c>
      <c r="BE35" s="50" t="n">
        <f aca="false">SUM(BE2:BE8)</f>
        <v>1.45</v>
      </c>
      <c r="BF35" s="50" t="n">
        <f aca="false">SUM(BF2:BF8)</f>
        <v>1.4</v>
      </c>
      <c r="BG35" s="50" t="n">
        <f aca="false">SUM(BG2:BG8)</f>
        <v>1</v>
      </c>
      <c r="BH35" s="50" t="n">
        <f aca="false">SUM(BH2:BH8)</f>
        <v>1.02</v>
      </c>
      <c r="BI35" s="50" t="n">
        <f aca="false">SUM(BI2:BI8)</f>
        <v>1.2</v>
      </c>
      <c r="BJ35" s="50" t="n">
        <f aca="false">SUM(BJ2:BJ8)</f>
        <v>1.05</v>
      </c>
      <c r="BK35" s="50" t="n">
        <f aca="false">SUM(BK2:BK8)</f>
        <v>1</v>
      </c>
      <c r="BL35" s="50" t="n">
        <f aca="false">SUM(BL2:BL8)</f>
        <v>1</v>
      </c>
      <c r="BM35" s="50" t="n">
        <f aca="false">SUM(BM2:BM8)</f>
        <v>1.02</v>
      </c>
      <c r="BN35" s="50" t="n">
        <f aca="false">SUM(BN2:BN8)</f>
        <v>1.02</v>
      </c>
      <c r="BO35" s="50" t="n">
        <f aca="false">SUM(BO2:BO8)</f>
        <v>1</v>
      </c>
      <c r="BP35" s="50" t="n">
        <f aca="false">SUM(BP2:BP8)</f>
        <v>1</v>
      </c>
      <c r="BQ35" s="50" t="n">
        <f aca="false">SUM(BQ2:BQ8)</f>
        <v>1</v>
      </c>
      <c r="BR35" s="50" t="n">
        <f aca="false">SUM(BR2:BR8)</f>
        <v>1.1</v>
      </c>
      <c r="BS35" s="50" t="n">
        <f aca="false">SUM(BS2:BS8)</f>
        <v>1.02</v>
      </c>
      <c r="BT35" s="50" t="n">
        <f aca="false">SUM(BT2:BT8)</f>
        <v>1.05</v>
      </c>
      <c r="BU35" s="50" t="n">
        <f aca="false">SUM(BU2:BU8)</f>
        <v>1.02</v>
      </c>
      <c r="BV35" s="50" t="n">
        <f aca="false">SUM(BV2:BV8)</f>
        <v>1</v>
      </c>
      <c r="BW35" s="50" t="n">
        <f aca="false">SUM(BW2:BW8)</f>
        <v>1</v>
      </c>
      <c r="BX35" s="50" t="n">
        <f aca="false">SUM(BX2:BX8)</f>
        <v>1.55</v>
      </c>
      <c r="BY35" s="50" t="n">
        <f aca="false">SUM(BY2:BY8)</f>
        <v>1.25</v>
      </c>
      <c r="BZ35" s="50" t="n">
        <f aca="false">SUM(BZ2:BZ8)</f>
        <v>1.1</v>
      </c>
      <c r="CA35" s="50" t="n">
        <f aca="false">SUM(CA2:CA8)</f>
        <v>1.1</v>
      </c>
      <c r="CB35" s="50" t="n">
        <f aca="false">SUM(CB2:CB8)</f>
        <v>1</v>
      </c>
      <c r="CC35" s="50" t="n">
        <f aca="false">SUM(CC2:CC8)</f>
        <v>1</v>
      </c>
      <c r="CD35" s="50" t="n">
        <f aca="false">SUM(CD2:CD8)</f>
        <v>1</v>
      </c>
      <c r="CE35" s="50" t="n">
        <f aca="false">SUM(CE2:CE8)</f>
        <v>1</v>
      </c>
      <c r="CO35" s="56" t="n">
        <f aca="false">CO34/CO33</f>
        <v>6.1890990990991E-005</v>
      </c>
      <c r="CP35" s="56" t="n">
        <f aca="false">CP34/CP33</f>
        <v>0.000239794064203513</v>
      </c>
      <c r="CQ35" s="56" t="n">
        <f aca="false">CQ34/CQ33</f>
        <v>0.000183533916849015</v>
      </c>
      <c r="CR35" s="56" t="n">
        <f aca="false">CR34/CR33</f>
        <v>0.000160412186379928</v>
      </c>
      <c r="CS35" s="56" t="n">
        <f aca="false">CS34/CS33</f>
        <v>1.215953307393E-006</v>
      </c>
      <c r="CT35" s="56" t="n">
        <f aca="false">CT34/CT33</f>
        <v>0.000419354</v>
      </c>
      <c r="CU35" s="56" t="n">
        <f aca="false">CU34/CU33</f>
        <v>0.000505226374962018</v>
      </c>
      <c r="CV35" s="56" t="n">
        <f aca="false">CV34/CV33</f>
        <v>0.000383568833266048</v>
      </c>
      <c r="CX35" s="50" t="n">
        <f aca="false">CZ35/$CW$2</f>
        <v>0.258432</v>
      </c>
      <c r="CY35" s="0" t="n">
        <v>34</v>
      </c>
      <c r="CZ35" s="0" t="n">
        <v>129216</v>
      </c>
      <c r="DA35" s="58" t="n">
        <f aca="false">CZ35-CZ34</f>
        <v>3800</v>
      </c>
      <c r="DB35" s="50" t="n">
        <f aca="false">CZ35/$CZ$52</f>
        <v>0.669950330267429</v>
      </c>
    </row>
    <row r="36" customFormat="false" ht="15" hidden="false" customHeight="false" outlineLevel="0" collapsed="false">
      <c r="A36" s="43" t="n">
        <v>1848</v>
      </c>
      <c r="B36" s="50" t="n">
        <f aca="false">SUM(B2:B9)</f>
        <v>0.37</v>
      </c>
      <c r="C36" s="50" t="n">
        <f aca="false">SUM(C2:C9)</f>
        <v>0.1</v>
      </c>
      <c r="D36" s="50" t="n">
        <f aca="false">SUM(D2:D9)</f>
        <v>0.4</v>
      </c>
      <c r="E36" s="50" t="n">
        <f aca="false">SUM(E2:E9)</f>
        <v>1</v>
      </c>
      <c r="F36" s="50" t="n">
        <f aca="false">SUM(F2:F9)</f>
        <v>1.25</v>
      </c>
      <c r="G36" s="50" t="n">
        <f aca="false">SUM(G2:G9)</f>
        <v>2.5</v>
      </c>
      <c r="H36" s="50" t="n">
        <f aca="false">SUM(H2:H9)</f>
        <v>2.07</v>
      </c>
      <c r="I36" s="52" t="n">
        <f aca="false">SUM(I2:I9)</f>
        <v>1</v>
      </c>
      <c r="J36" s="52" t="n">
        <f aca="false">SUM(J2:J9)</f>
        <v>1</v>
      </c>
      <c r="K36" s="50" t="n">
        <f aca="false">SUM(K2:K9)</f>
        <v>0.97</v>
      </c>
      <c r="L36" s="50" t="n">
        <f aca="false">SUM(L2:L9)</f>
        <v>1.09</v>
      </c>
      <c r="M36" s="50" t="n">
        <f aca="false">SUM(M2:M9)</f>
        <v>1.45</v>
      </c>
      <c r="N36" s="50" t="n">
        <f aca="false">SUM(N2:N9)</f>
        <v>0.95</v>
      </c>
      <c r="O36" s="52" t="n">
        <f aca="false">SUM(O2:O9)</f>
        <v>0.0006</v>
      </c>
      <c r="P36" s="50" t="n">
        <f aca="false">SUM(P2:P9)</f>
        <v>0.9</v>
      </c>
      <c r="Q36" s="50" t="n">
        <f aca="false">SUM(Q2:Q9)</f>
        <v>1.65</v>
      </c>
      <c r="R36" s="56" t="n">
        <f aca="false">SUM(R2:R9)</f>
        <v>2</v>
      </c>
      <c r="S36" s="56" t="n">
        <f aca="false">SUM(S2:S9)</f>
        <v>147</v>
      </c>
      <c r="T36" s="50" t="n">
        <f aca="false">SUM(T2:T9)</f>
        <v>1</v>
      </c>
      <c r="U36" s="54" t="n">
        <f aca="false">SUM(U2:U9)</f>
        <v>0.996</v>
      </c>
      <c r="V36" s="50" t="n">
        <f aca="false">SUM(V2:V9)</f>
        <v>1.5</v>
      </c>
      <c r="W36" s="50" t="n">
        <f aca="false">SUM(W2:W9)</f>
        <v>1.5</v>
      </c>
      <c r="X36" s="50" t="n">
        <f aca="false">SUM(X2:X9)</f>
        <v>1.4</v>
      </c>
      <c r="Y36" s="50" t="n">
        <f aca="false">SUM(Y2:Y9)</f>
        <v>2.7</v>
      </c>
      <c r="Z36" s="50" t="n">
        <f aca="false">SUM(Z2:Z9)</f>
        <v>1.25</v>
      </c>
      <c r="AA36" s="50" t="n">
        <f aca="false">SUM(AA2:AA9)</f>
        <v>1.4</v>
      </c>
      <c r="AB36" s="50" t="n">
        <f aca="false">SUM(AB2:AB9)</f>
        <v>1.25</v>
      </c>
      <c r="AC36" s="50" t="n">
        <f aca="false">SUM(AC2:AC9)</f>
        <v>1</v>
      </c>
      <c r="AD36" s="50" t="n">
        <f aca="false">SUM(AD2:AD9)</f>
        <v>1.25</v>
      </c>
      <c r="AE36" s="50" t="n">
        <f aca="false">SUM(AE2:AE9)</f>
        <v>1.25</v>
      </c>
      <c r="AF36" s="50" t="n">
        <f aca="false">SUM(AF2:AF9)</f>
        <v>1.3</v>
      </c>
      <c r="AG36" s="50" t="n">
        <f aca="false">SUM(AG2:AG9)</f>
        <v>1.1</v>
      </c>
      <c r="AH36" s="50" t="n">
        <f aca="false">SUM(AH2:AH9)</f>
        <v>2</v>
      </c>
      <c r="AI36" s="50" t="n">
        <f aca="false">SUM(AI2:AI9)</f>
        <v>2</v>
      </c>
      <c r="AJ36" s="50" t="n">
        <f aca="false">SUM(AJ2:AJ9)</f>
        <v>1</v>
      </c>
      <c r="AK36" s="50" t="n">
        <f aca="false">SUM(AK2:AK9)</f>
        <v>1</v>
      </c>
      <c r="AL36" s="50" t="n">
        <f aca="false">SUM(AL2:AL9)</f>
        <v>1.1</v>
      </c>
      <c r="AM36" s="50" t="n">
        <f aca="false">SUM(AM2:AM9)</f>
        <v>1.02</v>
      </c>
      <c r="AN36" s="50" t="n">
        <f aca="false">SUM(AN2:AN9)</f>
        <v>1.1</v>
      </c>
      <c r="AO36" s="50" t="n">
        <f aca="false">SUM(AO2:AO9)</f>
        <v>1.05</v>
      </c>
      <c r="AP36" s="50" t="n">
        <f aca="false">SUM(AP2:AP9)</f>
        <v>1.27</v>
      </c>
      <c r="AQ36" s="50" t="n">
        <f aca="false">SUM(AQ2:AQ9)</f>
        <v>1.1</v>
      </c>
      <c r="AR36" s="50" t="n">
        <f aca="false">SUM(AR2:AR9)</f>
        <v>1.1</v>
      </c>
      <c r="AS36" s="50" t="n">
        <f aca="false">SUM(AS2:AS9)</f>
        <v>1.25</v>
      </c>
      <c r="AT36" s="50" t="n">
        <f aca="false">SUM(AT2:AT9)</f>
        <v>1</v>
      </c>
      <c r="AU36" s="50" t="n">
        <f aca="false">SUM(AU2:AU9)</f>
        <v>1</v>
      </c>
      <c r="AV36" s="50" t="n">
        <f aca="false">SUM(AV2:AV9)</f>
        <v>1</v>
      </c>
      <c r="AW36" s="50" t="n">
        <f aca="false">SUM(AW2:AW9)</f>
        <v>1</v>
      </c>
      <c r="AX36" s="50" t="n">
        <f aca="false">SUM(AX2:AX9)</f>
        <v>1.01</v>
      </c>
      <c r="AY36" s="50" t="n">
        <f aca="false">SUM(AY2:AY9)</f>
        <v>1.2</v>
      </c>
      <c r="AZ36" s="50" t="n">
        <f aca="false">SUM(AZ2:AZ9)</f>
        <v>1.5</v>
      </c>
      <c r="BA36" s="50" t="n">
        <f aca="false">SUM(BA2:BA9)</f>
        <v>1.25</v>
      </c>
      <c r="BB36" s="50" t="n">
        <f aca="false">SUM(BB2:BB9)</f>
        <v>1.35</v>
      </c>
      <c r="BC36" s="50" t="n">
        <f aca="false">SUM(BC2:BC9)</f>
        <v>1.1</v>
      </c>
      <c r="BD36" s="50" t="n">
        <f aca="false">SUM(BD2:BD9)</f>
        <v>1.3</v>
      </c>
      <c r="BE36" s="50" t="n">
        <f aca="false">SUM(BE2:BE9)</f>
        <v>1.45</v>
      </c>
      <c r="BF36" s="50" t="n">
        <f aca="false">SUM(BF2:BF9)</f>
        <v>1.4</v>
      </c>
      <c r="BG36" s="50" t="n">
        <f aca="false">SUM(BG2:BG9)</f>
        <v>1</v>
      </c>
      <c r="BH36" s="50" t="n">
        <f aca="false">SUM(BH2:BH9)</f>
        <v>1.02</v>
      </c>
      <c r="BI36" s="50" t="n">
        <f aca="false">SUM(BI2:BI9)</f>
        <v>1.2</v>
      </c>
      <c r="BJ36" s="50" t="n">
        <f aca="false">SUM(BJ2:BJ9)</f>
        <v>1.05</v>
      </c>
      <c r="BK36" s="50" t="n">
        <f aca="false">SUM(BK2:BK9)</f>
        <v>1</v>
      </c>
      <c r="BL36" s="50" t="n">
        <f aca="false">SUM(BL2:BL9)</f>
        <v>1</v>
      </c>
      <c r="BM36" s="50" t="n">
        <f aca="false">SUM(BM2:BM9)</f>
        <v>1.02</v>
      </c>
      <c r="BN36" s="50" t="n">
        <f aca="false">SUM(BN2:BN9)</f>
        <v>1.02</v>
      </c>
      <c r="BO36" s="50" t="n">
        <f aca="false">SUM(BO2:BO9)</f>
        <v>1</v>
      </c>
      <c r="BP36" s="50" t="n">
        <f aca="false">SUM(BP2:BP9)</f>
        <v>1</v>
      </c>
      <c r="BQ36" s="50" t="n">
        <f aca="false">SUM(BQ2:BQ9)</f>
        <v>1</v>
      </c>
      <c r="BR36" s="50" t="n">
        <f aca="false">SUM(BR2:BR9)</f>
        <v>1.1</v>
      </c>
      <c r="BS36" s="50" t="n">
        <f aca="false">SUM(BS2:BS9)</f>
        <v>1.02</v>
      </c>
      <c r="BT36" s="50" t="n">
        <f aca="false">SUM(BT2:BT9)</f>
        <v>1.05</v>
      </c>
      <c r="BU36" s="50" t="n">
        <f aca="false">SUM(BU2:BU9)</f>
        <v>1.02</v>
      </c>
      <c r="BV36" s="50" t="n">
        <f aca="false">SUM(BV2:BV9)</f>
        <v>1</v>
      </c>
      <c r="BW36" s="50" t="n">
        <f aca="false">SUM(BW2:BW9)</f>
        <v>1</v>
      </c>
      <c r="BX36" s="50" t="n">
        <f aca="false">SUM(BX2:BX9)</f>
        <v>1.55</v>
      </c>
      <c r="BY36" s="50" t="n">
        <f aca="false">SUM(BY2:BY9)</f>
        <v>1.25</v>
      </c>
      <c r="BZ36" s="50" t="n">
        <f aca="false">SUM(BZ2:BZ9)</f>
        <v>1.1</v>
      </c>
      <c r="CA36" s="50" t="n">
        <f aca="false">SUM(CA2:CA9)</f>
        <v>1.1</v>
      </c>
      <c r="CB36" s="50" t="n">
        <f aca="false">SUM(CB2:CB9)</f>
        <v>1</v>
      </c>
      <c r="CC36" s="50" t="n">
        <f aca="false">SUM(CC2:CC9)</f>
        <v>1</v>
      </c>
      <c r="CD36" s="50" t="n">
        <f aca="false">SUM(CD2:CD9)</f>
        <v>1</v>
      </c>
      <c r="CE36" s="50" t="n">
        <f aca="false">SUM(CE2:CE9)</f>
        <v>1</v>
      </c>
      <c r="CX36" s="50" t="n">
        <f aca="false">CZ36/$CW$2</f>
        <v>0.266032</v>
      </c>
      <c r="CY36" s="0" t="n">
        <v>35</v>
      </c>
      <c r="CZ36" s="0" t="n">
        <v>133016</v>
      </c>
      <c r="DA36" s="58" t="n">
        <f aca="false">CZ36-CZ35</f>
        <v>3800</v>
      </c>
      <c r="DB36" s="50" t="n">
        <f aca="false">CZ36/$CZ$52</f>
        <v>0.689652311871999</v>
      </c>
    </row>
    <row r="37" customFormat="false" ht="15" hidden="false" customHeight="false" outlineLevel="0" collapsed="false">
      <c r="A37" s="43" t="n">
        <v>1850</v>
      </c>
      <c r="B37" s="50" t="n">
        <f aca="false">SUM(B2:B10)</f>
        <v>0.47</v>
      </c>
      <c r="C37" s="50" t="n">
        <f aca="false">SUM(C2:C10)</f>
        <v>0.1</v>
      </c>
      <c r="D37" s="50" t="n">
        <f aca="false">SUM(D2:D10)</f>
        <v>0.45</v>
      </c>
      <c r="E37" s="50" t="n">
        <f aca="false">SUM(E2:E10)</f>
        <v>1</v>
      </c>
      <c r="F37" s="50" t="n">
        <f aca="false">SUM(F2:F10)</f>
        <v>1.25</v>
      </c>
      <c r="G37" s="50" t="n">
        <f aca="false">SUM(G2:G10)</f>
        <v>2.65</v>
      </c>
      <c r="H37" s="50" t="n">
        <f aca="false">SUM(H2:H10)</f>
        <v>2.77</v>
      </c>
      <c r="I37" s="52" t="n">
        <f aca="false">SUM(I2:I10)</f>
        <v>1</v>
      </c>
      <c r="J37" s="52" t="n">
        <f aca="false">SUM(J2:J10)</f>
        <v>1</v>
      </c>
      <c r="K37" s="50" t="n">
        <f aca="false">SUM(K2:K10)</f>
        <v>0.96</v>
      </c>
      <c r="L37" s="50" t="n">
        <f aca="false">SUM(L2:L10)</f>
        <v>1.16</v>
      </c>
      <c r="M37" s="50" t="n">
        <f aca="false">SUM(M2:M10)</f>
        <v>1.6</v>
      </c>
      <c r="N37" s="50" t="n">
        <f aca="false">SUM(N2:N10)</f>
        <v>0.87</v>
      </c>
      <c r="O37" s="52" t="n">
        <f aca="false">SUM(O2:O10)</f>
        <v>0.0006</v>
      </c>
      <c r="P37" s="50" t="n">
        <f aca="false">SUM(P2:P10)</f>
        <v>0.9</v>
      </c>
      <c r="Q37" s="50" t="n">
        <f aca="false">SUM(Q2:Q10)</f>
        <v>2.45</v>
      </c>
      <c r="R37" s="56" t="n">
        <f aca="false">SUM(R2:R10)</f>
        <v>3</v>
      </c>
      <c r="S37" s="56" t="n">
        <f aca="false">SUM(S2:S10)</f>
        <v>147</v>
      </c>
      <c r="T37" s="50" t="n">
        <f aca="false">SUM(T2:T10)</f>
        <v>1</v>
      </c>
      <c r="U37" s="54" t="n">
        <f aca="false">SUM(U2:U10)</f>
        <v>0.996</v>
      </c>
      <c r="V37" s="50" t="n">
        <f aca="false">SUM(V2:V10)</f>
        <v>1.5</v>
      </c>
      <c r="W37" s="50" t="n">
        <f aca="false">SUM(W2:W10)</f>
        <v>1.5</v>
      </c>
      <c r="X37" s="50" t="n">
        <f aca="false">SUM(X2:X10)</f>
        <v>1.4</v>
      </c>
      <c r="Y37" s="50" t="n">
        <f aca="false">SUM(Y2:Y10)</f>
        <v>3.35</v>
      </c>
      <c r="Z37" s="50" t="n">
        <f aca="false">SUM(Z2:Z10)</f>
        <v>1.5</v>
      </c>
      <c r="AA37" s="50" t="n">
        <f aca="false">SUM(AA2:AA10)</f>
        <v>1.65</v>
      </c>
      <c r="AB37" s="50" t="n">
        <f aca="false">SUM(AB2:AB10)</f>
        <v>1.5</v>
      </c>
      <c r="AC37" s="50" t="n">
        <f aca="false">SUM(AC2:AC10)</f>
        <v>1</v>
      </c>
      <c r="AD37" s="50" t="n">
        <f aca="false">SUM(AD2:AD10)</f>
        <v>2.75</v>
      </c>
      <c r="AE37" s="50" t="n">
        <f aca="false">SUM(AE2:AE10)</f>
        <v>1.5</v>
      </c>
      <c r="AF37" s="50" t="n">
        <f aca="false">SUM(AF2:AF10)</f>
        <v>1.6</v>
      </c>
      <c r="AG37" s="50" t="n">
        <f aca="false">SUM(AG2:AG10)</f>
        <v>1.1</v>
      </c>
      <c r="AH37" s="50" t="n">
        <f aca="false">SUM(AH2:AH10)</f>
        <v>2.6</v>
      </c>
      <c r="AI37" s="50" t="n">
        <f aca="false">SUM(AI2:AI10)</f>
        <v>2</v>
      </c>
      <c r="AJ37" s="50" t="n">
        <f aca="false">SUM(AJ2:AJ10)</f>
        <v>1.1</v>
      </c>
      <c r="AK37" s="50" t="n">
        <f aca="false">SUM(AK2:AK10)</f>
        <v>1.4</v>
      </c>
      <c r="AL37" s="50" t="n">
        <f aca="false">SUM(AL2:AL10)</f>
        <v>1.25</v>
      </c>
      <c r="AM37" s="50" t="n">
        <f aca="false">SUM(AM2:AM10)</f>
        <v>1.02</v>
      </c>
      <c r="AN37" s="50" t="n">
        <f aca="false">SUM(AN2:AN10)</f>
        <v>1.1</v>
      </c>
      <c r="AO37" s="50" t="n">
        <f aca="false">SUM(AO2:AO10)</f>
        <v>1.05</v>
      </c>
      <c r="AP37" s="50" t="n">
        <f aca="false">SUM(AP2:AP10)</f>
        <v>1.27</v>
      </c>
      <c r="AQ37" s="50" t="n">
        <f aca="false">SUM(AQ2:AQ10)</f>
        <v>1.1</v>
      </c>
      <c r="AR37" s="50" t="n">
        <f aca="false">SUM(AR2:AR10)</f>
        <v>1.1</v>
      </c>
      <c r="AS37" s="50" t="n">
        <f aca="false">SUM(AS2:AS10)</f>
        <v>1.25</v>
      </c>
      <c r="AT37" s="50" t="n">
        <f aca="false">SUM(AT2:AT10)</f>
        <v>1</v>
      </c>
      <c r="AU37" s="50" t="n">
        <f aca="false">SUM(AU2:AU10)</f>
        <v>1</v>
      </c>
      <c r="AV37" s="50" t="n">
        <f aca="false">SUM(AV2:AV10)</f>
        <v>1</v>
      </c>
      <c r="AW37" s="50" t="n">
        <f aca="false">SUM(AW2:AW10)</f>
        <v>1</v>
      </c>
      <c r="AX37" s="50" t="n">
        <f aca="false">SUM(AX2:AX10)</f>
        <v>1.01</v>
      </c>
      <c r="AY37" s="50" t="n">
        <f aca="false">SUM(AY2:AY10)</f>
        <v>1.5</v>
      </c>
      <c r="AZ37" s="50" t="n">
        <f aca="false">SUM(AZ2:AZ10)</f>
        <v>1.6</v>
      </c>
      <c r="BA37" s="50" t="n">
        <f aca="false">SUM(BA2:BA10)</f>
        <v>1.25</v>
      </c>
      <c r="BB37" s="50" t="n">
        <f aca="false">SUM(BB2:BB10)</f>
        <v>1.35</v>
      </c>
      <c r="BC37" s="50" t="n">
        <f aca="false">SUM(BC2:BC10)</f>
        <v>1.1</v>
      </c>
      <c r="BD37" s="50" t="n">
        <f aca="false">SUM(BD2:BD10)</f>
        <v>1.65</v>
      </c>
      <c r="BE37" s="50" t="n">
        <f aca="false">SUM(BE2:BE10)</f>
        <v>1.95</v>
      </c>
      <c r="BF37" s="50" t="n">
        <f aca="false">SUM(BF2:BF10)</f>
        <v>2.25</v>
      </c>
      <c r="BG37" s="50" t="n">
        <f aca="false">SUM(BG2:BG10)</f>
        <v>1.2</v>
      </c>
      <c r="BH37" s="50" t="n">
        <f aca="false">SUM(BH2:BH10)</f>
        <v>1.07</v>
      </c>
      <c r="BI37" s="50" t="n">
        <f aca="false">SUM(BI2:BI10)</f>
        <v>1.5</v>
      </c>
      <c r="BJ37" s="50" t="n">
        <f aca="false">SUM(BJ2:BJ10)</f>
        <v>1.05</v>
      </c>
      <c r="BK37" s="50" t="n">
        <f aca="false">SUM(BK2:BK10)</f>
        <v>1.1</v>
      </c>
      <c r="BL37" s="50" t="n">
        <f aca="false">SUM(BL2:BL10)</f>
        <v>1</v>
      </c>
      <c r="BM37" s="50" t="n">
        <f aca="false">SUM(BM2:BM10)</f>
        <v>1.02</v>
      </c>
      <c r="BN37" s="50" t="n">
        <f aca="false">SUM(BN2:BN10)</f>
        <v>1.02</v>
      </c>
      <c r="BO37" s="50" t="n">
        <f aca="false">SUM(BO2:BO10)</f>
        <v>1</v>
      </c>
      <c r="BP37" s="50" t="n">
        <f aca="false">SUM(BP2:BP10)</f>
        <v>1</v>
      </c>
      <c r="BQ37" s="50" t="n">
        <f aca="false">SUM(BQ2:BQ10)</f>
        <v>1</v>
      </c>
      <c r="BR37" s="50" t="n">
        <f aca="false">SUM(BR2:BR10)</f>
        <v>1.1</v>
      </c>
      <c r="BS37" s="50" t="n">
        <f aca="false">SUM(BS2:BS10)</f>
        <v>1.02</v>
      </c>
      <c r="BT37" s="50" t="n">
        <f aca="false">SUM(BT2:BT10)</f>
        <v>1.15</v>
      </c>
      <c r="BU37" s="50" t="n">
        <f aca="false">SUM(BU2:BU10)</f>
        <v>1.07</v>
      </c>
      <c r="BV37" s="50" t="n">
        <f aca="false">SUM(BV2:BV10)</f>
        <v>1</v>
      </c>
      <c r="BW37" s="50" t="n">
        <f aca="false">SUM(BW2:BW10)</f>
        <v>1</v>
      </c>
      <c r="BX37" s="50" t="n">
        <f aca="false">SUM(BX2:BX10)</f>
        <v>1.8</v>
      </c>
      <c r="BY37" s="50" t="n">
        <f aca="false">SUM(BY2:BY10)</f>
        <v>1.35</v>
      </c>
      <c r="BZ37" s="50" t="n">
        <f aca="false">SUM(BZ2:BZ10)</f>
        <v>1.2</v>
      </c>
      <c r="CA37" s="50" t="n">
        <f aca="false">SUM(CA2:CA10)</f>
        <v>1.2</v>
      </c>
      <c r="CB37" s="50" t="n">
        <f aca="false">SUM(CB2:CB10)</f>
        <v>1.5</v>
      </c>
      <c r="CC37" s="50" t="n">
        <f aca="false">SUM(CC2:CC10)</f>
        <v>1.2</v>
      </c>
      <c r="CD37" s="50" t="n">
        <f aca="false">SUM(CD2:CD10)</f>
        <v>1.1</v>
      </c>
      <c r="CE37" s="50" t="n">
        <f aca="false">SUM(CE2:CE10)</f>
        <v>1.5</v>
      </c>
      <c r="CX37" s="50" t="n">
        <f aca="false">CZ37/$CW$2</f>
        <v>0.273634</v>
      </c>
      <c r="CY37" s="0" t="n">
        <v>36</v>
      </c>
      <c r="CZ37" s="0" t="n">
        <v>136817</v>
      </c>
      <c r="DA37" s="58" t="n">
        <f aca="false">CZ37-CZ36</f>
        <v>3801</v>
      </c>
      <c r="DB37" s="50" t="n">
        <f aca="false">CZ37/$CZ$52</f>
        <v>0.709359478208571</v>
      </c>
    </row>
    <row r="38" customFormat="false" ht="15" hidden="false" customHeight="false" outlineLevel="0" collapsed="false">
      <c r="A38" s="43" t="n">
        <v>1855</v>
      </c>
      <c r="B38" s="50" t="n">
        <f aca="false">SUM(B2:B11)</f>
        <v>0.47</v>
      </c>
      <c r="C38" s="50" t="n">
        <f aca="false">SUM(C2:C11)</f>
        <v>0.1</v>
      </c>
      <c r="D38" s="50" t="n">
        <f aca="false">SUM(D2:D11)</f>
        <v>0.45</v>
      </c>
      <c r="E38" s="50" t="n">
        <f aca="false">SUM(E2:E11)</f>
        <v>1</v>
      </c>
      <c r="F38" s="50" t="n">
        <f aca="false">SUM(F2:F11)</f>
        <v>1.25</v>
      </c>
      <c r="G38" s="50" t="n">
        <f aca="false">SUM(G2:G11)</f>
        <v>2.65</v>
      </c>
      <c r="H38" s="50" t="n">
        <f aca="false">SUM(H2:H11)</f>
        <v>2.77</v>
      </c>
      <c r="I38" s="52" t="n">
        <f aca="false">SUM(I2:I11)</f>
        <v>1</v>
      </c>
      <c r="J38" s="52" t="n">
        <f aca="false">SUM(J2:J11)</f>
        <v>1</v>
      </c>
      <c r="K38" s="50" t="n">
        <f aca="false">SUM(K2:K11)</f>
        <v>0.96</v>
      </c>
      <c r="L38" s="50" t="n">
        <f aca="false">SUM(L2:L11)</f>
        <v>1.16</v>
      </c>
      <c r="M38" s="50" t="n">
        <f aca="false">SUM(M2:M11)</f>
        <v>1.6</v>
      </c>
      <c r="N38" s="50" t="n">
        <f aca="false">SUM(N2:N11)</f>
        <v>0.87</v>
      </c>
      <c r="O38" s="52" t="n">
        <f aca="false">SUM(O2:O11)</f>
        <v>0.0006</v>
      </c>
      <c r="P38" s="50" t="n">
        <f aca="false">SUM(P2:P11)</f>
        <v>0.9</v>
      </c>
      <c r="Q38" s="50" t="n">
        <f aca="false">SUM(Q2:Q11)</f>
        <v>2.45</v>
      </c>
      <c r="R38" s="56" t="n">
        <f aca="false">SUM(R2:R11)</f>
        <v>3</v>
      </c>
      <c r="S38" s="56" t="n">
        <f aca="false">SUM(S2:S11)</f>
        <v>147</v>
      </c>
      <c r="T38" s="50" t="n">
        <f aca="false">SUM(T2:T11)</f>
        <v>1</v>
      </c>
      <c r="U38" s="54" t="n">
        <f aca="false">SUM(U2:U11)</f>
        <v>0.996</v>
      </c>
      <c r="V38" s="50" t="n">
        <f aca="false">SUM(V2:V11)</f>
        <v>1.5</v>
      </c>
      <c r="W38" s="50" t="n">
        <f aca="false">SUM(W2:W11)</f>
        <v>1.5</v>
      </c>
      <c r="X38" s="50" t="n">
        <f aca="false">SUM(X2:X11)</f>
        <v>1.4</v>
      </c>
      <c r="Y38" s="50" t="n">
        <f aca="false">SUM(Y2:Y11)</f>
        <v>3.35</v>
      </c>
      <c r="Z38" s="50" t="n">
        <f aca="false">SUM(Z2:Z11)</f>
        <v>1.5</v>
      </c>
      <c r="AA38" s="50" t="n">
        <f aca="false">SUM(AA2:AA11)</f>
        <v>1.65</v>
      </c>
      <c r="AB38" s="50" t="n">
        <f aca="false">SUM(AB2:AB11)</f>
        <v>1.5</v>
      </c>
      <c r="AC38" s="50" t="n">
        <f aca="false">SUM(AC2:AC11)</f>
        <v>1</v>
      </c>
      <c r="AD38" s="50" t="n">
        <f aca="false">SUM(AD2:AD11)</f>
        <v>2.75</v>
      </c>
      <c r="AE38" s="50" t="n">
        <f aca="false">SUM(AE2:AE11)</f>
        <v>1.5</v>
      </c>
      <c r="AF38" s="50" t="n">
        <f aca="false">SUM(AF2:AF11)</f>
        <v>1.6</v>
      </c>
      <c r="AG38" s="50" t="n">
        <f aca="false">SUM(AG2:AG11)</f>
        <v>1.1</v>
      </c>
      <c r="AH38" s="50" t="n">
        <f aca="false">SUM(AH2:AH11)</f>
        <v>2.6</v>
      </c>
      <c r="AI38" s="50" t="n">
        <f aca="false">SUM(AI2:AI11)</f>
        <v>2</v>
      </c>
      <c r="AJ38" s="50" t="n">
        <f aca="false">SUM(AJ2:AJ11)</f>
        <v>1.1</v>
      </c>
      <c r="AK38" s="50" t="n">
        <f aca="false">SUM(AK2:AK11)</f>
        <v>1.4</v>
      </c>
      <c r="AL38" s="50" t="n">
        <f aca="false">SUM(AL2:AL11)</f>
        <v>1.25</v>
      </c>
      <c r="AM38" s="50" t="n">
        <f aca="false">SUM(AM2:AM11)</f>
        <v>1.02</v>
      </c>
      <c r="AN38" s="50" t="n">
        <f aca="false">SUM(AN2:AN11)</f>
        <v>1.1</v>
      </c>
      <c r="AO38" s="50" t="n">
        <f aca="false">SUM(AO2:AO11)</f>
        <v>1.05</v>
      </c>
      <c r="AP38" s="50" t="n">
        <f aca="false">SUM(AP2:AP11)</f>
        <v>1.27</v>
      </c>
      <c r="AQ38" s="50" t="n">
        <f aca="false">SUM(AQ2:AQ11)</f>
        <v>1.1</v>
      </c>
      <c r="AR38" s="50" t="n">
        <f aca="false">SUM(AR2:AR11)</f>
        <v>1.1</v>
      </c>
      <c r="AS38" s="50" t="n">
        <f aca="false">SUM(AS2:AS11)</f>
        <v>1.25</v>
      </c>
      <c r="AT38" s="50" t="n">
        <f aca="false">SUM(AT2:AT11)</f>
        <v>1</v>
      </c>
      <c r="AU38" s="50" t="n">
        <f aca="false">SUM(AU2:AU11)</f>
        <v>1</v>
      </c>
      <c r="AV38" s="50" t="n">
        <f aca="false">SUM(AV2:AV11)</f>
        <v>1</v>
      </c>
      <c r="AW38" s="50" t="n">
        <f aca="false">SUM(AW2:AW11)</f>
        <v>1</v>
      </c>
      <c r="AX38" s="50" t="n">
        <f aca="false">SUM(AX2:AX11)</f>
        <v>1.01</v>
      </c>
      <c r="AY38" s="50" t="n">
        <f aca="false">SUM(AY2:AY11)</f>
        <v>1.5</v>
      </c>
      <c r="AZ38" s="50" t="n">
        <f aca="false">SUM(AZ2:AZ11)</f>
        <v>1.6</v>
      </c>
      <c r="BA38" s="50" t="n">
        <f aca="false">SUM(BA2:BA11)</f>
        <v>1.25</v>
      </c>
      <c r="BB38" s="50" t="n">
        <f aca="false">SUM(BB2:BB11)</f>
        <v>1.35</v>
      </c>
      <c r="BC38" s="50" t="n">
        <f aca="false">SUM(BC2:BC11)</f>
        <v>1.1</v>
      </c>
      <c r="BD38" s="50" t="n">
        <f aca="false">SUM(BD2:BD11)</f>
        <v>1.65</v>
      </c>
      <c r="BE38" s="50" t="n">
        <f aca="false">SUM(BE2:BE11)</f>
        <v>1.95</v>
      </c>
      <c r="BF38" s="50" t="n">
        <f aca="false">SUM(BF2:BF11)</f>
        <v>2.25</v>
      </c>
      <c r="BG38" s="50" t="n">
        <f aca="false">SUM(BG2:BG11)</f>
        <v>1.2</v>
      </c>
      <c r="BH38" s="50" t="n">
        <f aca="false">SUM(BH2:BH11)</f>
        <v>1.07</v>
      </c>
      <c r="BI38" s="50" t="n">
        <f aca="false">SUM(BI2:BI11)</f>
        <v>1.5</v>
      </c>
      <c r="BJ38" s="50" t="n">
        <f aca="false">SUM(BJ2:BJ11)</f>
        <v>1.05</v>
      </c>
      <c r="BK38" s="50" t="n">
        <f aca="false">SUM(BK2:BK11)</f>
        <v>1.1</v>
      </c>
      <c r="BL38" s="50" t="n">
        <f aca="false">SUM(BL2:BL11)</f>
        <v>1</v>
      </c>
      <c r="BM38" s="50" t="n">
        <f aca="false">SUM(BM2:BM11)</f>
        <v>1.02</v>
      </c>
      <c r="BN38" s="50" t="n">
        <f aca="false">SUM(BN2:BN11)</f>
        <v>1.02</v>
      </c>
      <c r="BO38" s="50" t="n">
        <f aca="false">SUM(BO2:BO11)</f>
        <v>1</v>
      </c>
      <c r="BP38" s="50" t="n">
        <f aca="false">SUM(BP2:BP11)</f>
        <v>1</v>
      </c>
      <c r="BQ38" s="50" t="n">
        <f aca="false">SUM(BQ2:BQ11)</f>
        <v>1</v>
      </c>
      <c r="BR38" s="50" t="n">
        <f aca="false">SUM(BR2:BR11)</f>
        <v>1.1</v>
      </c>
      <c r="BS38" s="50" t="n">
        <f aca="false">SUM(BS2:BS11)</f>
        <v>1.02</v>
      </c>
      <c r="BT38" s="50" t="n">
        <f aca="false">SUM(BT2:BT11)</f>
        <v>1.15</v>
      </c>
      <c r="BU38" s="50" t="n">
        <f aca="false">SUM(BU2:BU11)</f>
        <v>1.07</v>
      </c>
      <c r="BV38" s="50" t="n">
        <f aca="false">SUM(BV2:BV11)</f>
        <v>1</v>
      </c>
      <c r="BW38" s="50" t="n">
        <f aca="false">SUM(BW2:BW11)</f>
        <v>1</v>
      </c>
      <c r="BX38" s="50" t="n">
        <f aca="false">SUM(BX2:BX11)</f>
        <v>1.8</v>
      </c>
      <c r="BY38" s="50" t="n">
        <f aca="false">SUM(BY2:BY11)</f>
        <v>1.35</v>
      </c>
      <c r="BZ38" s="50" t="n">
        <f aca="false">SUM(BZ2:BZ11)</f>
        <v>1.2</v>
      </c>
      <c r="CA38" s="50" t="n">
        <f aca="false">SUM(CA2:CA11)</f>
        <v>1.2</v>
      </c>
      <c r="CB38" s="50" t="n">
        <f aca="false">SUM(CB2:CB11)</f>
        <v>1.5</v>
      </c>
      <c r="CC38" s="50" t="n">
        <f aca="false">SUM(CC2:CC11)</f>
        <v>1.2</v>
      </c>
      <c r="CD38" s="50" t="n">
        <f aca="false">SUM(CD2:CD11)</f>
        <v>1.1</v>
      </c>
      <c r="CE38" s="50" t="n">
        <f aca="false">SUM(CE2:CE11)</f>
        <v>1.5</v>
      </c>
      <c r="CX38" s="50" t="n">
        <f aca="false">CZ38/$CW$2</f>
        <v>0.280834</v>
      </c>
      <c r="CY38" s="0" t="n">
        <v>37</v>
      </c>
      <c r="CZ38" s="0" t="n">
        <v>140417</v>
      </c>
      <c r="DA38" s="58" t="n">
        <f aca="false">CZ38-CZ37</f>
        <v>3600</v>
      </c>
      <c r="DB38" s="50" t="n">
        <f aca="false">CZ38/$CZ$52</f>
        <v>0.728024513412902</v>
      </c>
    </row>
    <row r="39" customFormat="false" ht="15" hidden="false" customHeight="false" outlineLevel="0" collapsed="false">
      <c r="A39" s="43" t="n">
        <v>1860</v>
      </c>
      <c r="B39" s="50" t="n">
        <f aca="false">SUM(B2:B12)</f>
        <v>0.47</v>
      </c>
      <c r="C39" s="50" t="n">
        <f aca="false">SUM(C2:C12)</f>
        <v>0.1</v>
      </c>
      <c r="D39" s="50" t="n">
        <f aca="false">SUM(D2:D12)</f>
        <v>0.45</v>
      </c>
      <c r="E39" s="50" t="n">
        <f aca="false">SUM(E2:E12)</f>
        <v>1</v>
      </c>
      <c r="F39" s="50" t="n">
        <f aca="false">SUM(F2:F12)</f>
        <v>1.25</v>
      </c>
      <c r="G39" s="50" t="n">
        <f aca="false">SUM(G2:G12)</f>
        <v>2.65</v>
      </c>
      <c r="H39" s="50" t="n">
        <f aca="false">SUM(H2:H12)</f>
        <v>2.77</v>
      </c>
      <c r="I39" s="52" t="n">
        <f aca="false">SUM(I2:I12)</f>
        <v>1</v>
      </c>
      <c r="J39" s="52" t="n">
        <f aca="false">SUM(J2:J12)</f>
        <v>1</v>
      </c>
      <c r="K39" s="50" t="n">
        <f aca="false">SUM(K2:K12)</f>
        <v>0.96</v>
      </c>
      <c r="L39" s="50" t="n">
        <f aca="false">SUM(L2:L12)</f>
        <v>1.16</v>
      </c>
      <c r="M39" s="50" t="n">
        <f aca="false">SUM(M2:M12)</f>
        <v>1.6</v>
      </c>
      <c r="N39" s="50" t="n">
        <f aca="false">SUM(N2:N12)</f>
        <v>0.87</v>
      </c>
      <c r="O39" s="52" t="n">
        <f aca="false">SUM(O2:O12)</f>
        <v>0.0006</v>
      </c>
      <c r="P39" s="50" t="n">
        <f aca="false">SUM(P2:P12)</f>
        <v>0.9</v>
      </c>
      <c r="Q39" s="50" t="n">
        <f aca="false">SUM(Q2:Q12)</f>
        <v>2.45</v>
      </c>
      <c r="R39" s="56" t="n">
        <f aca="false">SUM(R2:R12)</f>
        <v>3</v>
      </c>
      <c r="S39" s="56" t="n">
        <f aca="false">SUM(S2:S12)</f>
        <v>147</v>
      </c>
      <c r="T39" s="50" t="n">
        <f aca="false">SUM(T2:T12)</f>
        <v>1</v>
      </c>
      <c r="U39" s="54" t="n">
        <f aca="false">SUM(U2:U12)</f>
        <v>0.996</v>
      </c>
      <c r="V39" s="50" t="n">
        <f aca="false">SUM(V2:V12)</f>
        <v>1.5</v>
      </c>
      <c r="W39" s="50" t="n">
        <f aca="false">SUM(W2:W12)</f>
        <v>1.5</v>
      </c>
      <c r="X39" s="50" t="n">
        <f aca="false">SUM(X2:X12)</f>
        <v>1.4</v>
      </c>
      <c r="Y39" s="50" t="n">
        <f aca="false">SUM(Y2:Y12)</f>
        <v>3.35</v>
      </c>
      <c r="Z39" s="50" t="n">
        <f aca="false">SUM(Z2:Z12)</f>
        <v>1.5</v>
      </c>
      <c r="AA39" s="50" t="n">
        <f aca="false">SUM(AA2:AA12)</f>
        <v>1.65</v>
      </c>
      <c r="AB39" s="50" t="n">
        <f aca="false">SUM(AB2:AB12)</f>
        <v>1.5</v>
      </c>
      <c r="AC39" s="50" t="n">
        <f aca="false">SUM(AC2:AC12)</f>
        <v>1.05</v>
      </c>
      <c r="AD39" s="50" t="n">
        <f aca="false">SUM(AD2:AD12)</f>
        <v>2.75</v>
      </c>
      <c r="AE39" s="50" t="n">
        <f aca="false">SUM(AE2:AE12)</f>
        <v>1.5</v>
      </c>
      <c r="AF39" s="50" t="n">
        <f aca="false">SUM(AF2:AF12)</f>
        <v>1.6</v>
      </c>
      <c r="AG39" s="50" t="n">
        <f aca="false">SUM(AG2:AG12)</f>
        <v>1.1</v>
      </c>
      <c r="AH39" s="50" t="n">
        <f aca="false">SUM(AH2:AH12)</f>
        <v>2.6</v>
      </c>
      <c r="AI39" s="50" t="n">
        <f aca="false">SUM(AI2:AI12)</f>
        <v>2</v>
      </c>
      <c r="AJ39" s="50" t="n">
        <f aca="false">SUM(AJ2:AJ12)</f>
        <v>1.1</v>
      </c>
      <c r="AK39" s="50" t="n">
        <f aca="false">SUM(AK2:AK12)</f>
        <v>1.4</v>
      </c>
      <c r="AL39" s="50" t="n">
        <f aca="false">SUM(AL2:AL12)</f>
        <v>1.25</v>
      </c>
      <c r="AM39" s="50" t="n">
        <f aca="false">SUM(AM2:AM12)</f>
        <v>1.02</v>
      </c>
      <c r="AN39" s="50" t="n">
        <f aca="false">SUM(AN2:AN12)</f>
        <v>1.1</v>
      </c>
      <c r="AO39" s="50" t="n">
        <f aca="false">SUM(AO2:AO12)</f>
        <v>1.1</v>
      </c>
      <c r="AP39" s="50" t="n">
        <f aca="false">SUM(AP2:AP12)</f>
        <v>1.27</v>
      </c>
      <c r="AQ39" s="50" t="n">
        <f aca="false">SUM(AQ2:AQ12)</f>
        <v>1.1</v>
      </c>
      <c r="AR39" s="50" t="n">
        <f aca="false">SUM(AR2:AR12)</f>
        <v>1.1</v>
      </c>
      <c r="AS39" s="50" t="n">
        <f aca="false">SUM(AS2:AS12)</f>
        <v>1.25</v>
      </c>
      <c r="AT39" s="50" t="n">
        <f aca="false">SUM(AT2:AT12)</f>
        <v>1</v>
      </c>
      <c r="AU39" s="50" t="n">
        <f aca="false">SUM(AU2:AU12)</f>
        <v>1</v>
      </c>
      <c r="AV39" s="50" t="n">
        <f aca="false">SUM(AV2:AV12)</f>
        <v>1.05</v>
      </c>
      <c r="AW39" s="50" t="n">
        <f aca="false">SUM(AW2:AW12)</f>
        <v>1</v>
      </c>
      <c r="AX39" s="50" t="n">
        <f aca="false">SUM(AX2:AX12)</f>
        <v>1.01</v>
      </c>
      <c r="AY39" s="50" t="n">
        <f aca="false">SUM(AY2:AY12)</f>
        <v>1.5</v>
      </c>
      <c r="AZ39" s="50" t="n">
        <f aca="false">SUM(AZ2:AZ12)</f>
        <v>1.6</v>
      </c>
      <c r="BA39" s="50" t="n">
        <f aca="false">SUM(BA2:BA12)</f>
        <v>1.25</v>
      </c>
      <c r="BB39" s="50" t="n">
        <f aca="false">SUM(BB2:BB12)</f>
        <v>1.35</v>
      </c>
      <c r="BC39" s="50" t="n">
        <f aca="false">SUM(BC2:BC12)</f>
        <v>1.1</v>
      </c>
      <c r="BD39" s="50" t="n">
        <f aca="false">SUM(BD2:BD12)</f>
        <v>1.65</v>
      </c>
      <c r="BE39" s="50" t="n">
        <f aca="false">SUM(BE2:BE12)</f>
        <v>1.95</v>
      </c>
      <c r="BF39" s="50" t="n">
        <f aca="false">SUM(BF2:BF12)</f>
        <v>2.25</v>
      </c>
      <c r="BG39" s="50" t="n">
        <f aca="false">SUM(BG2:BG12)</f>
        <v>1.2</v>
      </c>
      <c r="BH39" s="50" t="n">
        <f aca="false">SUM(BH2:BH12)</f>
        <v>1.07</v>
      </c>
      <c r="BI39" s="50" t="n">
        <f aca="false">SUM(BI2:BI12)</f>
        <v>1.5</v>
      </c>
      <c r="BJ39" s="50" t="n">
        <f aca="false">SUM(BJ2:BJ12)</f>
        <v>1.05</v>
      </c>
      <c r="BK39" s="50" t="n">
        <f aca="false">SUM(BK2:BK12)</f>
        <v>1.1</v>
      </c>
      <c r="BL39" s="50" t="n">
        <f aca="false">SUM(BL2:BL12)</f>
        <v>1</v>
      </c>
      <c r="BM39" s="50" t="n">
        <f aca="false">SUM(BM2:BM12)</f>
        <v>1.02</v>
      </c>
      <c r="BN39" s="50" t="n">
        <f aca="false">SUM(BN2:BN12)</f>
        <v>1.02</v>
      </c>
      <c r="BO39" s="50" t="n">
        <f aca="false">SUM(BO2:BO12)</f>
        <v>1</v>
      </c>
      <c r="BP39" s="50" t="n">
        <f aca="false">SUM(BP2:BP12)</f>
        <v>1</v>
      </c>
      <c r="BQ39" s="50" t="n">
        <f aca="false">SUM(BQ2:BQ12)</f>
        <v>1</v>
      </c>
      <c r="BR39" s="50" t="n">
        <f aca="false">SUM(BR2:BR12)</f>
        <v>1.1</v>
      </c>
      <c r="BS39" s="50" t="n">
        <f aca="false">SUM(BS2:BS12)</f>
        <v>1.02</v>
      </c>
      <c r="BT39" s="50" t="n">
        <f aca="false">SUM(BT2:BT12)</f>
        <v>1.15</v>
      </c>
      <c r="BU39" s="50" t="n">
        <f aca="false">SUM(BU2:BU12)</f>
        <v>1.07</v>
      </c>
      <c r="BV39" s="50" t="n">
        <f aca="false">SUM(BV2:BV12)</f>
        <v>1</v>
      </c>
      <c r="BW39" s="50" t="n">
        <f aca="false">SUM(BW2:BW12)</f>
        <v>1</v>
      </c>
      <c r="BX39" s="50" t="n">
        <f aca="false">SUM(BX2:BX12)</f>
        <v>1.8</v>
      </c>
      <c r="BY39" s="50" t="n">
        <f aca="false">SUM(BY2:BY12)</f>
        <v>1.35</v>
      </c>
      <c r="BZ39" s="50" t="n">
        <f aca="false">SUM(BZ2:BZ12)</f>
        <v>1.2</v>
      </c>
      <c r="CA39" s="50" t="n">
        <f aca="false">SUM(CA2:CA12)</f>
        <v>1.2</v>
      </c>
      <c r="CB39" s="50" t="n">
        <f aca="false">SUM(CB2:CB12)</f>
        <v>1.5</v>
      </c>
      <c r="CC39" s="50" t="n">
        <f aca="false">SUM(CC2:CC12)</f>
        <v>1.2</v>
      </c>
      <c r="CD39" s="50" t="n">
        <f aca="false">SUM(CD2:CD12)</f>
        <v>1.1</v>
      </c>
      <c r="CE39" s="50" t="n">
        <f aca="false">SUM(CE2:CE12)</f>
        <v>1.5</v>
      </c>
      <c r="CX39" s="50" t="n">
        <f aca="false">CZ39/$CW$2</f>
        <v>0.288836</v>
      </c>
      <c r="CY39" s="0" t="n">
        <v>38</v>
      </c>
      <c r="CZ39" s="0" t="n">
        <v>144418</v>
      </c>
      <c r="DA39" s="58" t="n">
        <f aca="false">CZ39-CZ38</f>
        <v>4001</v>
      </c>
      <c r="DB39" s="50" t="n">
        <f aca="false">CZ39/$CZ$52</f>
        <v>0.748768626149714</v>
      </c>
    </row>
    <row r="40" customFormat="false" ht="15" hidden="false" customHeight="false" outlineLevel="0" collapsed="false">
      <c r="A40" s="43" t="n">
        <v>1870</v>
      </c>
      <c r="B40" s="50" t="n">
        <f aca="false">SUM(B2:B13)</f>
        <v>0.54</v>
      </c>
      <c r="C40" s="50" t="n">
        <f aca="false">SUM(C2:C13)</f>
        <v>0.1</v>
      </c>
      <c r="D40" s="50" t="n">
        <f aca="false">SUM(D2:D13)</f>
        <v>0.5</v>
      </c>
      <c r="E40" s="50" t="n">
        <f aca="false">SUM(E2:E13)</f>
        <v>1</v>
      </c>
      <c r="F40" s="50" t="n">
        <f aca="false">SUM(F2:F13)</f>
        <v>1.25</v>
      </c>
      <c r="G40" s="50" t="n">
        <f aca="false">SUM(G2:G13)</f>
        <v>2.65</v>
      </c>
      <c r="H40" s="50" t="n">
        <f aca="false">SUM(H2:H13)</f>
        <v>2.77</v>
      </c>
      <c r="I40" s="52" t="n">
        <f aca="false">SUM(I2:I13)</f>
        <v>1</v>
      </c>
      <c r="J40" s="52" t="n">
        <f aca="false">SUM(J2:J13)</f>
        <v>1</v>
      </c>
      <c r="K40" s="50" t="n">
        <f aca="false">SUM(K2:K13)</f>
        <v>0.92</v>
      </c>
      <c r="L40" s="50" t="n">
        <f aca="false">SUM(L2:L13)</f>
        <v>1.17</v>
      </c>
      <c r="M40" s="50" t="n">
        <f aca="false">SUM(M2:M13)</f>
        <v>1.75</v>
      </c>
      <c r="N40" s="50" t="n">
        <f aca="false">SUM(N2:N13)</f>
        <v>0.71</v>
      </c>
      <c r="O40" s="52" t="n">
        <f aca="false">SUM(O2:O13)</f>
        <v>0.0007</v>
      </c>
      <c r="P40" s="50" t="n">
        <f aca="false">SUM(P2:P13)</f>
        <v>0.7</v>
      </c>
      <c r="Q40" s="50" t="n">
        <f aca="false">SUM(Q2:Q13)</f>
        <v>3.25</v>
      </c>
      <c r="R40" s="56" t="n">
        <f aca="false">SUM(R2:R13)</f>
        <v>4</v>
      </c>
      <c r="S40" s="56" t="n">
        <f aca="false">SUM(S2:S13)</f>
        <v>147</v>
      </c>
      <c r="T40" s="50" t="n">
        <f aca="false">SUM(T2:T13)</f>
        <v>1</v>
      </c>
      <c r="U40" s="54" t="n">
        <f aca="false">SUM(U2:U13)</f>
        <v>0.996</v>
      </c>
      <c r="V40" s="50" t="n">
        <f aca="false">SUM(V2:V13)</f>
        <v>1.7</v>
      </c>
      <c r="W40" s="50" t="n">
        <f aca="false">SUM(W2:W13)</f>
        <v>1.7</v>
      </c>
      <c r="X40" s="50" t="n">
        <f aca="false">SUM(X2:X13)</f>
        <v>1.6</v>
      </c>
      <c r="Y40" s="50" t="n">
        <f aca="false">SUM(Y2:Y13)</f>
        <v>4.5</v>
      </c>
      <c r="Z40" s="50" t="n">
        <f aca="false">SUM(Z2:Z13)</f>
        <v>2.5</v>
      </c>
      <c r="AA40" s="50" t="n">
        <f aca="false">SUM(AA2:AA13)</f>
        <v>1.85</v>
      </c>
      <c r="AB40" s="50" t="n">
        <f aca="false">SUM(AB2:AB13)</f>
        <v>2.5</v>
      </c>
      <c r="AC40" s="50" t="n">
        <f aca="false">SUM(AC2:AC13)</f>
        <v>1.05</v>
      </c>
      <c r="AD40" s="50" t="n">
        <f aca="false">SUM(AD2:AD13)</f>
        <v>3.4</v>
      </c>
      <c r="AE40" s="50" t="n">
        <f aca="false">SUM(AE2:AE13)</f>
        <v>2.5</v>
      </c>
      <c r="AF40" s="50" t="n">
        <f aca="false">SUM(AF2:AF13)</f>
        <v>1.6</v>
      </c>
      <c r="AG40" s="50" t="n">
        <f aca="false">SUM(AG2:AG13)</f>
        <v>1.1</v>
      </c>
      <c r="AH40" s="50" t="n">
        <f aca="false">SUM(AH2:AH13)</f>
        <v>2.95</v>
      </c>
      <c r="AI40" s="50" t="n">
        <f aca="false">SUM(AI2:AI13)</f>
        <v>2</v>
      </c>
      <c r="AJ40" s="50" t="n">
        <f aca="false">SUM(AJ2:AJ13)</f>
        <v>1.1</v>
      </c>
      <c r="AK40" s="50" t="n">
        <f aca="false">SUM(AK2:AK13)</f>
        <v>1.4</v>
      </c>
      <c r="AL40" s="50" t="n">
        <f aca="false">SUM(AL2:AL13)</f>
        <v>1.25</v>
      </c>
      <c r="AM40" s="50" t="n">
        <f aca="false">SUM(AM2:AM13)</f>
        <v>1.02</v>
      </c>
      <c r="AN40" s="50" t="n">
        <f aca="false">SUM(AN2:AN13)</f>
        <v>1.1</v>
      </c>
      <c r="AO40" s="50" t="n">
        <f aca="false">SUM(AO2:AO13)</f>
        <v>1.1</v>
      </c>
      <c r="AP40" s="50" t="n">
        <f aca="false">SUM(AP2:AP13)</f>
        <v>1.3</v>
      </c>
      <c r="AQ40" s="50" t="n">
        <f aca="false">SUM(AQ2:AQ13)</f>
        <v>1.1</v>
      </c>
      <c r="AR40" s="50" t="n">
        <f aca="false">SUM(AR2:AR13)</f>
        <v>1.15</v>
      </c>
      <c r="AS40" s="50" t="n">
        <f aca="false">SUM(AS2:AS13)</f>
        <v>1.3</v>
      </c>
      <c r="AT40" s="50" t="n">
        <f aca="false">SUM(AT2:AT13)</f>
        <v>1.05</v>
      </c>
      <c r="AU40" s="50" t="n">
        <f aca="false">SUM(AU2:AU13)</f>
        <v>1</v>
      </c>
      <c r="AV40" s="50" t="n">
        <f aca="false">SUM(AV2:AV13)</f>
        <v>1.05</v>
      </c>
      <c r="AW40" s="50" t="n">
        <f aca="false">SUM(AW2:AW13)</f>
        <v>1</v>
      </c>
      <c r="AX40" s="50" t="n">
        <f aca="false">SUM(AX2:AX13)</f>
        <v>1.01</v>
      </c>
      <c r="AY40" s="50" t="n">
        <f aca="false">SUM(AY2:AY13)</f>
        <v>1.9</v>
      </c>
      <c r="AZ40" s="50" t="n">
        <f aca="false">SUM(AZ2:AZ13)</f>
        <v>1.75</v>
      </c>
      <c r="BA40" s="50" t="n">
        <f aca="false">SUM(BA2:BA13)</f>
        <v>1.45</v>
      </c>
      <c r="BB40" s="50" t="n">
        <f aca="false">SUM(BB2:BB13)</f>
        <v>1.35</v>
      </c>
      <c r="BC40" s="50" t="n">
        <f aca="false">SUM(BC2:BC13)</f>
        <v>1.1</v>
      </c>
      <c r="BD40" s="50" t="n">
        <f aca="false">SUM(BD2:BD13)</f>
        <v>2.5</v>
      </c>
      <c r="BE40" s="50" t="n">
        <f aca="false">SUM(BE2:BE13)</f>
        <v>2.25</v>
      </c>
      <c r="BF40" s="50" t="n">
        <f aca="false">SUM(BF2:BF13)</f>
        <v>2.75</v>
      </c>
      <c r="BG40" s="50" t="n">
        <f aca="false">SUM(BG2:BG13)</f>
        <v>1.2</v>
      </c>
      <c r="BH40" s="50" t="n">
        <f aca="false">SUM(BH2:BH13)</f>
        <v>1.09</v>
      </c>
      <c r="BI40" s="50" t="n">
        <f aca="false">SUM(BI2:BI13)</f>
        <v>1.55</v>
      </c>
      <c r="BJ40" s="50" t="n">
        <f aca="false">SUM(BJ2:BJ13)</f>
        <v>1.05</v>
      </c>
      <c r="BK40" s="50" t="n">
        <f aca="false">SUM(BK2:BK13)</f>
        <v>1.1</v>
      </c>
      <c r="BL40" s="50" t="n">
        <f aca="false">SUM(BL2:BL13)</f>
        <v>1</v>
      </c>
      <c r="BM40" s="50" t="n">
        <f aca="false">SUM(BM2:BM13)</f>
        <v>1.02</v>
      </c>
      <c r="BN40" s="50" t="n">
        <f aca="false">SUM(BN2:BN13)</f>
        <v>1.02</v>
      </c>
      <c r="BO40" s="50" t="n">
        <f aca="false">SUM(BO2:BO13)</f>
        <v>1.03</v>
      </c>
      <c r="BP40" s="50" t="n">
        <f aca="false">SUM(BP2:BP13)</f>
        <v>1.03</v>
      </c>
      <c r="BQ40" s="50" t="n">
        <f aca="false">SUM(BQ2:BQ13)</f>
        <v>1</v>
      </c>
      <c r="BR40" s="50" t="n">
        <f aca="false">SUM(BR2:BR13)</f>
        <v>1.13</v>
      </c>
      <c r="BS40" s="50" t="n">
        <f aca="false">SUM(BS2:BS13)</f>
        <v>1.05</v>
      </c>
      <c r="BT40" s="50" t="n">
        <f aca="false">SUM(BT2:BT13)</f>
        <v>1.22</v>
      </c>
      <c r="BU40" s="50" t="n">
        <f aca="false">SUM(BU2:BU13)</f>
        <v>1.07</v>
      </c>
      <c r="BV40" s="50" t="n">
        <f aca="false">SUM(BV2:BV13)</f>
        <v>1.03</v>
      </c>
      <c r="BW40" s="50" t="n">
        <f aca="false">SUM(BW2:BW13)</f>
        <v>1</v>
      </c>
      <c r="BX40" s="50" t="n">
        <f aca="false">SUM(BX2:BX13)</f>
        <v>2.2</v>
      </c>
      <c r="BY40" s="50" t="n">
        <f aca="false">SUM(BY2:BY13)</f>
        <v>1.45</v>
      </c>
      <c r="BZ40" s="50" t="n">
        <f aca="false">SUM(BZ2:BZ13)</f>
        <v>1.4</v>
      </c>
      <c r="CA40" s="50" t="n">
        <f aca="false">SUM(CA2:CA13)</f>
        <v>1.4</v>
      </c>
      <c r="CB40" s="50" t="n">
        <f aca="false">SUM(CB2:CB13)</f>
        <v>1.5</v>
      </c>
      <c r="CC40" s="50" t="n">
        <f aca="false">SUM(CC2:CC13)</f>
        <v>1.2</v>
      </c>
      <c r="CD40" s="50" t="n">
        <f aca="false">SUM(CD2:CD13)</f>
        <v>1.1</v>
      </c>
      <c r="CE40" s="50" t="n">
        <f aca="false">SUM(CE2:CE13)</f>
        <v>1.5</v>
      </c>
      <c r="CQ40" s="49" t="s">
        <v>304</v>
      </c>
      <c r="CR40" s="49" t="s">
        <v>305</v>
      </c>
      <c r="CS40" s="49" t="s">
        <v>306</v>
      </c>
      <c r="CU40" s="0" t="n">
        <v>0.15</v>
      </c>
      <c r="CV40" s="0" t="n">
        <v>9.697</v>
      </c>
      <c r="CW40" s="49" t="n">
        <f aca="false">CV40/CV41</f>
        <v>0.714275191514437</v>
      </c>
      <c r="CX40" s="50" t="n">
        <f aca="false">CZ40/$CW$2</f>
        <v>0.296436</v>
      </c>
      <c r="CY40" s="0" t="n">
        <v>39</v>
      </c>
      <c r="CZ40" s="0" t="n">
        <v>148218</v>
      </c>
      <c r="DA40" s="58" t="n">
        <f aca="false">CZ40-CZ39</f>
        <v>3800</v>
      </c>
      <c r="DB40" s="50" t="n">
        <f aca="false">CZ40/$CZ$52</f>
        <v>0.768470607754285</v>
      </c>
    </row>
    <row r="41" customFormat="false" ht="15" hidden="false" customHeight="false" outlineLevel="0" collapsed="false">
      <c r="A41" s="43" t="n">
        <v>1872</v>
      </c>
      <c r="B41" s="50" t="n">
        <f aca="false">SUM(B2:B14)</f>
        <v>0.54</v>
      </c>
      <c r="C41" s="50" t="n">
        <f aca="false">SUM(C2:C14)</f>
        <v>0.1</v>
      </c>
      <c r="D41" s="50" t="n">
        <f aca="false">SUM(D2:D14)</f>
        <v>0.5</v>
      </c>
      <c r="E41" s="50" t="n">
        <f aca="false">SUM(E2:E14)</f>
        <v>1</v>
      </c>
      <c r="F41" s="50" t="n">
        <f aca="false">SUM(F2:F14)</f>
        <v>1.25</v>
      </c>
      <c r="G41" s="50" t="n">
        <f aca="false">SUM(G2:G14)</f>
        <v>2.65</v>
      </c>
      <c r="H41" s="50" t="n">
        <f aca="false">SUM(H2:H14)</f>
        <v>2.77</v>
      </c>
      <c r="I41" s="52" t="n">
        <f aca="false">SUM(I2:I14)</f>
        <v>1</v>
      </c>
      <c r="J41" s="52" t="n">
        <f aca="false">SUM(J2:J14)</f>
        <v>1</v>
      </c>
      <c r="K41" s="50" t="n">
        <f aca="false">SUM(K2:K14)</f>
        <v>0.92</v>
      </c>
      <c r="L41" s="50" t="n">
        <f aca="false">SUM(L2:L14)</f>
        <v>1.17</v>
      </c>
      <c r="M41" s="50" t="n">
        <f aca="false">SUM(M2:M14)</f>
        <v>1.75</v>
      </c>
      <c r="N41" s="50" t="n">
        <f aca="false">SUM(N2:N14)</f>
        <v>0.71</v>
      </c>
      <c r="O41" s="52" t="n">
        <f aca="false">SUM(O2:O14)</f>
        <v>0.0007</v>
      </c>
      <c r="P41" s="50" t="n">
        <f aca="false">SUM(P2:P14)</f>
        <v>0.7</v>
      </c>
      <c r="Q41" s="50" t="n">
        <f aca="false">SUM(Q2:Q14)</f>
        <v>3.25</v>
      </c>
      <c r="R41" s="56" t="n">
        <f aca="false">SUM(R2:R14)</f>
        <v>4</v>
      </c>
      <c r="S41" s="56" t="n">
        <f aca="false">SUM(S2:S14)</f>
        <v>147</v>
      </c>
      <c r="T41" s="50" t="n">
        <f aca="false">SUM(T2:T14)</f>
        <v>1</v>
      </c>
      <c r="U41" s="54" t="n">
        <f aca="false">SUM(U2:U14)</f>
        <v>0.996</v>
      </c>
      <c r="V41" s="50" t="n">
        <f aca="false">SUM(V2:V14)</f>
        <v>1.7</v>
      </c>
      <c r="W41" s="50" t="n">
        <f aca="false">SUM(W2:W14)</f>
        <v>1.7</v>
      </c>
      <c r="X41" s="50" t="n">
        <f aca="false">SUM(X2:X14)</f>
        <v>1.6</v>
      </c>
      <c r="Y41" s="50" t="n">
        <f aca="false">SUM(Y2:Y14)</f>
        <v>4.5</v>
      </c>
      <c r="Z41" s="50" t="n">
        <f aca="false">SUM(Z2:Z14)</f>
        <v>2.5</v>
      </c>
      <c r="AA41" s="50" t="n">
        <f aca="false">SUM(AA2:AA14)</f>
        <v>1.85</v>
      </c>
      <c r="AB41" s="50" t="n">
        <f aca="false">SUM(AB2:AB14)</f>
        <v>2.5</v>
      </c>
      <c r="AC41" s="50" t="n">
        <f aca="false">SUM(AC2:AC14)</f>
        <v>1.05</v>
      </c>
      <c r="AD41" s="50" t="n">
        <f aca="false">SUM(AD2:AD14)</f>
        <v>3.4</v>
      </c>
      <c r="AE41" s="50" t="n">
        <f aca="false">SUM(AE2:AE14)</f>
        <v>2.5</v>
      </c>
      <c r="AF41" s="50" t="n">
        <f aca="false">SUM(AF2:AF14)</f>
        <v>1.6</v>
      </c>
      <c r="AG41" s="50" t="n">
        <f aca="false">SUM(AG2:AG14)</f>
        <v>1.1</v>
      </c>
      <c r="AH41" s="50" t="n">
        <f aca="false">SUM(AH2:AH14)</f>
        <v>2.95</v>
      </c>
      <c r="AI41" s="50" t="n">
        <f aca="false">SUM(AI2:AI14)</f>
        <v>2</v>
      </c>
      <c r="AJ41" s="50" t="n">
        <f aca="false">SUM(AJ2:AJ14)</f>
        <v>1.1</v>
      </c>
      <c r="AK41" s="50" t="n">
        <f aca="false">SUM(AK2:AK14)</f>
        <v>1.4</v>
      </c>
      <c r="AL41" s="50" t="n">
        <f aca="false">SUM(AL2:AL14)</f>
        <v>1.25</v>
      </c>
      <c r="AM41" s="50" t="n">
        <f aca="false">SUM(AM2:AM14)</f>
        <v>1.02</v>
      </c>
      <c r="AN41" s="50" t="n">
        <f aca="false">SUM(AN2:AN14)</f>
        <v>1.1</v>
      </c>
      <c r="AO41" s="50" t="n">
        <f aca="false">SUM(AO2:AO14)</f>
        <v>1.1</v>
      </c>
      <c r="AP41" s="50" t="n">
        <f aca="false">SUM(AP2:AP14)</f>
        <v>1.3</v>
      </c>
      <c r="AQ41" s="50" t="n">
        <f aca="false">SUM(AQ2:AQ14)</f>
        <v>1.1</v>
      </c>
      <c r="AR41" s="50" t="n">
        <f aca="false">SUM(AR2:AR14)</f>
        <v>1.15</v>
      </c>
      <c r="AS41" s="50" t="n">
        <f aca="false">SUM(AS2:AS14)</f>
        <v>1.3</v>
      </c>
      <c r="AT41" s="50" t="n">
        <f aca="false">SUM(AT2:AT14)</f>
        <v>1.05</v>
      </c>
      <c r="AU41" s="50" t="n">
        <f aca="false">SUM(AU2:AU14)</f>
        <v>1</v>
      </c>
      <c r="AV41" s="50" t="n">
        <f aca="false">SUM(AV2:AV14)</f>
        <v>1.05</v>
      </c>
      <c r="AW41" s="50" t="n">
        <f aca="false">SUM(AW2:AW14)</f>
        <v>1</v>
      </c>
      <c r="AX41" s="50" t="n">
        <f aca="false">SUM(AX2:AX14)</f>
        <v>1.01</v>
      </c>
      <c r="AY41" s="50" t="n">
        <f aca="false">SUM(AY2:AY14)</f>
        <v>1.9</v>
      </c>
      <c r="AZ41" s="50" t="n">
        <f aca="false">SUM(AZ2:AZ14)</f>
        <v>1.75</v>
      </c>
      <c r="BA41" s="50" t="n">
        <f aca="false">SUM(BA2:BA14)</f>
        <v>1.45</v>
      </c>
      <c r="BB41" s="50" t="n">
        <f aca="false">SUM(BB2:BB14)</f>
        <v>1.35</v>
      </c>
      <c r="BC41" s="50" t="n">
        <f aca="false">SUM(BC2:BC14)</f>
        <v>1.1</v>
      </c>
      <c r="BD41" s="50" t="n">
        <f aca="false">SUM(BD2:BD14)</f>
        <v>2.5</v>
      </c>
      <c r="BE41" s="50" t="n">
        <f aca="false">SUM(BE2:BE14)</f>
        <v>2.25</v>
      </c>
      <c r="BF41" s="50" t="n">
        <f aca="false">SUM(BF2:BF14)</f>
        <v>2.75</v>
      </c>
      <c r="BG41" s="50" t="n">
        <f aca="false">SUM(BG2:BG14)</f>
        <v>1.2</v>
      </c>
      <c r="BH41" s="50" t="n">
        <f aca="false">SUM(BH2:BH14)</f>
        <v>1.09</v>
      </c>
      <c r="BI41" s="50" t="n">
        <f aca="false">SUM(BI2:BI14)</f>
        <v>1.55</v>
      </c>
      <c r="BJ41" s="50" t="n">
        <f aca="false">SUM(BJ2:BJ14)</f>
        <v>1.05</v>
      </c>
      <c r="BK41" s="50" t="n">
        <f aca="false">SUM(BK2:BK14)</f>
        <v>1.1</v>
      </c>
      <c r="BL41" s="50" t="n">
        <f aca="false">SUM(BL2:BL14)</f>
        <v>1</v>
      </c>
      <c r="BM41" s="50" t="n">
        <f aca="false">SUM(BM2:BM14)</f>
        <v>1.02</v>
      </c>
      <c r="BN41" s="50" t="n">
        <f aca="false">SUM(BN2:BN14)</f>
        <v>1.02</v>
      </c>
      <c r="BO41" s="50" t="n">
        <f aca="false">SUM(BO2:BO14)</f>
        <v>1.03</v>
      </c>
      <c r="BP41" s="50" t="n">
        <f aca="false">SUM(BP2:BP14)</f>
        <v>1.03</v>
      </c>
      <c r="BQ41" s="50" t="n">
        <f aca="false">SUM(BQ2:BQ14)</f>
        <v>1</v>
      </c>
      <c r="BR41" s="50" t="n">
        <f aca="false">SUM(BR2:BR14)</f>
        <v>1.13</v>
      </c>
      <c r="BS41" s="50" t="n">
        <f aca="false">SUM(BS2:BS14)</f>
        <v>1.05</v>
      </c>
      <c r="BT41" s="50" t="n">
        <f aca="false">SUM(BT2:BT14)</f>
        <v>1.22</v>
      </c>
      <c r="BU41" s="50" t="n">
        <f aca="false">SUM(BU2:BU14)</f>
        <v>1.07</v>
      </c>
      <c r="BV41" s="50" t="n">
        <f aca="false">SUM(BV2:BV14)</f>
        <v>1.03</v>
      </c>
      <c r="BW41" s="50" t="n">
        <f aca="false">SUM(BW2:BW14)</f>
        <v>1</v>
      </c>
      <c r="BX41" s="50" t="n">
        <f aca="false">SUM(BX2:BX14)</f>
        <v>2.2</v>
      </c>
      <c r="BY41" s="50" t="n">
        <f aca="false">SUM(BY2:BY14)</f>
        <v>1.45</v>
      </c>
      <c r="BZ41" s="50" t="n">
        <f aca="false">SUM(BZ2:BZ14)</f>
        <v>1.4</v>
      </c>
      <c r="CA41" s="50" t="n">
        <f aca="false">SUM(CA2:CA14)</f>
        <v>1.4</v>
      </c>
      <c r="CB41" s="50" t="n">
        <f aca="false">SUM(CB2:CB14)</f>
        <v>1.5</v>
      </c>
      <c r="CC41" s="50" t="n">
        <f aca="false">SUM(CC2:CC14)</f>
        <v>1.2</v>
      </c>
      <c r="CD41" s="50" t="n">
        <f aca="false">SUM(CD2:CD14)</f>
        <v>1.1</v>
      </c>
      <c r="CE41" s="50" t="n">
        <f aca="false">SUM(CE2:CE14)</f>
        <v>1.5</v>
      </c>
      <c r="CP41" s="0" t="n">
        <v>56000</v>
      </c>
      <c r="CQ41" s="0" t="n">
        <v>35.8</v>
      </c>
      <c r="CR41" s="50" t="n">
        <v>0.35</v>
      </c>
      <c r="CS41" s="49" t="n">
        <f aca="false">CQ41*CR41</f>
        <v>12.53</v>
      </c>
      <c r="CU41" s="0" t="n">
        <v>0.35</v>
      </c>
      <c r="CV41" s="0" t="n">
        <v>13.576</v>
      </c>
      <c r="CW41" s="49" t="n">
        <f aca="false">CV41/CV40</f>
        <v>1.40002062493555</v>
      </c>
      <c r="CX41" s="50" t="n">
        <f aca="false">CZ41/$CW$2</f>
        <v>0.304038</v>
      </c>
      <c r="CY41" s="0" t="n">
        <v>40</v>
      </c>
      <c r="CZ41" s="0" t="n">
        <v>152019</v>
      </c>
      <c r="DA41" s="58" t="n">
        <f aca="false">CZ41-CZ40</f>
        <v>3801</v>
      </c>
      <c r="DB41" s="50" t="n">
        <f aca="false">CZ41/$CZ$52</f>
        <v>0.788177774090857</v>
      </c>
    </row>
    <row r="42" customFormat="false" ht="15" hidden="false" customHeight="false" outlineLevel="0" collapsed="false">
      <c r="A42" s="43" t="n">
        <v>1875</v>
      </c>
      <c r="B42" s="50" t="n">
        <f aca="false">SUM(B2:B15)</f>
        <v>0.54</v>
      </c>
      <c r="C42" s="50" t="n">
        <f aca="false">SUM(C2:C15)</f>
        <v>0.1</v>
      </c>
      <c r="D42" s="50" t="n">
        <f aca="false">SUM(D2:D15)</f>
        <v>0.5</v>
      </c>
      <c r="E42" s="50" t="n">
        <f aca="false">SUM(E2:E15)</f>
        <v>1</v>
      </c>
      <c r="F42" s="50" t="n">
        <f aca="false">SUM(F2:F15)</f>
        <v>1.25</v>
      </c>
      <c r="G42" s="50" t="n">
        <f aca="false">SUM(G2:G15)</f>
        <v>2.65</v>
      </c>
      <c r="H42" s="50" t="n">
        <f aca="false">SUM(H2:H15)</f>
        <v>2.77</v>
      </c>
      <c r="I42" s="52" t="n">
        <f aca="false">SUM(I2:I15)</f>
        <v>1</v>
      </c>
      <c r="J42" s="52" t="n">
        <f aca="false">SUM(J2:J15)</f>
        <v>1</v>
      </c>
      <c r="K42" s="50" t="n">
        <f aca="false">SUM(K2:K15)</f>
        <v>0.92</v>
      </c>
      <c r="L42" s="50" t="n">
        <f aca="false">SUM(L2:L15)</f>
        <v>1.17</v>
      </c>
      <c r="M42" s="50" t="n">
        <f aca="false">SUM(M2:M15)</f>
        <v>1.75</v>
      </c>
      <c r="N42" s="50" t="n">
        <f aca="false">SUM(N2:N15)</f>
        <v>0.71</v>
      </c>
      <c r="O42" s="52" t="n">
        <f aca="false">SUM(O2:O15)</f>
        <v>0.0007</v>
      </c>
      <c r="P42" s="50" t="n">
        <f aca="false">SUM(P2:P15)</f>
        <v>0.7</v>
      </c>
      <c r="Q42" s="50" t="n">
        <f aca="false">SUM(Q2:Q15)</f>
        <v>3.25</v>
      </c>
      <c r="R42" s="56" t="n">
        <f aca="false">SUM(R2:R15)</f>
        <v>4</v>
      </c>
      <c r="S42" s="56" t="n">
        <f aca="false">SUM(S2:S15)</f>
        <v>147</v>
      </c>
      <c r="T42" s="50" t="n">
        <f aca="false">SUM(T2:T15)</f>
        <v>1</v>
      </c>
      <c r="U42" s="54" t="n">
        <f aca="false">SUM(U2:U15)</f>
        <v>0.996</v>
      </c>
      <c r="V42" s="50" t="n">
        <f aca="false">SUM(V2:V15)</f>
        <v>1.7</v>
      </c>
      <c r="W42" s="50" t="n">
        <f aca="false">SUM(W2:W15)</f>
        <v>1.7</v>
      </c>
      <c r="X42" s="50" t="n">
        <f aca="false">SUM(X2:X15)</f>
        <v>1.6</v>
      </c>
      <c r="Y42" s="50" t="n">
        <f aca="false">SUM(Y2:Y15)</f>
        <v>4.5</v>
      </c>
      <c r="Z42" s="50" t="n">
        <f aca="false">SUM(Z2:Z15)</f>
        <v>2.5</v>
      </c>
      <c r="AA42" s="50" t="n">
        <f aca="false">SUM(AA2:AA15)</f>
        <v>1.85</v>
      </c>
      <c r="AB42" s="50" t="n">
        <f aca="false">SUM(AB2:AB15)</f>
        <v>2.5</v>
      </c>
      <c r="AC42" s="50" t="n">
        <f aca="false">SUM(AC2:AC15)</f>
        <v>1.05</v>
      </c>
      <c r="AD42" s="50" t="n">
        <f aca="false">SUM(AD2:AD15)</f>
        <v>3.4</v>
      </c>
      <c r="AE42" s="50" t="n">
        <f aca="false">SUM(AE2:AE15)</f>
        <v>2.5</v>
      </c>
      <c r="AF42" s="50" t="n">
        <f aca="false">SUM(AF2:AF15)</f>
        <v>1.6</v>
      </c>
      <c r="AG42" s="50" t="n">
        <f aca="false">SUM(AG2:AG15)</f>
        <v>1.1</v>
      </c>
      <c r="AH42" s="50" t="n">
        <f aca="false">SUM(AH2:AH15)</f>
        <v>2.95</v>
      </c>
      <c r="AI42" s="50" t="n">
        <f aca="false">SUM(AI2:AI15)</f>
        <v>2</v>
      </c>
      <c r="AJ42" s="50" t="n">
        <f aca="false">SUM(AJ2:AJ15)</f>
        <v>1.1</v>
      </c>
      <c r="AK42" s="50" t="n">
        <f aca="false">SUM(AK2:AK15)</f>
        <v>1.4</v>
      </c>
      <c r="AL42" s="50" t="n">
        <f aca="false">SUM(AL2:AL15)</f>
        <v>1.25</v>
      </c>
      <c r="AM42" s="50" t="n">
        <f aca="false">SUM(AM2:AM15)</f>
        <v>1.02</v>
      </c>
      <c r="AN42" s="50" t="n">
        <f aca="false">SUM(AN2:AN15)</f>
        <v>1.1</v>
      </c>
      <c r="AO42" s="50" t="n">
        <f aca="false">SUM(AO2:AO15)</f>
        <v>1.1</v>
      </c>
      <c r="AP42" s="50" t="n">
        <f aca="false">SUM(AP2:AP15)</f>
        <v>1.3</v>
      </c>
      <c r="AQ42" s="50" t="n">
        <f aca="false">SUM(AQ2:AQ15)</f>
        <v>1.1</v>
      </c>
      <c r="AR42" s="50" t="n">
        <f aca="false">SUM(AR2:AR15)</f>
        <v>1.15</v>
      </c>
      <c r="AS42" s="50" t="n">
        <f aca="false">SUM(AS2:AS15)</f>
        <v>1.3</v>
      </c>
      <c r="AT42" s="50" t="n">
        <f aca="false">SUM(AT2:AT15)</f>
        <v>1.05</v>
      </c>
      <c r="AU42" s="50" t="n">
        <f aca="false">SUM(AU2:AU15)</f>
        <v>1</v>
      </c>
      <c r="AV42" s="50" t="n">
        <f aca="false">SUM(AV2:AV15)</f>
        <v>1.05</v>
      </c>
      <c r="AW42" s="50" t="n">
        <f aca="false">SUM(AW2:AW15)</f>
        <v>1</v>
      </c>
      <c r="AX42" s="50" t="n">
        <f aca="false">SUM(AX2:AX15)</f>
        <v>1.01</v>
      </c>
      <c r="AY42" s="50" t="n">
        <f aca="false">SUM(AY2:AY15)</f>
        <v>1.9</v>
      </c>
      <c r="AZ42" s="50" t="n">
        <f aca="false">SUM(AZ2:AZ15)</f>
        <v>1.75</v>
      </c>
      <c r="BA42" s="50" t="n">
        <f aca="false">SUM(BA2:BA15)</f>
        <v>1.45</v>
      </c>
      <c r="BB42" s="50" t="n">
        <f aca="false">SUM(BB2:BB15)</f>
        <v>1.35</v>
      </c>
      <c r="BC42" s="50" t="n">
        <f aca="false">SUM(BC2:BC15)</f>
        <v>1.1</v>
      </c>
      <c r="BD42" s="50" t="n">
        <f aca="false">SUM(BD2:BD15)</f>
        <v>2.5</v>
      </c>
      <c r="BE42" s="50" t="n">
        <f aca="false">SUM(BE2:BE15)</f>
        <v>2.25</v>
      </c>
      <c r="BF42" s="50" t="n">
        <f aca="false">SUM(BF2:BF15)</f>
        <v>2.75</v>
      </c>
      <c r="BG42" s="50" t="n">
        <f aca="false">SUM(BG2:BG15)</f>
        <v>1.2</v>
      </c>
      <c r="BH42" s="50" t="n">
        <f aca="false">SUM(BH2:BH15)</f>
        <v>1.09</v>
      </c>
      <c r="BI42" s="50" t="n">
        <f aca="false">SUM(BI2:BI15)</f>
        <v>1.55</v>
      </c>
      <c r="BJ42" s="50" t="n">
        <f aca="false">SUM(BJ2:BJ15)</f>
        <v>1.05</v>
      </c>
      <c r="BK42" s="50" t="n">
        <f aca="false">SUM(BK2:BK15)</f>
        <v>1.1</v>
      </c>
      <c r="BL42" s="50" t="n">
        <f aca="false">SUM(BL2:BL15)</f>
        <v>1</v>
      </c>
      <c r="BM42" s="50" t="n">
        <f aca="false">SUM(BM2:BM15)</f>
        <v>1.02</v>
      </c>
      <c r="BN42" s="50" t="n">
        <f aca="false">SUM(BN2:BN15)</f>
        <v>1.02</v>
      </c>
      <c r="BO42" s="50" t="n">
        <f aca="false">SUM(BO2:BO15)</f>
        <v>1.03</v>
      </c>
      <c r="BP42" s="50" t="n">
        <f aca="false">SUM(BP2:BP15)</f>
        <v>1.03</v>
      </c>
      <c r="BQ42" s="50" t="n">
        <f aca="false">SUM(BQ2:BQ15)</f>
        <v>1</v>
      </c>
      <c r="BR42" s="50" t="n">
        <f aca="false">SUM(BR2:BR15)</f>
        <v>1.13</v>
      </c>
      <c r="BS42" s="50" t="n">
        <f aca="false">SUM(BS2:BS15)</f>
        <v>1.05</v>
      </c>
      <c r="BT42" s="50" t="n">
        <f aca="false">SUM(BT2:BT15)</f>
        <v>1.22</v>
      </c>
      <c r="BU42" s="50" t="n">
        <f aca="false">SUM(BU2:BU15)</f>
        <v>1.07</v>
      </c>
      <c r="BV42" s="50" t="n">
        <f aca="false">SUM(BV2:BV15)</f>
        <v>1.03</v>
      </c>
      <c r="BW42" s="50" t="n">
        <f aca="false">SUM(BW2:BW15)</f>
        <v>1</v>
      </c>
      <c r="BX42" s="50" t="n">
        <f aca="false">SUM(BX2:BX15)</f>
        <v>2.2</v>
      </c>
      <c r="BY42" s="50" t="n">
        <f aca="false">SUM(BY2:BY15)</f>
        <v>1.45</v>
      </c>
      <c r="BZ42" s="50" t="n">
        <f aca="false">SUM(BZ2:BZ15)</f>
        <v>1.4</v>
      </c>
      <c r="CA42" s="50" t="n">
        <f aca="false">SUM(CA2:CA15)</f>
        <v>1.4</v>
      </c>
      <c r="CB42" s="50" t="n">
        <f aca="false">SUM(CB2:CB15)</f>
        <v>1.5</v>
      </c>
      <c r="CC42" s="50" t="n">
        <f aca="false">SUM(CC2:CC15)</f>
        <v>1.2</v>
      </c>
      <c r="CD42" s="50" t="n">
        <f aca="false">SUM(CD2:CD15)</f>
        <v>1.1</v>
      </c>
      <c r="CE42" s="50" t="n">
        <f aca="false">SUM(CE2:CE15)</f>
        <v>1.5</v>
      </c>
      <c r="CP42" s="62" t="n">
        <f aca="false">CQ41/CP41</f>
        <v>0.000639285714285714</v>
      </c>
      <c r="CU42" s="0" t="n">
        <v>1</v>
      </c>
      <c r="CV42" s="49" t="n">
        <f aca="false">CV40/0.15</f>
        <v>64.6466666666667</v>
      </c>
      <c r="CX42" s="50" t="n">
        <f aca="false">CZ42/$CW$2</f>
        <v>0.311638</v>
      </c>
      <c r="CY42" s="0" t="n">
        <v>41</v>
      </c>
      <c r="CZ42" s="0" t="n">
        <v>155819</v>
      </c>
      <c r="DA42" s="58" t="n">
        <f aca="false">CZ42-CZ41</f>
        <v>3800</v>
      </c>
      <c r="DB42" s="50" t="n">
        <f aca="false">CZ42/$CZ$52</f>
        <v>0.807879755695428</v>
      </c>
    </row>
    <row r="43" customFormat="false" ht="15" hidden="false" customHeight="false" outlineLevel="0" collapsed="false">
      <c r="A43" s="43" t="n">
        <v>1880</v>
      </c>
      <c r="B43" s="50" t="n">
        <f aca="false">SUM(B2:B16)</f>
        <v>0.54</v>
      </c>
      <c r="C43" s="50" t="n">
        <f aca="false">SUM(C2:C16)</f>
        <v>0.1</v>
      </c>
      <c r="D43" s="50" t="n">
        <f aca="false">SUM(D2:D16)</f>
        <v>0.5</v>
      </c>
      <c r="E43" s="50" t="n">
        <f aca="false">SUM(E2:E16)</f>
        <v>1</v>
      </c>
      <c r="F43" s="50" t="n">
        <f aca="false">SUM(F2:F16)</f>
        <v>1.25</v>
      </c>
      <c r="G43" s="50" t="n">
        <f aca="false">SUM(G2:G16)</f>
        <v>2.8</v>
      </c>
      <c r="H43" s="50" t="n">
        <f aca="false">SUM(H2:H16)</f>
        <v>3.22</v>
      </c>
      <c r="I43" s="52" t="n">
        <f aca="false">SUM(I2:I16)</f>
        <v>1</v>
      </c>
      <c r="J43" s="52" t="n">
        <f aca="false">SUM(J2:J16)</f>
        <v>1</v>
      </c>
      <c r="K43" s="50" t="n">
        <f aca="false">SUM(K2:K16)</f>
        <v>0.92</v>
      </c>
      <c r="L43" s="50" t="n">
        <f aca="false">SUM(L2:L16)</f>
        <v>1.17</v>
      </c>
      <c r="M43" s="50" t="n">
        <f aca="false">SUM(M2:M16)</f>
        <v>1.75</v>
      </c>
      <c r="N43" s="50" t="n">
        <f aca="false">SUM(N2:N16)</f>
        <v>0.71</v>
      </c>
      <c r="O43" s="52" t="n">
        <f aca="false">SUM(O2:O16)</f>
        <v>0.0007</v>
      </c>
      <c r="P43" s="50" t="n">
        <f aca="false">SUM(P2:P16)</f>
        <v>0.7</v>
      </c>
      <c r="Q43" s="50" t="n">
        <f aca="false">SUM(Q2:Q16)</f>
        <v>3.3</v>
      </c>
      <c r="R43" s="56" t="n">
        <f aca="false">SUM(R2:R16)</f>
        <v>4</v>
      </c>
      <c r="S43" s="56" t="n">
        <f aca="false">SUM(S2:S16)</f>
        <v>147</v>
      </c>
      <c r="T43" s="50" t="n">
        <f aca="false">SUM(T2:T16)</f>
        <v>1</v>
      </c>
      <c r="U43" s="54" t="n">
        <f aca="false">SUM(U2:U16)</f>
        <v>0.996</v>
      </c>
      <c r="V43" s="50" t="n">
        <f aca="false">SUM(V2:V16)</f>
        <v>1.7</v>
      </c>
      <c r="W43" s="50" t="n">
        <f aca="false">SUM(W2:W16)</f>
        <v>1.7</v>
      </c>
      <c r="X43" s="50" t="n">
        <f aca="false">SUM(X2:X16)</f>
        <v>1.6</v>
      </c>
      <c r="Y43" s="50" t="n">
        <f aca="false">SUM(Y2:Y16)</f>
        <v>4.5</v>
      </c>
      <c r="Z43" s="50" t="n">
        <f aca="false">SUM(Z2:Z16)</f>
        <v>2.5</v>
      </c>
      <c r="AA43" s="50" t="n">
        <f aca="false">SUM(AA2:AA16)</f>
        <v>1.85</v>
      </c>
      <c r="AB43" s="50" t="n">
        <f aca="false">SUM(AB2:AB16)</f>
        <v>2.5</v>
      </c>
      <c r="AC43" s="50" t="n">
        <f aca="false">SUM(AC2:AC16)</f>
        <v>1.05</v>
      </c>
      <c r="AD43" s="50" t="n">
        <f aca="false">SUM(AD2:AD16)</f>
        <v>3.4</v>
      </c>
      <c r="AE43" s="50" t="n">
        <f aca="false">SUM(AE2:AE16)</f>
        <v>2.5</v>
      </c>
      <c r="AF43" s="50" t="n">
        <f aca="false">SUM(AF2:AF16)</f>
        <v>1.75</v>
      </c>
      <c r="AG43" s="50" t="n">
        <f aca="false">SUM(AG2:AG16)</f>
        <v>1.1</v>
      </c>
      <c r="AH43" s="50" t="n">
        <f aca="false">SUM(AH2:AH16)</f>
        <v>3.25</v>
      </c>
      <c r="AI43" s="50" t="n">
        <f aca="false">SUM(AI2:AI16)</f>
        <v>2</v>
      </c>
      <c r="AJ43" s="50" t="n">
        <f aca="false">SUM(AJ2:AJ16)</f>
        <v>1.1</v>
      </c>
      <c r="AK43" s="50" t="n">
        <f aca="false">SUM(AK2:AK16)</f>
        <v>1.4</v>
      </c>
      <c r="AL43" s="50" t="n">
        <f aca="false">SUM(AL2:AL16)</f>
        <v>1.4</v>
      </c>
      <c r="AM43" s="50" t="n">
        <f aca="false">SUM(AM2:AM16)</f>
        <v>1.05</v>
      </c>
      <c r="AN43" s="50" t="n">
        <f aca="false">SUM(AN2:AN16)</f>
        <v>1.1</v>
      </c>
      <c r="AO43" s="50" t="n">
        <f aca="false">SUM(AO2:AO16)</f>
        <v>1.1</v>
      </c>
      <c r="AP43" s="50" t="n">
        <f aca="false">SUM(AP2:AP16)</f>
        <v>1.3</v>
      </c>
      <c r="AQ43" s="50" t="n">
        <f aca="false">SUM(AQ2:AQ16)</f>
        <v>1.1</v>
      </c>
      <c r="AR43" s="50" t="n">
        <f aca="false">SUM(AR2:AR16)</f>
        <v>1.15</v>
      </c>
      <c r="AS43" s="50" t="n">
        <f aca="false">SUM(AS2:AS16)</f>
        <v>1.3</v>
      </c>
      <c r="AT43" s="50" t="n">
        <f aca="false">SUM(AT2:AT16)</f>
        <v>1.05</v>
      </c>
      <c r="AU43" s="50" t="n">
        <f aca="false">SUM(AU2:AU16)</f>
        <v>1</v>
      </c>
      <c r="AV43" s="50" t="n">
        <f aca="false">SUM(AV2:AV16)</f>
        <v>1.05</v>
      </c>
      <c r="AW43" s="50" t="n">
        <f aca="false">SUM(AW2:AW16)</f>
        <v>1</v>
      </c>
      <c r="AX43" s="50" t="n">
        <f aca="false">SUM(AX2:AX16)</f>
        <v>1.01</v>
      </c>
      <c r="AY43" s="50" t="n">
        <f aca="false">SUM(AY2:AY16)</f>
        <v>2.1</v>
      </c>
      <c r="AZ43" s="50" t="n">
        <f aca="false">SUM(AZ2:AZ16)</f>
        <v>1.75</v>
      </c>
      <c r="BA43" s="50" t="n">
        <f aca="false">SUM(BA2:BA16)</f>
        <v>1.45</v>
      </c>
      <c r="BB43" s="50" t="n">
        <f aca="false">SUM(BB2:BB16)</f>
        <v>1.35</v>
      </c>
      <c r="BC43" s="50" t="n">
        <f aca="false">SUM(BC2:BC16)</f>
        <v>1.1</v>
      </c>
      <c r="BD43" s="50" t="n">
        <f aca="false">SUM(BD2:BD16)</f>
        <v>2.5</v>
      </c>
      <c r="BE43" s="50" t="n">
        <f aca="false">SUM(BE2:BE16)</f>
        <v>2.25</v>
      </c>
      <c r="BF43" s="50" t="n">
        <f aca="false">SUM(BF2:BF16)</f>
        <v>3.05</v>
      </c>
      <c r="BG43" s="50" t="n">
        <f aca="false">SUM(BG2:BG16)</f>
        <v>1.2</v>
      </c>
      <c r="BH43" s="50" t="n">
        <f aca="false">SUM(BH2:BH16)</f>
        <v>1.09</v>
      </c>
      <c r="BI43" s="50" t="n">
        <f aca="false">SUM(BI2:BI16)</f>
        <v>1.55</v>
      </c>
      <c r="BJ43" s="50" t="n">
        <f aca="false">SUM(BJ2:BJ16)</f>
        <v>1.05</v>
      </c>
      <c r="BK43" s="50" t="n">
        <f aca="false">SUM(BK2:BK16)</f>
        <v>1.1</v>
      </c>
      <c r="BL43" s="50" t="n">
        <f aca="false">SUM(BL2:BL16)</f>
        <v>1</v>
      </c>
      <c r="BM43" s="50" t="n">
        <f aca="false">SUM(BM2:BM16)</f>
        <v>1.02</v>
      </c>
      <c r="BN43" s="50" t="n">
        <f aca="false">SUM(BN2:BN16)</f>
        <v>1.02</v>
      </c>
      <c r="BO43" s="50" t="n">
        <f aca="false">SUM(BO2:BO16)</f>
        <v>1.03</v>
      </c>
      <c r="BP43" s="50" t="n">
        <f aca="false">SUM(BP2:BP16)</f>
        <v>1.03</v>
      </c>
      <c r="BQ43" s="50" t="n">
        <f aca="false">SUM(BQ2:BQ16)</f>
        <v>1</v>
      </c>
      <c r="BR43" s="50" t="n">
        <f aca="false">SUM(BR2:BR16)</f>
        <v>1.23</v>
      </c>
      <c r="BS43" s="50" t="n">
        <f aca="false">SUM(BS2:BS16)</f>
        <v>1.05</v>
      </c>
      <c r="BT43" s="50" t="n">
        <f aca="false">SUM(BT2:BT16)</f>
        <v>1.22</v>
      </c>
      <c r="BU43" s="50" t="n">
        <f aca="false">SUM(BU2:BU16)</f>
        <v>1.07</v>
      </c>
      <c r="BV43" s="50" t="n">
        <f aca="false">SUM(BV2:BV16)</f>
        <v>1.03</v>
      </c>
      <c r="BW43" s="50" t="n">
        <f aca="false">SUM(BW2:BW16)</f>
        <v>1</v>
      </c>
      <c r="BX43" s="50" t="n">
        <f aca="false">SUM(BX2:BX16)</f>
        <v>2.2</v>
      </c>
      <c r="BY43" s="50" t="n">
        <f aca="false">SUM(BY2:BY16)</f>
        <v>1.45</v>
      </c>
      <c r="BZ43" s="50" t="n">
        <f aca="false">SUM(BZ2:BZ16)</f>
        <v>1.4</v>
      </c>
      <c r="CA43" s="50" t="n">
        <f aca="false">SUM(CA2:CA16)</f>
        <v>1.4</v>
      </c>
      <c r="CB43" s="50" t="n">
        <f aca="false">SUM(CB2:CB16)</f>
        <v>1.5</v>
      </c>
      <c r="CC43" s="50" t="n">
        <f aca="false">SUM(CC2:CC16)</f>
        <v>1.2</v>
      </c>
      <c r="CD43" s="50" t="n">
        <f aca="false">SUM(CD2:CD16)</f>
        <v>1.1</v>
      </c>
      <c r="CE43" s="50" t="n">
        <f aca="false">SUM(CE2:CE16)</f>
        <v>1.5</v>
      </c>
      <c r="CX43" s="50" t="n">
        <f aca="false">CZ43/$CW$2</f>
        <v>0.31924</v>
      </c>
      <c r="CY43" s="0" t="n">
        <v>42</v>
      </c>
      <c r="CZ43" s="0" t="n">
        <v>159620</v>
      </c>
      <c r="DA43" s="58" t="n">
        <f aca="false">CZ43-CZ42</f>
        <v>3801</v>
      </c>
      <c r="DB43" s="50" t="n">
        <f aca="false">CZ43/$CZ$52</f>
        <v>0.827586922032</v>
      </c>
    </row>
    <row r="44" customFormat="false" ht="15" hidden="false" customHeight="false" outlineLevel="0" collapsed="false">
      <c r="A44" s="43" t="n">
        <v>1890</v>
      </c>
      <c r="B44" s="50" t="n">
        <f aca="false">SUM(B2:B17)</f>
        <v>0.54</v>
      </c>
      <c r="C44" s="50" t="n">
        <f aca="false">SUM(C2:C17)</f>
        <v>0.1</v>
      </c>
      <c r="D44" s="50" t="n">
        <f aca="false">SUM(D2:D17)</f>
        <v>0.5</v>
      </c>
      <c r="E44" s="50" t="n">
        <f aca="false">SUM(E2:E17)</f>
        <v>1</v>
      </c>
      <c r="F44" s="50" t="n">
        <f aca="false">SUM(F2:F17)</f>
        <v>1.25</v>
      </c>
      <c r="G44" s="50" t="n">
        <f aca="false">SUM(G2:G17)</f>
        <v>2.8</v>
      </c>
      <c r="H44" s="50" t="n">
        <f aca="false">SUM(H2:H17)</f>
        <v>3.22</v>
      </c>
      <c r="I44" s="52" t="n">
        <f aca="false">SUM(I2:I17)</f>
        <v>1</v>
      </c>
      <c r="J44" s="52" t="n">
        <f aca="false">SUM(J2:J17)</f>
        <v>1</v>
      </c>
      <c r="K44" s="50" t="n">
        <f aca="false">SUM(K2:K17)</f>
        <v>0.92</v>
      </c>
      <c r="L44" s="50" t="n">
        <f aca="false">SUM(L2:L17)</f>
        <v>1.17</v>
      </c>
      <c r="M44" s="50" t="n">
        <f aca="false">SUM(M2:M17)</f>
        <v>1.75</v>
      </c>
      <c r="N44" s="50" t="n">
        <f aca="false">SUM(N2:N17)</f>
        <v>0.71</v>
      </c>
      <c r="O44" s="52" t="n">
        <f aca="false">SUM(O2:O17)</f>
        <v>0.0007</v>
      </c>
      <c r="P44" s="50" t="n">
        <f aca="false">SUM(P2:P17)</f>
        <v>0.7</v>
      </c>
      <c r="Q44" s="50" t="n">
        <f aca="false">SUM(Q2:Q17)</f>
        <v>3.3</v>
      </c>
      <c r="R44" s="56" t="n">
        <f aca="false">SUM(R2:R17)</f>
        <v>4</v>
      </c>
      <c r="S44" s="56" t="n">
        <f aca="false">SUM(S2:S17)</f>
        <v>147</v>
      </c>
      <c r="T44" s="50" t="n">
        <f aca="false">SUM(T2:T17)</f>
        <v>1</v>
      </c>
      <c r="U44" s="54" t="n">
        <f aca="false">SUM(U2:U17)</f>
        <v>0.996</v>
      </c>
      <c r="V44" s="50" t="n">
        <f aca="false">SUM(V2:V17)</f>
        <v>1.7</v>
      </c>
      <c r="W44" s="50" t="n">
        <f aca="false">SUM(W2:W17)</f>
        <v>1.7</v>
      </c>
      <c r="X44" s="50" t="n">
        <f aca="false">SUM(X2:X17)</f>
        <v>1.6</v>
      </c>
      <c r="Y44" s="50" t="n">
        <f aca="false">SUM(Y2:Y17)</f>
        <v>4.85</v>
      </c>
      <c r="Z44" s="50" t="n">
        <f aca="false">SUM(Z2:Z17)</f>
        <v>2.5</v>
      </c>
      <c r="AA44" s="50" t="n">
        <f aca="false">SUM(AA2:AA17)</f>
        <v>2.05</v>
      </c>
      <c r="AB44" s="50" t="n">
        <f aca="false">SUM(AB2:AB17)</f>
        <v>2.5</v>
      </c>
      <c r="AC44" s="50" t="n">
        <f aca="false">SUM(AC2:AC17)</f>
        <v>1.05</v>
      </c>
      <c r="AD44" s="50" t="n">
        <f aca="false">SUM(AD2:AD17)</f>
        <v>3.6</v>
      </c>
      <c r="AE44" s="50" t="n">
        <f aca="false">SUM(AE2:AE17)</f>
        <v>2.5</v>
      </c>
      <c r="AF44" s="50" t="n">
        <f aca="false">SUM(AF2:AF17)</f>
        <v>1.75</v>
      </c>
      <c r="AG44" s="50" t="n">
        <f aca="false">SUM(AG2:AG17)</f>
        <v>1.1</v>
      </c>
      <c r="AH44" s="50" t="n">
        <f aca="false">SUM(AH2:AH17)</f>
        <v>3.25</v>
      </c>
      <c r="AI44" s="50" t="n">
        <f aca="false">SUM(AI2:AI17)</f>
        <v>2</v>
      </c>
      <c r="AJ44" s="50" t="n">
        <f aca="false">SUM(AJ2:AJ17)</f>
        <v>1.1</v>
      </c>
      <c r="AK44" s="50" t="n">
        <f aca="false">SUM(AK2:AK17)</f>
        <v>1.44</v>
      </c>
      <c r="AL44" s="50" t="n">
        <f aca="false">SUM(AL2:AL17)</f>
        <v>1.4</v>
      </c>
      <c r="AM44" s="50" t="n">
        <f aca="false">SUM(AM2:AM17)</f>
        <v>1.05</v>
      </c>
      <c r="AN44" s="50" t="n">
        <f aca="false">SUM(AN2:AN17)</f>
        <v>1.1</v>
      </c>
      <c r="AO44" s="50" t="n">
        <f aca="false">SUM(AO2:AO17)</f>
        <v>1.1</v>
      </c>
      <c r="AP44" s="50" t="n">
        <f aca="false">SUM(AP2:AP17)</f>
        <v>1.3</v>
      </c>
      <c r="AQ44" s="50" t="n">
        <f aca="false">SUM(AQ2:AQ17)</f>
        <v>1.1</v>
      </c>
      <c r="AR44" s="50" t="n">
        <f aca="false">SUM(AR2:AR17)</f>
        <v>1.15</v>
      </c>
      <c r="AS44" s="50" t="n">
        <f aca="false">SUM(AS2:AS17)</f>
        <v>1.3</v>
      </c>
      <c r="AT44" s="50" t="n">
        <f aca="false">SUM(AT2:AT17)</f>
        <v>1.05</v>
      </c>
      <c r="AU44" s="50" t="n">
        <f aca="false">SUM(AU2:AU17)</f>
        <v>1</v>
      </c>
      <c r="AV44" s="50" t="n">
        <f aca="false">SUM(AV2:AV17)</f>
        <v>1.05</v>
      </c>
      <c r="AW44" s="50" t="n">
        <f aca="false">SUM(AW2:AW17)</f>
        <v>1</v>
      </c>
      <c r="AX44" s="50" t="n">
        <f aca="false">SUM(AX2:AX17)</f>
        <v>1.01</v>
      </c>
      <c r="AY44" s="50" t="n">
        <f aca="false">SUM(AY2:AY17)</f>
        <v>2.1</v>
      </c>
      <c r="AZ44" s="50" t="n">
        <f aca="false">SUM(AZ2:AZ17)</f>
        <v>1.75</v>
      </c>
      <c r="BA44" s="50" t="n">
        <f aca="false">SUM(BA2:BA17)</f>
        <v>1.45</v>
      </c>
      <c r="BB44" s="50" t="n">
        <f aca="false">SUM(BB2:BB17)</f>
        <v>1.35</v>
      </c>
      <c r="BC44" s="50" t="n">
        <f aca="false">SUM(BC2:BC17)</f>
        <v>1.1</v>
      </c>
      <c r="BD44" s="50" t="n">
        <f aca="false">SUM(BD2:BD17)</f>
        <v>2.75</v>
      </c>
      <c r="BE44" s="50" t="n">
        <f aca="false">SUM(BE2:BE17)</f>
        <v>2.25</v>
      </c>
      <c r="BF44" s="50" t="n">
        <f aca="false">SUM(BF2:BF17)</f>
        <v>3.05</v>
      </c>
      <c r="BG44" s="50" t="n">
        <f aca="false">SUM(BG2:BG17)</f>
        <v>1.2</v>
      </c>
      <c r="BH44" s="50" t="n">
        <f aca="false">SUM(BH2:BH17)</f>
        <v>1.09</v>
      </c>
      <c r="BI44" s="50" t="n">
        <f aca="false">SUM(BI2:BI17)</f>
        <v>1.55</v>
      </c>
      <c r="BJ44" s="50" t="n">
        <f aca="false">SUM(BJ2:BJ17)</f>
        <v>1.05</v>
      </c>
      <c r="BK44" s="50" t="n">
        <f aca="false">SUM(BK2:BK17)</f>
        <v>1.1</v>
      </c>
      <c r="BL44" s="50" t="n">
        <f aca="false">SUM(BL2:BL17)</f>
        <v>1</v>
      </c>
      <c r="BM44" s="50" t="n">
        <f aca="false">SUM(BM2:BM17)</f>
        <v>1.02</v>
      </c>
      <c r="BN44" s="50" t="n">
        <f aca="false">SUM(BN2:BN17)</f>
        <v>1.02</v>
      </c>
      <c r="BO44" s="50" t="n">
        <f aca="false">SUM(BO2:BO17)</f>
        <v>1.03</v>
      </c>
      <c r="BP44" s="50" t="n">
        <f aca="false">SUM(BP2:BP17)</f>
        <v>1.03</v>
      </c>
      <c r="BQ44" s="50" t="n">
        <f aca="false">SUM(BQ2:BQ17)</f>
        <v>1</v>
      </c>
      <c r="BR44" s="50" t="n">
        <f aca="false">SUM(BR2:BR17)</f>
        <v>1.23</v>
      </c>
      <c r="BS44" s="50" t="n">
        <f aca="false">SUM(BS2:BS17)</f>
        <v>1.05</v>
      </c>
      <c r="BT44" s="50" t="n">
        <f aca="false">SUM(BT2:BT17)</f>
        <v>1.22</v>
      </c>
      <c r="BU44" s="50" t="n">
        <f aca="false">SUM(BU2:BU17)</f>
        <v>1.07</v>
      </c>
      <c r="BV44" s="50" t="n">
        <f aca="false">SUM(BV2:BV17)</f>
        <v>1.03</v>
      </c>
      <c r="BW44" s="50" t="n">
        <f aca="false">SUM(BW2:BW17)</f>
        <v>1</v>
      </c>
      <c r="BX44" s="50" t="n">
        <f aca="false">SUM(BX2:BX17)</f>
        <v>2.2</v>
      </c>
      <c r="BY44" s="50" t="n">
        <f aca="false">SUM(BY2:BY17)</f>
        <v>1.45</v>
      </c>
      <c r="BZ44" s="50" t="n">
        <f aca="false">SUM(BZ2:BZ17)</f>
        <v>1.45</v>
      </c>
      <c r="CA44" s="50" t="n">
        <f aca="false">SUM(CA2:CA17)</f>
        <v>1.45</v>
      </c>
      <c r="CB44" s="50" t="n">
        <f aca="false">SUM(CB2:CB17)</f>
        <v>1.5</v>
      </c>
      <c r="CC44" s="50" t="n">
        <f aca="false">SUM(CC2:CC17)</f>
        <v>1.2</v>
      </c>
      <c r="CD44" s="50" t="n">
        <f aca="false">SUM(CD2:CD17)</f>
        <v>1.1</v>
      </c>
      <c r="CE44" s="50" t="n">
        <f aca="false">SUM(CE2:CE17)</f>
        <v>1.5</v>
      </c>
      <c r="CP44" s="0" t="n">
        <v>502530</v>
      </c>
      <c r="CQ44" s="0" t="n">
        <v>0.6</v>
      </c>
      <c r="CR44" s="0" t="n">
        <v>193.543</v>
      </c>
      <c r="CX44" s="50" t="n">
        <f aca="false">CZ44/$CW$2</f>
        <v>0.32684</v>
      </c>
      <c r="CY44" s="0" t="n">
        <v>43</v>
      </c>
      <c r="CZ44" s="0" t="n">
        <v>163420</v>
      </c>
      <c r="DA44" s="58" t="n">
        <f aca="false">CZ44-CZ43</f>
        <v>3800</v>
      </c>
      <c r="DB44" s="50" t="n">
        <f aca="false">CZ44/$CZ$52</f>
        <v>0.847288903636571</v>
      </c>
    </row>
    <row r="45" customFormat="false" ht="15" hidden="false" customHeight="false" outlineLevel="0" collapsed="false">
      <c r="A45" s="43" t="n">
        <v>1895</v>
      </c>
      <c r="B45" s="50" t="n">
        <f aca="false">SUM(B2:B18)</f>
        <v>0.54</v>
      </c>
      <c r="C45" s="50" t="n">
        <f aca="false">SUM(C2:C18)</f>
        <v>0.1</v>
      </c>
      <c r="D45" s="50" t="n">
        <f aca="false">SUM(D2:D18)</f>
        <v>0.5</v>
      </c>
      <c r="E45" s="50" t="n">
        <f aca="false">SUM(E2:E18)</f>
        <v>1</v>
      </c>
      <c r="F45" s="50" t="n">
        <f aca="false">SUM(F2:F18)</f>
        <v>1.25</v>
      </c>
      <c r="G45" s="50" t="n">
        <f aca="false">SUM(G2:G18)</f>
        <v>2.8</v>
      </c>
      <c r="H45" s="50" t="n">
        <f aca="false">SUM(H2:H18)</f>
        <v>3.22</v>
      </c>
      <c r="I45" s="52" t="n">
        <f aca="false">SUM(I2:I18)</f>
        <v>1</v>
      </c>
      <c r="J45" s="52" t="n">
        <f aca="false">SUM(J2:J18)</f>
        <v>1</v>
      </c>
      <c r="K45" s="50" t="n">
        <f aca="false">SUM(K2:K18)</f>
        <v>0.92</v>
      </c>
      <c r="L45" s="50" t="n">
        <f aca="false">SUM(L2:L18)</f>
        <v>1.17</v>
      </c>
      <c r="M45" s="50" t="n">
        <f aca="false">SUM(M2:M18)</f>
        <v>1.75</v>
      </c>
      <c r="N45" s="50" t="n">
        <f aca="false">SUM(N2:N18)</f>
        <v>0.71</v>
      </c>
      <c r="O45" s="52" t="n">
        <f aca="false">SUM(O2:O18)</f>
        <v>0.0007</v>
      </c>
      <c r="P45" s="50" t="n">
        <f aca="false">SUM(P2:P18)</f>
        <v>0.7</v>
      </c>
      <c r="Q45" s="50" t="n">
        <f aca="false">SUM(Q2:Q18)</f>
        <v>3.3</v>
      </c>
      <c r="R45" s="56" t="n">
        <f aca="false">SUM(R2:R18)</f>
        <v>4</v>
      </c>
      <c r="S45" s="56" t="n">
        <f aca="false">SUM(S2:S18)</f>
        <v>147</v>
      </c>
      <c r="T45" s="50" t="n">
        <f aca="false">SUM(T2:T18)</f>
        <v>1</v>
      </c>
      <c r="U45" s="54" t="n">
        <f aca="false">SUM(U2:U18)</f>
        <v>0.996</v>
      </c>
      <c r="V45" s="50" t="n">
        <f aca="false">SUM(V2:V18)</f>
        <v>1.7</v>
      </c>
      <c r="W45" s="50" t="n">
        <f aca="false">SUM(W2:W18)</f>
        <v>1.7</v>
      </c>
      <c r="X45" s="50" t="n">
        <f aca="false">SUM(X2:X18)</f>
        <v>1.6</v>
      </c>
      <c r="Y45" s="50" t="n">
        <f aca="false">SUM(Y2:Y18)</f>
        <v>4.85</v>
      </c>
      <c r="Z45" s="50" t="n">
        <f aca="false">SUM(Z2:Z18)</f>
        <v>2.5</v>
      </c>
      <c r="AA45" s="50" t="n">
        <f aca="false">SUM(AA2:AA18)</f>
        <v>2.05</v>
      </c>
      <c r="AB45" s="50" t="n">
        <f aca="false">SUM(AB2:AB18)</f>
        <v>2.5</v>
      </c>
      <c r="AC45" s="50" t="n">
        <f aca="false">SUM(AC2:AC18)</f>
        <v>1.05</v>
      </c>
      <c r="AD45" s="50" t="n">
        <f aca="false">SUM(AD2:AD18)</f>
        <v>3.6</v>
      </c>
      <c r="AE45" s="50" t="n">
        <f aca="false">SUM(AE2:AE18)</f>
        <v>2.5</v>
      </c>
      <c r="AF45" s="50" t="n">
        <f aca="false">SUM(AF2:AF18)</f>
        <v>1.75</v>
      </c>
      <c r="AG45" s="50" t="n">
        <f aca="false">SUM(AG2:AG18)</f>
        <v>1.1</v>
      </c>
      <c r="AH45" s="50" t="n">
        <f aca="false">SUM(AH2:AH18)</f>
        <v>3.25</v>
      </c>
      <c r="AI45" s="50" t="n">
        <f aca="false">SUM(AI2:AI18)</f>
        <v>2</v>
      </c>
      <c r="AJ45" s="50" t="n">
        <f aca="false">SUM(AJ2:AJ18)</f>
        <v>1.1</v>
      </c>
      <c r="AK45" s="50" t="n">
        <f aca="false">SUM(AK2:AK18)</f>
        <v>1.44</v>
      </c>
      <c r="AL45" s="50" t="n">
        <f aca="false">SUM(AL2:AL18)</f>
        <v>1.4</v>
      </c>
      <c r="AM45" s="50" t="n">
        <f aca="false">SUM(AM2:AM18)</f>
        <v>1.05</v>
      </c>
      <c r="AN45" s="50" t="n">
        <f aca="false">SUM(AN2:AN18)</f>
        <v>1.1</v>
      </c>
      <c r="AO45" s="50" t="n">
        <f aca="false">SUM(AO2:AO18)</f>
        <v>1.1</v>
      </c>
      <c r="AP45" s="50" t="n">
        <f aca="false">SUM(AP2:AP18)</f>
        <v>1.3</v>
      </c>
      <c r="AQ45" s="50" t="n">
        <f aca="false">SUM(AQ2:AQ18)</f>
        <v>1.1</v>
      </c>
      <c r="AR45" s="50" t="n">
        <f aca="false">SUM(AR2:AR18)</f>
        <v>1.15</v>
      </c>
      <c r="AS45" s="50" t="n">
        <f aca="false">SUM(AS2:AS18)</f>
        <v>1.3</v>
      </c>
      <c r="AT45" s="50" t="n">
        <f aca="false">SUM(AT2:AT18)</f>
        <v>1.05</v>
      </c>
      <c r="AU45" s="50" t="n">
        <f aca="false">SUM(AU2:AU18)</f>
        <v>1</v>
      </c>
      <c r="AV45" s="50" t="n">
        <f aca="false">SUM(AV2:AV18)</f>
        <v>1.05</v>
      </c>
      <c r="AW45" s="50" t="n">
        <f aca="false">SUM(AW2:AW18)</f>
        <v>1</v>
      </c>
      <c r="AX45" s="50" t="n">
        <f aca="false">SUM(AX2:AX18)</f>
        <v>1.01</v>
      </c>
      <c r="AY45" s="50" t="n">
        <f aca="false">SUM(AY2:AY18)</f>
        <v>2.1</v>
      </c>
      <c r="AZ45" s="50" t="n">
        <f aca="false">SUM(AZ2:AZ18)</f>
        <v>1.75</v>
      </c>
      <c r="BA45" s="50" t="n">
        <f aca="false">SUM(BA2:BA18)</f>
        <v>1.45</v>
      </c>
      <c r="BB45" s="50" t="n">
        <f aca="false">SUM(BB2:BB18)</f>
        <v>1.35</v>
      </c>
      <c r="BC45" s="50" t="n">
        <f aca="false">SUM(BC2:BC18)</f>
        <v>1.1</v>
      </c>
      <c r="BD45" s="50" t="n">
        <f aca="false">SUM(BD2:BD18)</f>
        <v>2.75</v>
      </c>
      <c r="BE45" s="50" t="n">
        <f aca="false">SUM(BE2:BE18)</f>
        <v>2.25</v>
      </c>
      <c r="BF45" s="50" t="n">
        <f aca="false">SUM(BF2:BF18)</f>
        <v>3.05</v>
      </c>
      <c r="BG45" s="50" t="n">
        <f aca="false">SUM(BG2:BG18)</f>
        <v>1.2</v>
      </c>
      <c r="BH45" s="50" t="n">
        <f aca="false">SUM(BH2:BH18)</f>
        <v>1.09</v>
      </c>
      <c r="BI45" s="50" t="n">
        <f aca="false">SUM(BI2:BI18)</f>
        <v>1.55</v>
      </c>
      <c r="BJ45" s="50" t="n">
        <f aca="false">SUM(BJ2:BJ18)</f>
        <v>1.05</v>
      </c>
      <c r="BK45" s="50" t="n">
        <f aca="false">SUM(BK2:BK18)</f>
        <v>1.1</v>
      </c>
      <c r="BL45" s="50" t="n">
        <f aca="false">SUM(BL2:BL18)</f>
        <v>1</v>
      </c>
      <c r="BM45" s="50" t="n">
        <f aca="false">SUM(BM2:BM18)</f>
        <v>1.02</v>
      </c>
      <c r="BN45" s="50" t="n">
        <f aca="false">SUM(BN2:BN18)</f>
        <v>1.02</v>
      </c>
      <c r="BO45" s="50" t="n">
        <f aca="false">SUM(BO2:BO18)</f>
        <v>1.03</v>
      </c>
      <c r="BP45" s="50" t="n">
        <f aca="false">SUM(BP2:BP18)</f>
        <v>1.03</v>
      </c>
      <c r="BQ45" s="50" t="n">
        <f aca="false">SUM(BQ2:BQ18)</f>
        <v>1</v>
      </c>
      <c r="BR45" s="50" t="n">
        <f aca="false">SUM(BR2:BR18)</f>
        <v>1.23</v>
      </c>
      <c r="BS45" s="50" t="n">
        <f aca="false">SUM(BS2:BS18)</f>
        <v>1.05</v>
      </c>
      <c r="BT45" s="50" t="n">
        <f aca="false">SUM(BT2:BT18)</f>
        <v>1.22</v>
      </c>
      <c r="BU45" s="50" t="n">
        <f aca="false">SUM(BU2:BU18)</f>
        <v>1.07</v>
      </c>
      <c r="BV45" s="50" t="n">
        <f aca="false">SUM(BV2:BV18)</f>
        <v>1.03</v>
      </c>
      <c r="BW45" s="50" t="n">
        <f aca="false">SUM(BW2:BW18)</f>
        <v>1</v>
      </c>
      <c r="BX45" s="50" t="n">
        <f aca="false">SUM(BX2:BX18)</f>
        <v>2.2</v>
      </c>
      <c r="BY45" s="50" t="n">
        <f aca="false">SUM(BY2:BY18)</f>
        <v>1.45</v>
      </c>
      <c r="BZ45" s="50" t="n">
        <f aca="false">SUM(BZ2:BZ18)</f>
        <v>1.45</v>
      </c>
      <c r="CA45" s="50" t="n">
        <f aca="false">SUM(CA2:CA18)</f>
        <v>1.45</v>
      </c>
      <c r="CB45" s="50" t="n">
        <f aca="false">SUM(CB2:CB18)</f>
        <v>1.5</v>
      </c>
      <c r="CC45" s="50" t="n">
        <f aca="false">SUM(CC2:CC18)</f>
        <v>1.2</v>
      </c>
      <c r="CD45" s="50" t="n">
        <f aca="false">SUM(CD2:CD18)</f>
        <v>1.1</v>
      </c>
      <c r="CE45" s="50" t="n">
        <f aca="false">SUM(CE2:CE18)</f>
        <v>1.5</v>
      </c>
      <c r="CP45" s="0" t="n">
        <v>502530</v>
      </c>
      <c r="CQ45" s="0" t="n">
        <v>0.5</v>
      </c>
      <c r="CR45" s="0" t="n">
        <v>161.284</v>
      </c>
      <c r="CX45" s="50" t="n">
        <f aca="false">CZ45/$CW$2</f>
        <v>0.334442</v>
      </c>
      <c r="CY45" s="0" t="n">
        <v>44</v>
      </c>
      <c r="CZ45" s="0" t="n">
        <v>167221</v>
      </c>
      <c r="DA45" s="58" t="n">
        <f aca="false">CZ45-CZ44</f>
        <v>3801</v>
      </c>
      <c r="DB45" s="50" t="n">
        <f aca="false">CZ45/$CZ$52</f>
        <v>0.866996069973143</v>
      </c>
    </row>
    <row r="46" customFormat="false" ht="15" hidden="false" customHeight="false" outlineLevel="0" collapsed="false">
      <c r="A46" s="43" t="n">
        <v>1898</v>
      </c>
      <c r="B46" s="50" t="n">
        <f aca="false">SUM(B2:B19)</f>
        <v>0.54</v>
      </c>
      <c r="C46" s="50" t="n">
        <f aca="false">SUM(C2:C19)</f>
        <v>0.1</v>
      </c>
      <c r="D46" s="50" t="n">
        <f aca="false">SUM(D2:D19)</f>
        <v>0.5</v>
      </c>
      <c r="E46" s="50" t="n">
        <f aca="false">SUM(E2:E19)</f>
        <v>1</v>
      </c>
      <c r="F46" s="50" t="n">
        <f aca="false">SUM(F2:F19)</f>
        <v>1.25</v>
      </c>
      <c r="G46" s="50" t="n">
        <f aca="false">SUM(G2:G19)</f>
        <v>2.8</v>
      </c>
      <c r="H46" s="50" t="n">
        <f aca="false">SUM(H2:H19)</f>
        <v>3.22</v>
      </c>
      <c r="I46" s="52" t="n">
        <f aca="false">SUM(I2:I19)</f>
        <v>1</v>
      </c>
      <c r="J46" s="52" t="n">
        <f aca="false">SUM(J2:J19)</f>
        <v>1</v>
      </c>
      <c r="K46" s="50" t="n">
        <f aca="false">SUM(K2:K19)</f>
        <v>0.92</v>
      </c>
      <c r="L46" s="50" t="n">
        <f aca="false">SUM(L2:L19)</f>
        <v>1.17</v>
      </c>
      <c r="M46" s="50" t="n">
        <f aca="false">SUM(M2:M19)</f>
        <v>1.75</v>
      </c>
      <c r="N46" s="50" t="n">
        <f aca="false">SUM(N2:N19)</f>
        <v>0.71</v>
      </c>
      <c r="O46" s="52" t="n">
        <f aca="false">SUM(O2:O19)</f>
        <v>0.0007</v>
      </c>
      <c r="P46" s="50" t="n">
        <f aca="false">SUM(P2:P19)</f>
        <v>0.7</v>
      </c>
      <c r="Q46" s="50" t="n">
        <f aca="false">SUM(Q2:Q19)</f>
        <v>3.3</v>
      </c>
      <c r="R46" s="56" t="n">
        <f aca="false">SUM(R2:R19)</f>
        <v>5</v>
      </c>
      <c r="S46" s="56" t="n">
        <f aca="false">SUM(S2:S19)</f>
        <v>147</v>
      </c>
      <c r="T46" s="50" t="n">
        <f aca="false">SUM(T2:T19)</f>
        <v>1</v>
      </c>
      <c r="U46" s="54" t="n">
        <f aca="false">SUM(U2:U19)</f>
        <v>0.996</v>
      </c>
      <c r="V46" s="50" t="n">
        <f aca="false">SUM(V2:V19)</f>
        <v>1.7</v>
      </c>
      <c r="W46" s="50" t="n">
        <f aca="false">SUM(W2:W19)</f>
        <v>1.7</v>
      </c>
      <c r="X46" s="50" t="n">
        <f aca="false">SUM(X2:X19)</f>
        <v>1.6</v>
      </c>
      <c r="Y46" s="50" t="n">
        <f aca="false">SUM(Y2:Y19)</f>
        <v>4.85</v>
      </c>
      <c r="Z46" s="50" t="n">
        <f aca="false">SUM(Z2:Z19)</f>
        <v>2.5</v>
      </c>
      <c r="AA46" s="50" t="n">
        <f aca="false">SUM(AA2:AA19)</f>
        <v>2.05</v>
      </c>
      <c r="AB46" s="50" t="n">
        <f aca="false">SUM(AB2:AB19)</f>
        <v>2.5</v>
      </c>
      <c r="AC46" s="50" t="n">
        <f aca="false">SUM(AC2:AC19)</f>
        <v>1.05</v>
      </c>
      <c r="AD46" s="50" t="n">
        <f aca="false">SUM(AD2:AD19)</f>
        <v>3.6</v>
      </c>
      <c r="AE46" s="50" t="n">
        <f aca="false">SUM(AE2:AE19)</f>
        <v>2.5</v>
      </c>
      <c r="AF46" s="50" t="n">
        <f aca="false">SUM(AF2:AF19)</f>
        <v>1.9</v>
      </c>
      <c r="AG46" s="50" t="n">
        <f aca="false">SUM(AG2:AG19)</f>
        <v>1.1</v>
      </c>
      <c r="AH46" s="50" t="n">
        <f aca="false">SUM(AH2:AH19)</f>
        <v>3.25</v>
      </c>
      <c r="AI46" s="50" t="n">
        <f aca="false">SUM(AI2:AI19)</f>
        <v>2</v>
      </c>
      <c r="AJ46" s="50" t="n">
        <f aca="false">SUM(AJ2:AJ19)</f>
        <v>1.1</v>
      </c>
      <c r="AK46" s="50" t="n">
        <f aca="false">SUM(AK2:AK19)</f>
        <v>1.44</v>
      </c>
      <c r="AL46" s="50" t="n">
        <f aca="false">SUM(AL2:AL19)</f>
        <v>1.4</v>
      </c>
      <c r="AM46" s="50" t="n">
        <f aca="false">SUM(AM2:AM19)</f>
        <v>1.05</v>
      </c>
      <c r="AN46" s="50" t="n">
        <f aca="false">SUM(AN2:AN19)</f>
        <v>1.1</v>
      </c>
      <c r="AO46" s="50" t="n">
        <f aca="false">SUM(AO2:AO19)</f>
        <v>1.1</v>
      </c>
      <c r="AP46" s="50" t="n">
        <f aca="false">SUM(AP2:AP19)</f>
        <v>1.3</v>
      </c>
      <c r="AQ46" s="50" t="n">
        <f aca="false">SUM(AQ2:AQ19)</f>
        <v>1.1</v>
      </c>
      <c r="AR46" s="50" t="n">
        <f aca="false">SUM(AR2:AR19)</f>
        <v>1.15</v>
      </c>
      <c r="AS46" s="50" t="n">
        <f aca="false">SUM(AS2:AS19)</f>
        <v>1.3</v>
      </c>
      <c r="AT46" s="50" t="n">
        <f aca="false">SUM(AT2:AT19)</f>
        <v>1.05</v>
      </c>
      <c r="AU46" s="50" t="n">
        <f aca="false">SUM(AU2:AU19)</f>
        <v>1</v>
      </c>
      <c r="AV46" s="50" t="n">
        <f aca="false">SUM(AV2:AV19)</f>
        <v>1.05</v>
      </c>
      <c r="AW46" s="50" t="n">
        <f aca="false">SUM(AW2:AW19)</f>
        <v>1</v>
      </c>
      <c r="AX46" s="50" t="n">
        <f aca="false">SUM(AX2:AX19)</f>
        <v>1.01</v>
      </c>
      <c r="AY46" s="50" t="n">
        <f aca="false">SUM(AY2:AY19)</f>
        <v>2.1</v>
      </c>
      <c r="AZ46" s="50" t="n">
        <f aca="false">SUM(AZ2:AZ19)</f>
        <v>1.75</v>
      </c>
      <c r="BA46" s="50" t="n">
        <f aca="false">SUM(BA2:BA19)</f>
        <v>1.45</v>
      </c>
      <c r="BB46" s="50" t="n">
        <f aca="false">SUM(BB2:BB19)</f>
        <v>1.35</v>
      </c>
      <c r="BC46" s="50" t="n">
        <f aca="false">SUM(BC2:BC19)</f>
        <v>1.1</v>
      </c>
      <c r="BD46" s="50" t="n">
        <f aca="false">SUM(BD2:BD19)</f>
        <v>2.75</v>
      </c>
      <c r="BE46" s="50" t="n">
        <f aca="false">SUM(BE2:BE19)</f>
        <v>2.25</v>
      </c>
      <c r="BF46" s="50" t="n">
        <f aca="false">SUM(BF2:BF19)</f>
        <v>3.05</v>
      </c>
      <c r="BG46" s="50" t="n">
        <f aca="false">SUM(BG2:BG19)</f>
        <v>1.2</v>
      </c>
      <c r="BH46" s="50" t="n">
        <f aca="false">SUM(BH2:BH19)</f>
        <v>1.09</v>
      </c>
      <c r="BI46" s="50" t="n">
        <f aca="false">SUM(BI2:BI19)</f>
        <v>1.55</v>
      </c>
      <c r="BJ46" s="50" t="n">
        <f aca="false">SUM(BJ2:BJ19)</f>
        <v>1.05</v>
      </c>
      <c r="BK46" s="50" t="n">
        <f aca="false">SUM(BK2:BK19)</f>
        <v>1.1</v>
      </c>
      <c r="BL46" s="50" t="n">
        <f aca="false">SUM(BL2:BL19)</f>
        <v>1</v>
      </c>
      <c r="BM46" s="50" t="n">
        <f aca="false">SUM(BM2:BM19)</f>
        <v>1.02</v>
      </c>
      <c r="BN46" s="50" t="n">
        <f aca="false">SUM(BN2:BN19)</f>
        <v>1.02</v>
      </c>
      <c r="BO46" s="50" t="n">
        <f aca="false">SUM(BO2:BO19)</f>
        <v>1.03</v>
      </c>
      <c r="BP46" s="50" t="n">
        <f aca="false">SUM(BP2:BP19)</f>
        <v>1.03</v>
      </c>
      <c r="BQ46" s="50" t="n">
        <f aca="false">SUM(BQ2:BQ19)</f>
        <v>1</v>
      </c>
      <c r="BR46" s="50" t="n">
        <f aca="false">SUM(BR2:BR19)</f>
        <v>1.23</v>
      </c>
      <c r="BS46" s="50" t="n">
        <f aca="false">SUM(BS2:BS19)</f>
        <v>1.05</v>
      </c>
      <c r="BT46" s="50" t="n">
        <f aca="false">SUM(BT2:BT19)</f>
        <v>1.22</v>
      </c>
      <c r="BU46" s="50" t="n">
        <f aca="false">SUM(BU2:BU19)</f>
        <v>1.07</v>
      </c>
      <c r="BV46" s="50" t="n">
        <f aca="false">SUM(BV2:BV19)</f>
        <v>1.03</v>
      </c>
      <c r="BW46" s="50" t="n">
        <f aca="false">SUM(BW2:BW19)</f>
        <v>1</v>
      </c>
      <c r="BX46" s="50" t="n">
        <f aca="false">SUM(BX2:BX19)</f>
        <v>2.2</v>
      </c>
      <c r="BY46" s="50" t="n">
        <f aca="false">SUM(BY2:BY19)</f>
        <v>1.45</v>
      </c>
      <c r="BZ46" s="50" t="n">
        <f aca="false">SUM(BZ2:BZ19)</f>
        <v>1.45</v>
      </c>
      <c r="CA46" s="50" t="n">
        <f aca="false">SUM(CA2:CA19)</f>
        <v>1.45</v>
      </c>
      <c r="CB46" s="50" t="n">
        <f aca="false">SUM(CB2:CB19)</f>
        <v>1.5</v>
      </c>
      <c r="CC46" s="50" t="n">
        <f aca="false">SUM(CC2:CC19)</f>
        <v>1.2</v>
      </c>
      <c r="CD46" s="50" t="n">
        <f aca="false">SUM(CD2:CD19)</f>
        <v>1.1</v>
      </c>
      <c r="CE46" s="50" t="n">
        <f aca="false">SUM(CE2:CE19)</f>
        <v>1.5</v>
      </c>
      <c r="CP46" s="0" t="n">
        <v>502530</v>
      </c>
      <c r="CQ46" s="0" t="n">
        <v>1</v>
      </c>
      <c r="CR46" s="49" t="n">
        <f aca="false">CR45*2</f>
        <v>322.568</v>
      </c>
      <c r="CX46" s="50" t="n">
        <f aca="false">CZ46/$CW$2</f>
        <v>0.342042</v>
      </c>
      <c r="CY46" s="0" t="n">
        <v>45</v>
      </c>
      <c r="CZ46" s="0" t="n">
        <v>171021</v>
      </c>
      <c r="DA46" s="58" t="n">
        <f aca="false">CZ46-CZ45</f>
        <v>3800</v>
      </c>
      <c r="DB46" s="50" t="n">
        <f aca="false">CZ46/$CZ$52</f>
        <v>0.886698051577714</v>
      </c>
    </row>
    <row r="47" customFormat="false" ht="15" hidden="false" customHeight="false" outlineLevel="0" collapsed="false">
      <c r="A47" s="43" t="n">
        <v>1900</v>
      </c>
      <c r="B47" s="50" t="n">
        <f aca="false">SUM(B2:B20)</f>
        <v>0.59</v>
      </c>
      <c r="C47" s="50" t="n">
        <f aca="false">SUM(C2:C20)</f>
        <v>0.1</v>
      </c>
      <c r="D47" s="50" t="n">
        <f aca="false">SUM(D2:D20)</f>
        <v>0.6</v>
      </c>
      <c r="E47" s="50" t="n">
        <f aca="false">SUM(E2:E20)</f>
        <v>1.15</v>
      </c>
      <c r="F47" s="50" t="n">
        <f aca="false">SUM(F2:F20)</f>
        <v>1.25</v>
      </c>
      <c r="G47" s="50" t="n">
        <f aca="false">SUM(G2:G20)</f>
        <v>3.45</v>
      </c>
      <c r="H47" s="50" t="n">
        <f aca="false">SUM(H2:H20)</f>
        <v>3.37</v>
      </c>
      <c r="I47" s="52" t="n">
        <f aca="false">SUM(I2:I20)</f>
        <v>1</v>
      </c>
      <c r="J47" s="52" t="n">
        <f aca="false">SUM(J2:J20)</f>
        <v>1</v>
      </c>
      <c r="K47" s="50" t="n">
        <f aca="false">SUM(K2:K20)</f>
        <v>0.91</v>
      </c>
      <c r="L47" s="50" t="n">
        <f aca="false">SUM(L2:L20)</f>
        <v>1.2</v>
      </c>
      <c r="M47" s="50" t="n">
        <f aca="false">SUM(M2:M20)</f>
        <v>2.04</v>
      </c>
      <c r="N47" s="50" t="n">
        <f aca="false">SUM(N2:N20)</f>
        <v>0.8</v>
      </c>
      <c r="O47" s="52" t="n">
        <f aca="false">SUM(O2:O20)</f>
        <v>0.0007</v>
      </c>
      <c r="P47" s="50" t="n">
        <f aca="false">SUM(P2:P20)</f>
        <v>0.7</v>
      </c>
      <c r="Q47" s="50" t="n">
        <f aca="false">SUM(Q2:Q20)</f>
        <v>4.15</v>
      </c>
      <c r="R47" s="56" t="n">
        <f aca="false">SUM(R2:R20)</f>
        <v>5</v>
      </c>
      <c r="S47" s="56" t="n">
        <f aca="false">SUM(S2:S20)</f>
        <v>147</v>
      </c>
      <c r="T47" s="50" t="n">
        <f aca="false">SUM(T2:T20)</f>
        <v>1</v>
      </c>
      <c r="U47" s="54" t="n">
        <f aca="false">SUM(U2:U20)</f>
        <v>0.981</v>
      </c>
      <c r="V47" s="50" t="n">
        <f aca="false">SUM(V2:V20)</f>
        <v>1.7</v>
      </c>
      <c r="W47" s="50" t="n">
        <f aca="false">SUM(W2:W20)</f>
        <v>1.7</v>
      </c>
      <c r="X47" s="50" t="n">
        <f aca="false">SUM(X2:X20)</f>
        <v>1.6</v>
      </c>
      <c r="Y47" s="50" t="n">
        <f aca="false">SUM(Y2:Y20)</f>
        <v>4.85</v>
      </c>
      <c r="Z47" s="50" t="n">
        <f aca="false">SUM(Z2:Z20)</f>
        <v>2.5</v>
      </c>
      <c r="AA47" s="50" t="n">
        <f aca="false">SUM(AA2:AA20)</f>
        <v>2.05</v>
      </c>
      <c r="AB47" s="50" t="n">
        <f aca="false">SUM(AB2:AB20)</f>
        <v>2.5</v>
      </c>
      <c r="AC47" s="50" t="n">
        <f aca="false">SUM(AC2:AC20)</f>
        <v>1.05</v>
      </c>
      <c r="AD47" s="50" t="n">
        <f aca="false">SUM(AD2:AD20)</f>
        <v>3.6</v>
      </c>
      <c r="AE47" s="50" t="n">
        <f aca="false">SUM(AE2:AE20)</f>
        <v>2.5</v>
      </c>
      <c r="AF47" s="50" t="n">
        <f aca="false">SUM(AF2:AF20)</f>
        <v>2.05</v>
      </c>
      <c r="AG47" s="50" t="n">
        <f aca="false">SUM(AG2:AG20)</f>
        <v>1.1</v>
      </c>
      <c r="AH47" s="50" t="n">
        <f aca="false">SUM(AH2:AH20)</f>
        <v>3.75</v>
      </c>
      <c r="AI47" s="50" t="n">
        <f aca="false">SUM(AI2:AI20)</f>
        <v>2</v>
      </c>
      <c r="AJ47" s="50" t="n">
        <f aca="false">SUM(AJ2:AJ20)</f>
        <v>1.1</v>
      </c>
      <c r="AK47" s="50" t="n">
        <f aca="false">SUM(AK2:AK20)</f>
        <v>1.44</v>
      </c>
      <c r="AL47" s="50" t="n">
        <f aca="false">SUM(AL2:AL20)</f>
        <v>1.4</v>
      </c>
      <c r="AM47" s="50" t="n">
        <f aca="false">SUM(AM2:AM20)</f>
        <v>1.05</v>
      </c>
      <c r="AN47" s="50" t="n">
        <f aca="false">SUM(AN2:AN20)</f>
        <v>1.15</v>
      </c>
      <c r="AO47" s="50" t="n">
        <f aca="false">SUM(AO2:AO20)</f>
        <v>1.1</v>
      </c>
      <c r="AP47" s="50" t="n">
        <f aca="false">SUM(AP2:AP20)</f>
        <v>1.3</v>
      </c>
      <c r="AQ47" s="50" t="n">
        <f aca="false">SUM(AQ2:AQ20)</f>
        <v>1.2</v>
      </c>
      <c r="AR47" s="50" t="n">
        <f aca="false">SUM(AR2:AR20)</f>
        <v>1.15</v>
      </c>
      <c r="AS47" s="50" t="n">
        <f aca="false">SUM(AS2:AS20)</f>
        <v>1.4</v>
      </c>
      <c r="AT47" s="50" t="n">
        <f aca="false">SUM(AT2:AT20)</f>
        <v>1.05</v>
      </c>
      <c r="AU47" s="50" t="n">
        <f aca="false">SUM(AU2:AU20)</f>
        <v>1</v>
      </c>
      <c r="AV47" s="50" t="n">
        <f aca="false">SUM(AV2:AV20)</f>
        <v>1.05</v>
      </c>
      <c r="AW47" s="50" t="n">
        <f aca="false">SUM(AW2:AW20)</f>
        <v>1.03</v>
      </c>
      <c r="AX47" s="50" t="n">
        <f aca="false">SUM(AX2:AX20)</f>
        <v>1.01</v>
      </c>
      <c r="AY47" s="50" t="n">
        <f aca="false">SUM(AY2:AY20)</f>
        <v>2.1</v>
      </c>
      <c r="AZ47" s="50" t="n">
        <f aca="false">SUM(AZ2:AZ20)</f>
        <v>2.05</v>
      </c>
      <c r="BA47" s="50" t="n">
        <f aca="false">SUM(BA2:BA20)</f>
        <v>1.45</v>
      </c>
      <c r="BB47" s="50" t="n">
        <f aca="false">SUM(BB2:BB20)</f>
        <v>1.35</v>
      </c>
      <c r="BC47" s="50" t="n">
        <f aca="false">SUM(BC2:BC20)</f>
        <v>1.1</v>
      </c>
      <c r="BD47" s="50" t="n">
        <f aca="false">SUM(BD2:BD20)</f>
        <v>3.1</v>
      </c>
      <c r="BE47" s="50" t="n">
        <f aca="false">SUM(BE2:BE20)</f>
        <v>2.85</v>
      </c>
      <c r="BF47" s="50" t="n">
        <f aca="false">SUM(BF2:BF20)</f>
        <v>3.45</v>
      </c>
      <c r="BG47" s="50" t="n">
        <f aca="false">SUM(BG2:BG20)</f>
        <v>1.2</v>
      </c>
      <c r="BH47" s="50" t="n">
        <f aca="false">SUM(BH2:BH20)</f>
        <v>1.09</v>
      </c>
      <c r="BI47" s="50" t="n">
        <f aca="false">SUM(BI2:BI20)</f>
        <v>1.55</v>
      </c>
      <c r="BJ47" s="50" t="n">
        <f aca="false">SUM(BJ2:BJ20)</f>
        <v>1.05</v>
      </c>
      <c r="BK47" s="50" t="n">
        <f aca="false">SUM(BK2:BK20)</f>
        <v>1.1</v>
      </c>
      <c r="BL47" s="50" t="n">
        <f aca="false">SUM(BL2:BL20)</f>
        <v>2</v>
      </c>
      <c r="BM47" s="50" t="n">
        <f aca="false">SUM(BM2:BM20)</f>
        <v>1.02</v>
      </c>
      <c r="BN47" s="50" t="n">
        <f aca="false">SUM(BN2:BN20)</f>
        <v>1.02</v>
      </c>
      <c r="BO47" s="50" t="n">
        <f aca="false">SUM(BO2:BO20)</f>
        <v>1.06</v>
      </c>
      <c r="BP47" s="50" t="n">
        <f aca="false">SUM(BP2:BP20)</f>
        <v>1.03</v>
      </c>
      <c r="BQ47" s="50" t="n">
        <f aca="false">SUM(BQ2:BQ20)</f>
        <v>1.03</v>
      </c>
      <c r="BR47" s="50" t="n">
        <f aca="false">SUM(BR2:BR20)</f>
        <v>1.23</v>
      </c>
      <c r="BS47" s="50" t="n">
        <f aca="false">SUM(BS2:BS20)</f>
        <v>1.05</v>
      </c>
      <c r="BT47" s="50" t="n">
        <f aca="false">SUM(BT2:BT20)</f>
        <v>1.22</v>
      </c>
      <c r="BU47" s="50" t="n">
        <f aca="false">SUM(BU2:BU20)</f>
        <v>1.07</v>
      </c>
      <c r="BV47" s="50" t="n">
        <f aca="false">SUM(BV2:BV20)</f>
        <v>1.03</v>
      </c>
      <c r="BW47" s="50" t="n">
        <f aca="false">SUM(BW2:BW20)</f>
        <v>1</v>
      </c>
      <c r="BX47" s="50" t="n">
        <f aca="false">SUM(BX2:BX20)</f>
        <v>2.6</v>
      </c>
      <c r="BY47" s="50" t="n">
        <f aca="false">SUM(BY2:BY20)</f>
        <v>1.55</v>
      </c>
      <c r="BZ47" s="50" t="n">
        <f aca="false">SUM(BZ2:BZ20)</f>
        <v>1.45</v>
      </c>
      <c r="CA47" s="50" t="n">
        <f aca="false">SUM(CA2:CA20)</f>
        <v>1.45</v>
      </c>
      <c r="CB47" s="50" t="n">
        <f aca="false">SUM(CB2:CB20)</f>
        <v>1.8</v>
      </c>
      <c r="CC47" s="50" t="n">
        <f aca="false">SUM(CC2:CC20)</f>
        <v>1.2</v>
      </c>
      <c r="CD47" s="50" t="n">
        <f aca="false">SUM(CD2:CD20)</f>
        <v>1.1</v>
      </c>
      <c r="CE47" s="50" t="n">
        <f aca="false">SUM(CE2:CE20)</f>
        <v>1.5</v>
      </c>
      <c r="CR47" s="49" t="n">
        <f aca="false">CR46/CP46</f>
        <v>0.000641888046484787</v>
      </c>
      <c r="CX47" s="50" t="n">
        <f aca="false">CZ47/$CW$2</f>
        <v>0.349644</v>
      </c>
      <c r="CY47" s="0" t="n">
        <v>46</v>
      </c>
      <c r="CZ47" s="0" t="n">
        <v>174822</v>
      </c>
      <c r="DA47" s="58" t="n">
        <f aca="false">CZ47-CZ46</f>
        <v>3801</v>
      </c>
      <c r="DB47" s="50" t="n">
        <f aca="false">CZ47/$CZ$52</f>
        <v>0.906405217914286</v>
      </c>
    </row>
    <row r="48" customFormat="false" ht="15" hidden="false" customHeight="false" outlineLevel="0" collapsed="false">
      <c r="A48" s="43" t="n">
        <v>1905</v>
      </c>
      <c r="B48" s="50" t="n">
        <f aca="false">SUM(B2:B21)</f>
        <v>0.59</v>
      </c>
      <c r="C48" s="50" t="n">
        <f aca="false">SUM(C2:C21)</f>
        <v>0.1</v>
      </c>
      <c r="D48" s="50" t="n">
        <f aca="false">SUM(D2:D21)</f>
        <v>0.6</v>
      </c>
      <c r="E48" s="50" t="n">
        <f aca="false">SUM(E2:E21)</f>
        <v>1.15</v>
      </c>
      <c r="F48" s="50" t="n">
        <f aca="false">SUM(F2:F21)</f>
        <v>1.25</v>
      </c>
      <c r="G48" s="50" t="n">
        <f aca="false">SUM(G2:G21)</f>
        <v>3.45</v>
      </c>
      <c r="H48" s="50" t="n">
        <f aca="false">SUM(H2:H21)</f>
        <v>3.37</v>
      </c>
      <c r="I48" s="52" t="n">
        <f aca="false">SUM(I2:I21)</f>
        <v>1</v>
      </c>
      <c r="J48" s="52" t="n">
        <f aca="false">SUM(J2:J21)</f>
        <v>1</v>
      </c>
      <c r="K48" s="50" t="n">
        <f aca="false">SUM(K2:K21)</f>
        <v>0.91</v>
      </c>
      <c r="L48" s="50" t="n">
        <f aca="false">SUM(L2:L21)</f>
        <v>1.2</v>
      </c>
      <c r="M48" s="50" t="n">
        <f aca="false">SUM(M2:M21)</f>
        <v>2.04</v>
      </c>
      <c r="N48" s="50" t="n">
        <f aca="false">SUM(N2:N21)</f>
        <v>0.8</v>
      </c>
      <c r="O48" s="52" t="n">
        <f aca="false">SUM(O2:O21)</f>
        <v>0.0008</v>
      </c>
      <c r="P48" s="50" t="n">
        <f aca="false">SUM(P2:P21)</f>
        <v>0.7</v>
      </c>
      <c r="Q48" s="50" t="n">
        <f aca="false">SUM(Q2:Q21)</f>
        <v>4.15</v>
      </c>
      <c r="R48" s="56" t="n">
        <f aca="false">SUM(R2:R21)</f>
        <v>5</v>
      </c>
      <c r="S48" s="56" t="n">
        <f aca="false">SUM(S2:S21)</f>
        <v>147</v>
      </c>
      <c r="T48" s="50" t="n">
        <f aca="false">SUM(T2:T21)</f>
        <v>1</v>
      </c>
      <c r="U48" s="54" t="n">
        <f aca="false">SUM(U2:U21)</f>
        <v>0.981</v>
      </c>
      <c r="V48" s="50" t="n">
        <f aca="false">SUM(V2:V21)</f>
        <v>1.7</v>
      </c>
      <c r="W48" s="50" t="n">
        <f aca="false">SUM(W2:W21)</f>
        <v>1.7</v>
      </c>
      <c r="X48" s="50" t="n">
        <f aca="false">SUM(X2:X21)</f>
        <v>1.6</v>
      </c>
      <c r="Y48" s="50" t="n">
        <f aca="false">SUM(Y2:Y21)</f>
        <v>6.15</v>
      </c>
      <c r="Z48" s="50" t="n">
        <f aca="false">SUM(Z2:Z21)</f>
        <v>2.5</v>
      </c>
      <c r="AA48" s="50" t="n">
        <f aca="false">SUM(AA2:AA21)</f>
        <v>2.6</v>
      </c>
      <c r="AB48" s="50" t="n">
        <f aca="false">SUM(AB2:AB21)</f>
        <v>2.5</v>
      </c>
      <c r="AC48" s="50" t="n">
        <f aca="false">SUM(AC2:AC21)</f>
        <v>1.05</v>
      </c>
      <c r="AD48" s="50" t="n">
        <f aca="false">SUM(AD2:AD21)</f>
        <v>4.65</v>
      </c>
      <c r="AE48" s="50" t="n">
        <f aca="false">SUM(AE2:AE21)</f>
        <v>2.5</v>
      </c>
      <c r="AF48" s="50" t="n">
        <f aca="false">SUM(AF2:AF21)</f>
        <v>2.05</v>
      </c>
      <c r="AG48" s="50" t="n">
        <f aca="false">SUM(AG2:AG21)</f>
        <v>1.1</v>
      </c>
      <c r="AH48" s="50" t="n">
        <f aca="false">SUM(AH2:AH21)</f>
        <v>3.75</v>
      </c>
      <c r="AI48" s="50" t="n">
        <f aca="false">SUM(AI2:AI21)</f>
        <v>2</v>
      </c>
      <c r="AJ48" s="50" t="n">
        <f aca="false">SUM(AJ2:AJ21)</f>
        <v>1.1</v>
      </c>
      <c r="AK48" s="50" t="n">
        <f aca="false">SUM(AK2:AK21)</f>
        <v>1.49</v>
      </c>
      <c r="AL48" s="50" t="n">
        <f aca="false">SUM(AL2:AL21)</f>
        <v>1.4</v>
      </c>
      <c r="AM48" s="50" t="n">
        <f aca="false">SUM(AM2:AM21)</f>
        <v>1.05</v>
      </c>
      <c r="AN48" s="50" t="n">
        <f aca="false">SUM(AN2:AN21)</f>
        <v>1.15</v>
      </c>
      <c r="AO48" s="50" t="n">
        <f aca="false">SUM(AO2:AO21)</f>
        <v>1.1</v>
      </c>
      <c r="AP48" s="50" t="n">
        <f aca="false">SUM(AP2:AP21)</f>
        <v>1.3</v>
      </c>
      <c r="AQ48" s="50" t="n">
        <f aca="false">SUM(AQ2:AQ21)</f>
        <v>1.2</v>
      </c>
      <c r="AR48" s="50" t="n">
        <f aca="false">SUM(AR2:AR21)</f>
        <v>1.15</v>
      </c>
      <c r="AS48" s="50" t="n">
        <f aca="false">SUM(AS2:AS21)</f>
        <v>1.4</v>
      </c>
      <c r="AT48" s="50" t="n">
        <f aca="false">SUM(AT2:AT21)</f>
        <v>1.05</v>
      </c>
      <c r="AU48" s="50" t="n">
        <f aca="false">SUM(AU2:AU21)</f>
        <v>1</v>
      </c>
      <c r="AV48" s="50" t="n">
        <f aca="false">SUM(AV2:AV21)</f>
        <v>1.05</v>
      </c>
      <c r="AW48" s="50" t="n">
        <f aca="false">SUM(AW2:AW21)</f>
        <v>1.03</v>
      </c>
      <c r="AX48" s="50" t="n">
        <f aca="false">SUM(AX2:AX21)</f>
        <v>1.01</v>
      </c>
      <c r="AY48" s="50" t="n">
        <f aca="false">SUM(AY2:AY21)</f>
        <v>2.1</v>
      </c>
      <c r="AZ48" s="50" t="n">
        <f aca="false">SUM(AZ2:AZ21)</f>
        <v>2.05</v>
      </c>
      <c r="BA48" s="50" t="n">
        <f aca="false">SUM(BA2:BA21)</f>
        <v>1.45</v>
      </c>
      <c r="BB48" s="50" t="n">
        <f aca="false">SUM(BB2:BB21)</f>
        <v>1.35</v>
      </c>
      <c r="BC48" s="50" t="n">
        <f aca="false">SUM(BC2:BC21)</f>
        <v>1.1</v>
      </c>
      <c r="BD48" s="50" t="n">
        <f aca="false">SUM(BD2:BD21)</f>
        <v>3.1</v>
      </c>
      <c r="BE48" s="50" t="n">
        <f aca="false">SUM(BE2:BE21)</f>
        <v>2.85</v>
      </c>
      <c r="BF48" s="50" t="n">
        <f aca="false">SUM(BF2:BF21)</f>
        <v>3.45</v>
      </c>
      <c r="BG48" s="50" t="n">
        <f aca="false">SUM(BG2:BG21)</f>
        <v>1.2</v>
      </c>
      <c r="BH48" s="50" t="n">
        <f aca="false">SUM(BH2:BH21)</f>
        <v>1.09</v>
      </c>
      <c r="BI48" s="50" t="n">
        <f aca="false">SUM(BI2:BI21)</f>
        <v>1.55</v>
      </c>
      <c r="BJ48" s="50" t="n">
        <f aca="false">SUM(BJ2:BJ21)</f>
        <v>1.05</v>
      </c>
      <c r="BK48" s="50" t="n">
        <f aca="false">SUM(BK2:BK21)</f>
        <v>1.1</v>
      </c>
      <c r="BL48" s="50" t="n">
        <f aca="false">SUM(BL2:BL21)</f>
        <v>2</v>
      </c>
      <c r="BM48" s="50" t="n">
        <f aca="false">SUM(BM2:BM21)</f>
        <v>1.02</v>
      </c>
      <c r="BN48" s="50" t="n">
        <f aca="false">SUM(BN2:BN21)</f>
        <v>1.02</v>
      </c>
      <c r="BO48" s="50" t="n">
        <f aca="false">SUM(BO2:BO21)</f>
        <v>1.06</v>
      </c>
      <c r="BP48" s="50" t="n">
        <f aca="false">SUM(BP2:BP21)</f>
        <v>1.03</v>
      </c>
      <c r="BQ48" s="50" t="n">
        <f aca="false">SUM(BQ2:BQ21)</f>
        <v>1.03</v>
      </c>
      <c r="BR48" s="50" t="n">
        <f aca="false">SUM(BR2:BR21)</f>
        <v>1.23</v>
      </c>
      <c r="BS48" s="50" t="n">
        <f aca="false">SUM(BS2:BS21)</f>
        <v>1.05</v>
      </c>
      <c r="BT48" s="50" t="n">
        <f aca="false">SUM(BT2:BT21)</f>
        <v>1.22</v>
      </c>
      <c r="BU48" s="50" t="n">
        <f aca="false">SUM(BU2:BU21)</f>
        <v>1.07</v>
      </c>
      <c r="BV48" s="50" t="n">
        <f aca="false">SUM(BV2:BV21)</f>
        <v>1.03</v>
      </c>
      <c r="BW48" s="50" t="n">
        <f aca="false">SUM(BW2:BW21)</f>
        <v>1</v>
      </c>
      <c r="BX48" s="50" t="n">
        <f aca="false">SUM(BX2:BX21)</f>
        <v>2.6</v>
      </c>
      <c r="BY48" s="50" t="n">
        <f aca="false">SUM(BY2:BY21)</f>
        <v>1.55</v>
      </c>
      <c r="BZ48" s="50" t="n">
        <f aca="false">SUM(BZ2:BZ21)</f>
        <v>1.45</v>
      </c>
      <c r="CA48" s="50" t="n">
        <f aca="false">SUM(CA2:CA21)</f>
        <v>1.45</v>
      </c>
      <c r="CB48" s="50" t="n">
        <f aca="false">SUM(CB2:CB21)</f>
        <v>1.8</v>
      </c>
      <c r="CC48" s="50" t="n">
        <f aca="false">SUM(CC2:CC21)</f>
        <v>1.2</v>
      </c>
      <c r="CD48" s="50" t="n">
        <f aca="false">SUM(CD2:CD21)</f>
        <v>1.1</v>
      </c>
      <c r="CE48" s="50" t="n">
        <f aca="false">SUM(CE2:CE21)</f>
        <v>1.5</v>
      </c>
      <c r="CX48" s="50" t="n">
        <f aca="false">CZ48/$CW$2</f>
        <v>0.357244</v>
      </c>
      <c r="CY48" s="0" t="n">
        <v>47</v>
      </c>
      <c r="CZ48" s="0" t="n">
        <v>178622</v>
      </c>
      <c r="DA48" s="58" t="n">
        <f aca="false">CZ48-CZ47</f>
        <v>3800</v>
      </c>
      <c r="DB48" s="50" t="n">
        <f aca="false">CZ48/$CZ$52</f>
        <v>0.926107199518857</v>
      </c>
    </row>
    <row r="49" customFormat="false" ht="15" hidden="false" customHeight="false" outlineLevel="0" collapsed="false">
      <c r="A49" s="43" t="n">
        <v>1910</v>
      </c>
      <c r="B49" s="50" t="n">
        <f aca="false">SUM(B2:B22)</f>
        <v>0.59</v>
      </c>
      <c r="C49" s="50" t="n">
        <f aca="false">SUM(C2:C22)</f>
        <v>0.1</v>
      </c>
      <c r="D49" s="50" t="n">
        <f aca="false">SUM(D2:D22)</f>
        <v>0.6</v>
      </c>
      <c r="E49" s="50" t="n">
        <f aca="false">SUM(E2:E22)</f>
        <v>1.15</v>
      </c>
      <c r="F49" s="50" t="n">
        <f aca="false">SUM(F2:F22)</f>
        <v>1.25</v>
      </c>
      <c r="G49" s="50" t="n">
        <f aca="false">SUM(G2:G22)</f>
        <v>3.45</v>
      </c>
      <c r="H49" s="50" t="n">
        <f aca="false">SUM(H2:H22)</f>
        <v>3.37</v>
      </c>
      <c r="I49" s="52" t="n">
        <f aca="false">SUM(I2:I22)</f>
        <v>1</v>
      </c>
      <c r="J49" s="52" t="n">
        <f aca="false">SUM(J2:J22)</f>
        <v>1</v>
      </c>
      <c r="K49" s="50" t="n">
        <f aca="false">SUM(K2:K22)</f>
        <v>0.91</v>
      </c>
      <c r="L49" s="50" t="n">
        <f aca="false">SUM(L2:L22)</f>
        <v>1.2</v>
      </c>
      <c r="M49" s="50" t="n">
        <f aca="false">SUM(M2:M22)</f>
        <v>2.04</v>
      </c>
      <c r="N49" s="50" t="n">
        <f aca="false">SUM(N2:N22)</f>
        <v>0.8</v>
      </c>
      <c r="O49" s="52" t="n">
        <f aca="false">SUM(O2:O22)</f>
        <v>0.0009</v>
      </c>
      <c r="P49" s="50" t="n">
        <f aca="false">SUM(P2:P22)</f>
        <v>0.7</v>
      </c>
      <c r="Q49" s="50" t="n">
        <f aca="false">SUM(Q2:Q22)</f>
        <v>4.15</v>
      </c>
      <c r="R49" s="56" t="n">
        <f aca="false">SUM(R2:R22)</f>
        <v>5</v>
      </c>
      <c r="S49" s="56" t="n">
        <f aca="false">SUM(S2:S22)</f>
        <v>147</v>
      </c>
      <c r="T49" s="50" t="n">
        <f aca="false">SUM(T2:T22)</f>
        <v>1</v>
      </c>
      <c r="U49" s="54" t="n">
        <f aca="false">SUM(U2:U22)</f>
        <v>0.981</v>
      </c>
      <c r="V49" s="50" t="n">
        <f aca="false">SUM(V2:V22)</f>
        <v>1.7</v>
      </c>
      <c r="W49" s="50" t="n">
        <f aca="false">SUM(W2:W22)</f>
        <v>1.7</v>
      </c>
      <c r="X49" s="50" t="n">
        <f aca="false">SUM(X2:X22)</f>
        <v>1.6</v>
      </c>
      <c r="Y49" s="50" t="n">
        <f aca="false">SUM(Y2:Y22)</f>
        <v>6.15</v>
      </c>
      <c r="Z49" s="50" t="n">
        <f aca="false">SUM(Z2:Z22)</f>
        <v>2.5</v>
      </c>
      <c r="AA49" s="50" t="n">
        <f aca="false">SUM(AA2:AA22)</f>
        <v>2.6</v>
      </c>
      <c r="AB49" s="50" t="n">
        <f aca="false">SUM(AB2:AB22)</f>
        <v>2.5</v>
      </c>
      <c r="AC49" s="50" t="n">
        <f aca="false">SUM(AC2:AC22)</f>
        <v>1.05</v>
      </c>
      <c r="AD49" s="50" t="n">
        <f aca="false">SUM(AD2:AD22)</f>
        <v>4.65</v>
      </c>
      <c r="AE49" s="50" t="n">
        <f aca="false">SUM(AE2:AE22)</f>
        <v>2.5</v>
      </c>
      <c r="AF49" s="50" t="n">
        <f aca="false">SUM(AF2:AF22)</f>
        <v>2.05</v>
      </c>
      <c r="AG49" s="50" t="n">
        <f aca="false">SUM(AG2:AG22)</f>
        <v>1.1</v>
      </c>
      <c r="AH49" s="50" t="n">
        <f aca="false">SUM(AH2:AH22)</f>
        <v>3.75</v>
      </c>
      <c r="AI49" s="50" t="n">
        <f aca="false">SUM(AI2:AI22)</f>
        <v>2</v>
      </c>
      <c r="AJ49" s="50" t="n">
        <f aca="false">SUM(AJ2:AJ22)</f>
        <v>1.1</v>
      </c>
      <c r="AK49" s="50" t="n">
        <f aca="false">SUM(AK2:AK22)</f>
        <v>1.49</v>
      </c>
      <c r="AL49" s="50" t="n">
        <f aca="false">SUM(AL2:AL22)</f>
        <v>1.4</v>
      </c>
      <c r="AM49" s="50" t="n">
        <f aca="false">SUM(AM2:AM22)</f>
        <v>1.05</v>
      </c>
      <c r="AN49" s="50" t="n">
        <f aca="false">SUM(AN2:AN22)</f>
        <v>1.15</v>
      </c>
      <c r="AO49" s="50" t="n">
        <f aca="false">SUM(AO2:AO22)</f>
        <v>1.1</v>
      </c>
      <c r="AP49" s="50" t="n">
        <f aca="false">SUM(AP2:AP22)</f>
        <v>1.3</v>
      </c>
      <c r="AQ49" s="50" t="n">
        <f aca="false">SUM(AQ2:AQ22)</f>
        <v>1.2</v>
      </c>
      <c r="AR49" s="50" t="n">
        <f aca="false">SUM(AR2:AR22)</f>
        <v>1.15</v>
      </c>
      <c r="AS49" s="50" t="n">
        <f aca="false">SUM(AS2:AS22)</f>
        <v>1.4</v>
      </c>
      <c r="AT49" s="50" t="n">
        <f aca="false">SUM(AT2:AT22)</f>
        <v>1.05</v>
      </c>
      <c r="AU49" s="50" t="n">
        <f aca="false">SUM(AU2:AU22)</f>
        <v>1</v>
      </c>
      <c r="AV49" s="50" t="n">
        <f aca="false">SUM(AV2:AV22)</f>
        <v>1.05</v>
      </c>
      <c r="AW49" s="50" t="n">
        <f aca="false">SUM(AW2:AW22)</f>
        <v>1.03</v>
      </c>
      <c r="AX49" s="50" t="n">
        <f aca="false">SUM(AX2:AX22)</f>
        <v>1.01</v>
      </c>
      <c r="AY49" s="50" t="n">
        <f aca="false">SUM(AY2:AY22)</f>
        <v>2.1</v>
      </c>
      <c r="AZ49" s="50" t="n">
        <f aca="false">SUM(AZ2:AZ22)</f>
        <v>2.05</v>
      </c>
      <c r="BA49" s="50" t="n">
        <f aca="false">SUM(BA2:BA22)</f>
        <v>1.45</v>
      </c>
      <c r="BB49" s="50" t="n">
        <f aca="false">SUM(BB2:BB22)</f>
        <v>1.35</v>
      </c>
      <c r="BC49" s="50" t="n">
        <f aca="false">SUM(BC2:BC22)</f>
        <v>1.1</v>
      </c>
      <c r="BD49" s="50" t="n">
        <f aca="false">SUM(BD2:BD22)</f>
        <v>3.1</v>
      </c>
      <c r="BE49" s="50" t="n">
        <f aca="false">SUM(BE2:BE22)</f>
        <v>2.85</v>
      </c>
      <c r="BF49" s="50" t="n">
        <f aca="false">SUM(BF2:BF22)</f>
        <v>3.45</v>
      </c>
      <c r="BG49" s="50" t="n">
        <f aca="false">SUM(BG2:BG22)</f>
        <v>1.2</v>
      </c>
      <c r="BH49" s="50" t="n">
        <f aca="false">SUM(BH2:BH22)</f>
        <v>1.09</v>
      </c>
      <c r="BI49" s="50" t="n">
        <f aca="false">SUM(BI2:BI22)</f>
        <v>1.55</v>
      </c>
      <c r="BJ49" s="50" t="n">
        <f aca="false">SUM(BJ2:BJ22)</f>
        <v>1.05</v>
      </c>
      <c r="BK49" s="50" t="n">
        <f aca="false">SUM(BK2:BK22)</f>
        <v>1.1</v>
      </c>
      <c r="BL49" s="50" t="n">
        <f aca="false">SUM(BL2:BL22)</f>
        <v>2</v>
      </c>
      <c r="BM49" s="50" t="n">
        <f aca="false">SUM(BM2:BM22)</f>
        <v>1.02</v>
      </c>
      <c r="BN49" s="50" t="n">
        <f aca="false">SUM(BN2:BN22)</f>
        <v>1.02</v>
      </c>
      <c r="BO49" s="50" t="n">
        <f aca="false">SUM(BO2:BO22)</f>
        <v>1.06</v>
      </c>
      <c r="BP49" s="50" t="n">
        <f aca="false">SUM(BP2:BP22)</f>
        <v>1.03</v>
      </c>
      <c r="BQ49" s="50" t="n">
        <f aca="false">SUM(BQ2:BQ22)</f>
        <v>1.03</v>
      </c>
      <c r="BR49" s="50" t="n">
        <f aca="false">SUM(BR2:BR22)</f>
        <v>1.23</v>
      </c>
      <c r="BS49" s="50" t="n">
        <f aca="false">SUM(BS2:BS22)</f>
        <v>1.05</v>
      </c>
      <c r="BT49" s="50" t="n">
        <f aca="false">SUM(BT2:BT22)</f>
        <v>1.22</v>
      </c>
      <c r="BU49" s="50" t="n">
        <f aca="false">SUM(BU2:BU22)</f>
        <v>1.07</v>
      </c>
      <c r="BV49" s="50" t="n">
        <f aca="false">SUM(BV2:BV22)</f>
        <v>1.03</v>
      </c>
      <c r="BW49" s="50" t="n">
        <f aca="false">SUM(BW2:BW22)</f>
        <v>1</v>
      </c>
      <c r="BX49" s="50" t="n">
        <f aca="false">SUM(BX2:BX22)</f>
        <v>2.6</v>
      </c>
      <c r="BY49" s="50" t="n">
        <f aca="false">SUM(BY2:BY22)</f>
        <v>1.55</v>
      </c>
      <c r="BZ49" s="50" t="n">
        <f aca="false">SUM(BZ2:BZ22)</f>
        <v>1.45</v>
      </c>
      <c r="CA49" s="50" t="n">
        <f aca="false">SUM(CA2:CA22)</f>
        <v>1.45</v>
      </c>
      <c r="CB49" s="50" t="n">
        <f aca="false">SUM(CB2:CB22)</f>
        <v>1.8</v>
      </c>
      <c r="CC49" s="50" t="n">
        <f aca="false">SUM(CC2:CC22)</f>
        <v>1.2</v>
      </c>
      <c r="CD49" s="50" t="n">
        <f aca="false">SUM(CD2:CD22)</f>
        <v>1.1</v>
      </c>
      <c r="CE49" s="50" t="n">
        <f aca="false">SUM(CE2:CE22)</f>
        <v>1.5</v>
      </c>
      <c r="CO49" s="49" t="n">
        <f aca="false">CU40*CV41</f>
        <v>2.0364</v>
      </c>
      <c r="CX49" s="50" t="n">
        <f aca="false">CZ49/$CW$2</f>
        <v>0.364846</v>
      </c>
      <c r="CY49" s="0" t="n">
        <v>48</v>
      </c>
      <c r="CZ49" s="0" t="n">
        <v>182423</v>
      </c>
      <c r="DA49" s="58" t="n">
        <f aca="false">CZ49-CZ48</f>
        <v>3801</v>
      </c>
      <c r="DB49" s="50" t="n">
        <f aca="false">CZ49/$CZ$52</f>
        <v>0.945814365855429</v>
      </c>
    </row>
    <row r="50" customFormat="false" ht="15" hidden="false" customHeight="false" outlineLevel="0" collapsed="false">
      <c r="A50" s="43" t="n">
        <v>1914</v>
      </c>
      <c r="B50" s="50" t="n">
        <f aca="false">SUM(B2:B23)</f>
        <v>0.59</v>
      </c>
      <c r="C50" s="50" t="n">
        <f aca="false">SUM(C2:C23)</f>
        <v>0.1</v>
      </c>
      <c r="D50" s="50" t="n">
        <f aca="false">SUM(D2:D23)</f>
        <v>0.6</v>
      </c>
      <c r="E50" s="50" t="n">
        <f aca="false">SUM(E2:E23)</f>
        <v>1.15</v>
      </c>
      <c r="F50" s="50" t="n">
        <f aca="false">SUM(F2:F23)</f>
        <v>1.25</v>
      </c>
      <c r="G50" s="50" t="n">
        <f aca="false">SUM(G2:G23)</f>
        <v>3.45</v>
      </c>
      <c r="H50" s="50" t="n">
        <f aca="false">SUM(H2:H23)</f>
        <v>3.37</v>
      </c>
      <c r="I50" s="52" t="n">
        <f aca="false">SUM(I2:I23)</f>
        <v>1</v>
      </c>
      <c r="J50" s="52" t="n">
        <f aca="false">SUM(J2:J23)</f>
        <v>1</v>
      </c>
      <c r="K50" s="50" t="n">
        <f aca="false">SUM(K2:K23)</f>
        <v>0.91</v>
      </c>
      <c r="L50" s="50" t="n">
        <f aca="false">SUM(L2:L23)</f>
        <v>1.2</v>
      </c>
      <c r="M50" s="50" t="n">
        <f aca="false">SUM(M2:M23)</f>
        <v>2.04</v>
      </c>
      <c r="N50" s="50" t="n">
        <f aca="false">SUM(N2:N23)</f>
        <v>0.8</v>
      </c>
      <c r="O50" s="52" t="n">
        <f aca="false">SUM(O2:O23)</f>
        <v>0.0009</v>
      </c>
      <c r="P50" s="50" t="n">
        <f aca="false">SUM(P2:P23)</f>
        <v>0.7</v>
      </c>
      <c r="Q50" s="50" t="n">
        <f aca="false">SUM(Q2:Q23)</f>
        <v>4.35</v>
      </c>
      <c r="R50" s="56" t="n">
        <f aca="false">SUM(R2:R23)</f>
        <v>5</v>
      </c>
      <c r="S50" s="56" t="n">
        <f aca="false">SUM(S2:S23)</f>
        <v>147</v>
      </c>
      <c r="T50" s="50" t="n">
        <f aca="false">SUM(T2:T23)</f>
        <v>1</v>
      </c>
      <c r="U50" s="54" t="n">
        <f aca="false">SUM(U2:U23)</f>
        <v>0.981</v>
      </c>
      <c r="V50" s="50" t="n">
        <f aca="false">SUM(V2:V23)</f>
        <v>1.7</v>
      </c>
      <c r="W50" s="50" t="n">
        <f aca="false">SUM(W2:W23)</f>
        <v>1.7</v>
      </c>
      <c r="X50" s="50" t="n">
        <f aca="false">SUM(X2:X23)</f>
        <v>1.6</v>
      </c>
      <c r="Y50" s="50" t="n">
        <f aca="false">SUM(Y2:Y23)</f>
        <v>6.15</v>
      </c>
      <c r="Z50" s="50" t="n">
        <f aca="false">SUM(Z2:Z23)</f>
        <v>2.5</v>
      </c>
      <c r="AA50" s="50" t="n">
        <f aca="false">SUM(AA2:AA23)</f>
        <v>2.6</v>
      </c>
      <c r="AB50" s="50" t="n">
        <f aca="false">SUM(AB2:AB23)</f>
        <v>2.5</v>
      </c>
      <c r="AC50" s="50" t="n">
        <f aca="false">SUM(AC2:AC23)</f>
        <v>1.05</v>
      </c>
      <c r="AD50" s="50" t="n">
        <f aca="false">SUM(AD2:AD23)</f>
        <v>4.65</v>
      </c>
      <c r="AE50" s="50" t="n">
        <f aca="false">SUM(AE2:AE23)</f>
        <v>2.5</v>
      </c>
      <c r="AF50" s="50" t="n">
        <f aca="false">SUM(AF2:AF23)</f>
        <v>2.05</v>
      </c>
      <c r="AG50" s="50" t="n">
        <f aca="false">SUM(AG2:AG23)</f>
        <v>1.1</v>
      </c>
      <c r="AH50" s="50" t="n">
        <f aca="false">SUM(AH2:AH23)</f>
        <v>3.75</v>
      </c>
      <c r="AI50" s="50" t="n">
        <f aca="false">SUM(AI2:AI23)</f>
        <v>2</v>
      </c>
      <c r="AJ50" s="50" t="n">
        <f aca="false">SUM(AJ2:AJ23)</f>
        <v>1.1</v>
      </c>
      <c r="AK50" s="50" t="n">
        <f aca="false">SUM(AK2:AK23)</f>
        <v>1.49</v>
      </c>
      <c r="AL50" s="50" t="n">
        <f aca="false">SUM(AL2:AL23)</f>
        <v>1.4</v>
      </c>
      <c r="AM50" s="50" t="n">
        <f aca="false">SUM(AM2:AM23)</f>
        <v>1.05</v>
      </c>
      <c r="AN50" s="50" t="n">
        <f aca="false">SUM(AN2:AN23)</f>
        <v>1.15</v>
      </c>
      <c r="AO50" s="50" t="n">
        <f aca="false">SUM(AO2:AO23)</f>
        <v>1.1</v>
      </c>
      <c r="AP50" s="50" t="n">
        <f aca="false">SUM(AP2:AP23)</f>
        <v>1.3</v>
      </c>
      <c r="AQ50" s="50" t="n">
        <f aca="false">SUM(AQ2:AQ23)</f>
        <v>1.2</v>
      </c>
      <c r="AR50" s="50" t="n">
        <f aca="false">SUM(AR2:AR23)</f>
        <v>1.15</v>
      </c>
      <c r="AS50" s="50" t="n">
        <f aca="false">SUM(AS2:AS23)</f>
        <v>1.4</v>
      </c>
      <c r="AT50" s="50" t="n">
        <f aca="false">SUM(AT2:AT23)</f>
        <v>1.05</v>
      </c>
      <c r="AU50" s="50" t="n">
        <f aca="false">SUM(AU2:AU23)</f>
        <v>1</v>
      </c>
      <c r="AV50" s="50" t="n">
        <f aca="false">SUM(AV2:AV23)</f>
        <v>1.05</v>
      </c>
      <c r="AW50" s="50" t="n">
        <f aca="false">SUM(AW2:AW23)</f>
        <v>1.03</v>
      </c>
      <c r="AX50" s="50" t="n">
        <f aca="false">SUM(AX2:AX23)</f>
        <v>1.01</v>
      </c>
      <c r="AY50" s="50" t="n">
        <f aca="false">SUM(AY2:AY23)</f>
        <v>2.1</v>
      </c>
      <c r="AZ50" s="50" t="n">
        <f aca="false">SUM(AZ2:AZ23)</f>
        <v>2.05</v>
      </c>
      <c r="BA50" s="50" t="n">
        <f aca="false">SUM(BA2:BA23)</f>
        <v>1.45</v>
      </c>
      <c r="BB50" s="50" t="n">
        <f aca="false">SUM(BB2:BB23)</f>
        <v>1.35</v>
      </c>
      <c r="BC50" s="50" t="n">
        <f aca="false">SUM(BC2:BC23)</f>
        <v>1.1</v>
      </c>
      <c r="BD50" s="50" t="n">
        <f aca="false">SUM(BD2:BD23)</f>
        <v>3.1</v>
      </c>
      <c r="BE50" s="50" t="n">
        <f aca="false">SUM(BE2:BE23)</f>
        <v>2.85</v>
      </c>
      <c r="BF50" s="50" t="n">
        <f aca="false">SUM(BF2:BF23)</f>
        <v>3.45</v>
      </c>
      <c r="BG50" s="50" t="n">
        <f aca="false">SUM(BG2:BG23)</f>
        <v>1.2</v>
      </c>
      <c r="BH50" s="50" t="n">
        <f aca="false">SUM(BH2:BH23)</f>
        <v>1.09</v>
      </c>
      <c r="BI50" s="50" t="n">
        <f aca="false">SUM(BI2:BI23)</f>
        <v>1.55</v>
      </c>
      <c r="BJ50" s="50" t="n">
        <f aca="false">SUM(BJ2:BJ23)</f>
        <v>1.05</v>
      </c>
      <c r="BK50" s="50" t="n">
        <f aca="false">SUM(BK2:BK23)</f>
        <v>1.1</v>
      </c>
      <c r="BL50" s="50" t="n">
        <f aca="false">SUM(BL2:BL23)</f>
        <v>2</v>
      </c>
      <c r="BM50" s="50" t="n">
        <f aca="false">SUM(BM2:BM23)</f>
        <v>1.02</v>
      </c>
      <c r="BN50" s="50" t="n">
        <f aca="false">SUM(BN2:BN23)</f>
        <v>1.02</v>
      </c>
      <c r="BO50" s="50" t="n">
        <f aca="false">SUM(BO2:BO23)</f>
        <v>1.06</v>
      </c>
      <c r="BP50" s="50" t="n">
        <f aca="false">SUM(BP2:BP23)</f>
        <v>1.03</v>
      </c>
      <c r="BQ50" s="50" t="n">
        <f aca="false">SUM(BQ2:BQ23)</f>
        <v>1.03</v>
      </c>
      <c r="BR50" s="50" t="n">
        <f aca="false">SUM(BR2:BR23)</f>
        <v>1.23</v>
      </c>
      <c r="BS50" s="50" t="n">
        <f aca="false">SUM(BS2:BS23)</f>
        <v>1.05</v>
      </c>
      <c r="BT50" s="50" t="n">
        <f aca="false">SUM(BT2:BT23)</f>
        <v>1.22</v>
      </c>
      <c r="BU50" s="50" t="n">
        <f aca="false">SUM(BU2:BU23)</f>
        <v>1.07</v>
      </c>
      <c r="BV50" s="50" t="n">
        <f aca="false">SUM(BV2:BV23)</f>
        <v>1.03</v>
      </c>
      <c r="BW50" s="50" t="n">
        <f aca="false">SUM(BW2:BW23)</f>
        <v>1</v>
      </c>
      <c r="BX50" s="50" t="n">
        <f aca="false">SUM(BX2:BX23)</f>
        <v>2.6</v>
      </c>
      <c r="BY50" s="50" t="n">
        <f aca="false">SUM(BY2:BY23)</f>
        <v>1.55</v>
      </c>
      <c r="BZ50" s="50" t="n">
        <f aca="false">SUM(BZ2:BZ23)</f>
        <v>1.45</v>
      </c>
      <c r="CA50" s="50" t="n">
        <f aca="false">SUM(CA2:CA23)</f>
        <v>1.45</v>
      </c>
      <c r="CB50" s="50" t="n">
        <f aca="false">SUM(CB2:CB23)</f>
        <v>1.8</v>
      </c>
      <c r="CC50" s="50" t="n">
        <f aca="false">SUM(CC2:CC23)</f>
        <v>1.2</v>
      </c>
      <c r="CD50" s="50" t="n">
        <f aca="false">SUM(CD2:CD23)</f>
        <v>1.1</v>
      </c>
      <c r="CE50" s="50" t="n">
        <f aca="false">SUM(CE2:CE23)</f>
        <v>1.5</v>
      </c>
      <c r="CO50" s="49" t="n">
        <f aca="false">CV40*CU41</f>
        <v>3.39395</v>
      </c>
      <c r="CT50" s="0" t="n">
        <v>13.576</v>
      </c>
      <c r="CX50" s="50" t="n">
        <f aca="false">CZ50/$CW$2</f>
        <v>0.372446</v>
      </c>
      <c r="CY50" s="0" t="n">
        <v>49</v>
      </c>
      <c r="CZ50" s="0" t="n">
        <v>186223</v>
      </c>
      <c r="DA50" s="58" t="n">
        <f aca="false">CZ50-CZ49</f>
        <v>3800</v>
      </c>
      <c r="DB50" s="50" t="n">
        <f aca="false">CZ50/$CZ$52</f>
        <v>0.96551634746</v>
      </c>
    </row>
    <row r="51" customFormat="false" ht="15" hidden="false" customHeight="false" outlineLevel="0" collapsed="false">
      <c r="A51" s="43" t="n">
        <v>1915</v>
      </c>
      <c r="B51" s="50" t="n">
        <f aca="false">SUM(B2:B24)</f>
        <v>0.59</v>
      </c>
      <c r="C51" s="50" t="n">
        <f aca="false">SUM(C2:C24)</f>
        <v>0.1</v>
      </c>
      <c r="D51" s="50" t="n">
        <f aca="false">SUM(D2:D24)</f>
        <v>0.6</v>
      </c>
      <c r="E51" s="50" t="n">
        <f aca="false">SUM(E2:E24)</f>
        <v>1.15</v>
      </c>
      <c r="F51" s="50" t="n">
        <f aca="false">SUM(F2:F24)</f>
        <v>1.25</v>
      </c>
      <c r="G51" s="50" t="n">
        <f aca="false">SUM(G2:G24)</f>
        <v>3.45</v>
      </c>
      <c r="H51" s="50" t="n">
        <f aca="false">SUM(H2:H24)</f>
        <v>3.37</v>
      </c>
      <c r="I51" s="52" t="n">
        <f aca="false">SUM(I2:I24)</f>
        <v>1</v>
      </c>
      <c r="J51" s="52" t="n">
        <f aca="false">SUM(J2:J24)</f>
        <v>1</v>
      </c>
      <c r="K51" s="50" t="n">
        <f aca="false">SUM(K2:K24)</f>
        <v>0.91</v>
      </c>
      <c r="L51" s="50" t="n">
        <f aca="false">SUM(L2:L24)</f>
        <v>1.2</v>
      </c>
      <c r="M51" s="50" t="n">
        <f aca="false">SUM(M2:M24)</f>
        <v>2.04</v>
      </c>
      <c r="N51" s="50" t="n">
        <f aca="false">SUM(N2:N24)</f>
        <v>0.8</v>
      </c>
      <c r="O51" s="52" t="n">
        <f aca="false">SUM(O2:O24)</f>
        <v>0.0009</v>
      </c>
      <c r="P51" s="50" t="n">
        <f aca="false">SUM(P2:P24)</f>
        <v>0.7</v>
      </c>
      <c r="Q51" s="50" t="n">
        <f aca="false">SUM(Q2:Q24)</f>
        <v>4.35</v>
      </c>
      <c r="R51" s="56" t="n">
        <f aca="false">SUM(R2:R24)</f>
        <v>6</v>
      </c>
      <c r="S51" s="56" t="n">
        <f aca="false">SUM(S2:S24)</f>
        <v>147</v>
      </c>
      <c r="T51" s="50" t="n">
        <f aca="false">SUM(T2:T24)</f>
        <v>1</v>
      </c>
      <c r="U51" s="54" t="n">
        <f aca="false">SUM(U2:U24)</f>
        <v>0.981</v>
      </c>
      <c r="V51" s="50" t="n">
        <f aca="false">SUM(V2:V24)</f>
        <v>1.7</v>
      </c>
      <c r="W51" s="50" t="n">
        <f aca="false">SUM(W2:W24)</f>
        <v>1.7</v>
      </c>
      <c r="X51" s="50" t="n">
        <f aca="false">SUM(X2:X24)</f>
        <v>1.6</v>
      </c>
      <c r="Y51" s="50" t="n">
        <f aca="false">SUM(Y2:Y24)</f>
        <v>6.15</v>
      </c>
      <c r="Z51" s="50" t="n">
        <f aca="false">SUM(Z2:Z24)</f>
        <v>2.5</v>
      </c>
      <c r="AA51" s="50" t="n">
        <f aca="false">SUM(AA2:AA24)</f>
        <v>2.6</v>
      </c>
      <c r="AB51" s="50" t="n">
        <f aca="false">SUM(AB2:AB24)</f>
        <v>2.5</v>
      </c>
      <c r="AC51" s="50" t="n">
        <f aca="false">SUM(AC2:AC24)</f>
        <v>1.05</v>
      </c>
      <c r="AD51" s="50" t="n">
        <f aca="false">SUM(AD2:AD24)</f>
        <v>4.65</v>
      </c>
      <c r="AE51" s="50" t="n">
        <f aca="false">SUM(AE2:AE24)</f>
        <v>2.5</v>
      </c>
      <c r="AF51" s="50" t="n">
        <f aca="false">SUM(AF2:AF24)</f>
        <v>2.05</v>
      </c>
      <c r="AG51" s="50" t="n">
        <f aca="false">SUM(AG2:AG24)</f>
        <v>1.1</v>
      </c>
      <c r="AH51" s="50" t="n">
        <f aca="false">SUM(AH2:AH24)</f>
        <v>3.75</v>
      </c>
      <c r="AI51" s="50" t="n">
        <f aca="false">SUM(AI2:AI24)</f>
        <v>2</v>
      </c>
      <c r="AJ51" s="50" t="n">
        <f aca="false">SUM(AJ2:AJ24)</f>
        <v>1.1</v>
      </c>
      <c r="AK51" s="50" t="n">
        <f aca="false">SUM(AK2:AK24)</f>
        <v>1.49</v>
      </c>
      <c r="AL51" s="50" t="n">
        <f aca="false">SUM(AL2:AL24)</f>
        <v>1.4</v>
      </c>
      <c r="AM51" s="50" t="n">
        <f aca="false">SUM(AM2:AM24)</f>
        <v>1.05</v>
      </c>
      <c r="AN51" s="50" t="n">
        <f aca="false">SUM(AN2:AN24)</f>
        <v>1.15</v>
      </c>
      <c r="AO51" s="50" t="n">
        <f aca="false">SUM(AO2:AO24)</f>
        <v>1.1</v>
      </c>
      <c r="AP51" s="50" t="n">
        <f aca="false">SUM(AP2:AP24)</f>
        <v>1.3</v>
      </c>
      <c r="AQ51" s="50" t="n">
        <f aca="false">SUM(AQ2:AQ24)</f>
        <v>1.2</v>
      </c>
      <c r="AR51" s="50" t="n">
        <f aca="false">SUM(AR2:AR24)</f>
        <v>1.15</v>
      </c>
      <c r="AS51" s="50" t="n">
        <f aca="false">SUM(AS2:AS24)</f>
        <v>1.4</v>
      </c>
      <c r="AT51" s="50" t="n">
        <f aca="false">SUM(AT2:AT24)</f>
        <v>1.05</v>
      </c>
      <c r="AU51" s="50" t="n">
        <f aca="false">SUM(AU2:AU24)</f>
        <v>1</v>
      </c>
      <c r="AV51" s="50" t="n">
        <f aca="false">SUM(AV2:AV24)</f>
        <v>1.05</v>
      </c>
      <c r="AW51" s="50" t="n">
        <f aca="false">SUM(AW2:AW24)</f>
        <v>1.03</v>
      </c>
      <c r="AX51" s="50" t="n">
        <f aca="false">SUM(AX2:AX24)</f>
        <v>1.01</v>
      </c>
      <c r="AY51" s="50" t="n">
        <f aca="false">SUM(AY2:AY24)</f>
        <v>2.1</v>
      </c>
      <c r="AZ51" s="50" t="n">
        <f aca="false">SUM(AZ2:AZ24)</f>
        <v>2.05</v>
      </c>
      <c r="BA51" s="50" t="n">
        <f aca="false">SUM(BA2:BA24)</f>
        <v>1.45</v>
      </c>
      <c r="BB51" s="50" t="n">
        <f aca="false">SUM(BB2:BB24)</f>
        <v>1.35</v>
      </c>
      <c r="BC51" s="50" t="n">
        <f aca="false">SUM(BC2:BC24)</f>
        <v>1.1</v>
      </c>
      <c r="BD51" s="50" t="n">
        <f aca="false">SUM(BD2:BD24)</f>
        <v>3.1</v>
      </c>
      <c r="BE51" s="50" t="n">
        <f aca="false">SUM(BE2:BE24)</f>
        <v>2.85</v>
      </c>
      <c r="BF51" s="50" t="n">
        <f aca="false">SUM(BF2:BF24)</f>
        <v>3.45</v>
      </c>
      <c r="BG51" s="50" t="n">
        <f aca="false">SUM(BG2:BG24)</f>
        <v>1.2</v>
      </c>
      <c r="BH51" s="50" t="n">
        <f aca="false">SUM(BH2:BH24)</f>
        <v>1.09</v>
      </c>
      <c r="BI51" s="50" t="n">
        <f aca="false">SUM(BI2:BI24)</f>
        <v>1.55</v>
      </c>
      <c r="BJ51" s="50" t="n">
        <f aca="false">SUM(BJ2:BJ24)</f>
        <v>1.05</v>
      </c>
      <c r="BK51" s="50" t="n">
        <f aca="false">SUM(BK2:BK24)</f>
        <v>1.1</v>
      </c>
      <c r="BL51" s="50" t="n">
        <f aca="false">SUM(BL2:BL24)</f>
        <v>2</v>
      </c>
      <c r="BM51" s="50" t="n">
        <f aca="false">SUM(BM2:BM24)</f>
        <v>1.02</v>
      </c>
      <c r="BN51" s="50" t="n">
        <f aca="false">SUM(BN2:BN24)</f>
        <v>1.02</v>
      </c>
      <c r="BO51" s="50" t="n">
        <f aca="false">SUM(BO2:BO24)</f>
        <v>1.06</v>
      </c>
      <c r="BP51" s="50" t="n">
        <f aca="false">SUM(BP2:BP24)</f>
        <v>1.03</v>
      </c>
      <c r="BQ51" s="50" t="n">
        <f aca="false">SUM(BQ2:BQ24)</f>
        <v>1.03</v>
      </c>
      <c r="BR51" s="50" t="n">
        <f aca="false">SUM(BR2:BR24)</f>
        <v>1.23</v>
      </c>
      <c r="BS51" s="50" t="n">
        <f aca="false">SUM(BS2:BS24)</f>
        <v>1.05</v>
      </c>
      <c r="BT51" s="50" t="n">
        <f aca="false">SUM(BT2:BT24)</f>
        <v>1.22</v>
      </c>
      <c r="BU51" s="50" t="n">
        <f aca="false">SUM(BU2:BU24)</f>
        <v>1.07</v>
      </c>
      <c r="BV51" s="50" t="n">
        <f aca="false">SUM(BV2:BV24)</f>
        <v>1.03</v>
      </c>
      <c r="BW51" s="50" t="n">
        <f aca="false">SUM(BW2:BW24)</f>
        <v>1</v>
      </c>
      <c r="BX51" s="50" t="n">
        <f aca="false">SUM(BX2:BX24)</f>
        <v>2.6</v>
      </c>
      <c r="BY51" s="50" t="n">
        <f aca="false">SUM(BY2:BY24)</f>
        <v>1.55</v>
      </c>
      <c r="BZ51" s="50" t="n">
        <f aca="false">SUM(BZ2:BZ24)</f>
        <v>1.45</v>
      </c>
      <c r="CA51" s="50" t="n">
        <f aca="false">SUM(CA2:CA24)</f>
        <v>1.45</v>
      </c>
      <c r="CB51" s="50" t="n">
        <f aca="false">SUM(CB2:CB24)</f>
        <v>1.8</v>
      </c>
      <c r="CC51" s="50" t="n">
        <f aca="false">SUM(CC2:CC24)</f>
        <v>1.2</v>
      </c>
      <c r="CD51" s="50" t="n">
        <f aca="false">SUM(CD2:CD24)</f>
        <v>1.1</v>
      </c>
      <c r="CE51" s="50" t="n">
        <f aca="false">SUM(CE2:CE24)</f>
        <v>1.5</v>
      </c>
      <c r="CT51" s="0" t="n">
        <v>9.697</v>
      </c>
      <c r="CU51" s="49" t="n">
        <f aca="false">CT51*CT52</f>
        <v>1.45455</v>
      </c>
      <c r="CX51" s="50" t="n">
        <f aca="false">CZ51/$CW$2</f>
        <v>0.380048</v>
      </c>
      <c r="CY51" s="0" t="n">
        <v>50</v>
      </c>
      <c r="CZ51" s="0" t="n">
        <v>190024</v>
      </c>
      <c r="DA51" s="58" t="n">
        <f aca="false">CZ51-CZ50</f>
        <v>3801</v>
      </c>
      <c r="DB51" s="50" t="n">
        <f aca="false">CZ51/$CZ$52</f>
        <v>0.985223513796572</v>
      </c>
    </row>
    <row r="52" customFormat="false" ht="15" hidden="false" customHeight="false" outlineLevel="0" collapsed="false">
      <c r="A52" s="43" t="n">
        <v>1919</v>
      </c>
      <c r="B52" s="50" t="n">
        <f aca="false">SUM(B2:B25)</f>
        <v>0.64</v>
      </c>
      <c r="C52" s="50" t="n">
        <f aca="false">SUM(C2:C25)</f>
        <v>0.1</v>
      </c>
      <c r="D52" s="50" t="n">
        <f aca="false">SUM(D2:D25)</f>
        <v>0.6</v>
      </c>
      <c r="E52" s="50" t="n">
        <f aca="false">SUM(E2:E25)</f>
        <v>1.15</v>
      </c>
      <c r="F52" s="50" t="n">
        <f aca="false">SUM(F2:F25)</f>
        <v>1.25</v>
      </c>
      <c r="G52" s="50" t="n">
        <f aca="false">SUM(G2:G25)</f>
        <v>3.45</v>
      </c>
      <c r="H52" s="50" t="n">
        <f aca="false">SUM(H2:H25)</f>
        <v>3.37</v>
      </c>
      <c r="I52" s="52" t="n">
        <f aca="false">SUM(I2:I25)</f>
        <v>1</v>
      </c>
      <c r="J52" s="52" t="n">
        <f aca="false">SUM(J2:J25)</f>
        <v>1</v>
      </c>
      <c r="K52" s="50" t="n">
        <f aca="false">SUM(K2:K25)</f>
        <v>0.91</v>
      </c>
      <c r="L52" s="50" t="n">
        <f aca="false">SUM(L2:L25)</f>
        <v>1.2</v>
      </c>
      <c r="M52" s="50" t="n">
        <f aca="false">SUM(M2:M25)</f>
        <v>2.04</v>
      </c>
      <c r="N52" s="50" t="n">
        <f aca="false">SUM(N2:N25)</f>
        <v>0.79</v>
      </c>
      <c r="O52" s="52" t="n">
        <f aca="false">SUM(O2:O25)</f>
        <v>0.0009</v>
      </c>
      <c r="P52" s="50" t="n">
        <f aca="false">SUM(P2:P25)</f>
        <v>0.7</v>
      </c>
      <c r="Q52" s="50" t="n">
        <f aca="false">SUM(Q2:Q25)</f>
        <v>4.15</v>
      </c>
      <c r="R52" s="56" t="n">
        <f aca="false">SUM(R2:R25)</f>
        <v>6</v>
      </c>
      <c r="S52" s="56" t="n">
        <f aca="false">SUM(S2:S25)</f>
        <v>147</v>
      </c>
      <c r="T52" s="50" t="n">
        <f aca="false">SUM(T2:T25)</f>
        <v>1</v>
      </c>
      <c r="U52" s="54" t="n">
        <f aca="false">SUM(U2:U25)</f>
        <v>0.981</v>
      </c>
      <c r="V52" s="50" t="n">
        <f aca="false">SUM(V2:V25)</f>
        <v>1.7</v>
      </c>
      <c r="W52" s="50" t="n">
        <f aca="false">SUM(W2:W25)</f>
        <v>1.7</v>
      </c>
      <c r="X52" s="50" t="n">
        <f aca="false">SUM(X2:X25)</f>
        <v>1.6</v>
      </c>
      <c r="Y52" s="50" t="n">
        <f aca="false">SUM(Y2:Y25)</f>
        <v>6.15</v>
      </c>
      <c r="Z52" s="50" t="n">
        <f aca="false">SUM(Z2:Z25)</f>
        <v>2.5</v>
      </c>
      <c r="AA52" s="50" t="n">
        <f aca="false">SUM(AA2:AA25)</f>
        <v>2.6</v>
      </c>
      <c r="AB52" s="50" t="n">
        <f aca="false">SUM(AB2:AB25)</f>
        <v>2.5</v>
      </c>
      <c r="AC52" s="50" t="n">
        <f aca="false">SUM(AC2:AC25)</f>
        <v>1.05</v>
      </c>
      <c r="AD52" s="50" t="n">
        <f aca="false">SUM(AD2:AD25)</f>
        <v>4.65</v>
      </c>
      <c r="AE52" s="50" t="n">
        <f aca="false">SUM(AE2:AE25)</f>
        <v>2.5</v>
      </c>
      <c r="AF52" s="50" t="n">
        <f aca="false">SUM(AF2:AF25)</f>
        <v>2.05</v>
      </c>
      <c r="AG52" s="50" t="n">
        <f aca="false">SUM(AG2:AG25)</f>
        <v>1.1</v>
      </c>
      <c r="AH52" s="50" t="n">
        <f aca="false">SUM(AH2:AH25)</f>
        <v>3.75</v>
      </c>
      <c r="AI52" s="50" t="n">
        <f aca="false">SUM(AI2:AI25)</f>
        <v>2</v>
      </c>
      <c r="AJ52" s="50" t="n">
        <f aca="false">SUM(AJ2:AJ25)</f>
        <v>1.1</v>
      </c>
      <c r="AK52" s="50" t="n">
        <f aca="false">SUM(AK2:AK25)</f>
        <v>1.49</v>
      </c>
      <c r="AL52" s="50" t="n">
        <f aca="false">SUM(AL2:AL25)</f>
        <v>1.4</v>
      </c>
      <c r="AM52" s="50" t="n">
        <f aca="false">SUM(AM2:AM25)</f>
        <v>1.05</v>
      </c>
      <c r="AN52" s="50" t="n">
        <f aca="false">SUM(AN2:AN25)</f>
        <v>1.15</v>
      </c>
      <c r="AO52" s="50" t="n">
        <f aca="false">SUM(AO2:AO25)</f>
        <v>1.1</v>
      </c>
      <c r="AP52" s="50" t="n">
        <f aca="false">SUM(AP2:AP25)</f>
        <v>1.3</v>
      </c>
      <c r="AQ52" s="50" t="n">
        <f aca="false">SUM(AQ2:AQ25)</f>
        <v>1.2</v>
      </c>
      <c r="AR52" s="50" t="n">
        <f aca="false">SUM(AR2:AR25)</f>
        <v>1.15</v>
      </c>
      <c r="AS52" s="50" t="n">
        <f aca="false">SUM(AS2:AS25)</f>
        <v>1.4</v>
      </c>
      <c r="AT52" s="50" t="n">
        <f aca="false">SUM(AT2:AT25)</f>
        <v>1.05</v>
      </c>
      <c r="AU52" s="50" t="n">
        <f aca="false">SUM(AU2:AU25)</f>
        <v>1</v>
      </c>
      <c r="AV52" s="50" t="n">
        <f aca="false">SUM(AV2:AV25)</f>
        <v>1.05</v>
      </c>
      <c r="AW52" s="50" t="n">
        <f aca="false">SUM(AW2:AW25)</f>
        <v>1.03</v>
      </c>
      <c r="AX52" s="50" t="n">
        <f aca="false">SUM(AX2:AX25)</f>
        <v>1.01</v>
      </c>
      <c r="AY52" s="50" t="n">
        <f aca="false">SUM(AY2:AY25)</f>
        <v>2.1</v>
      </c>
      <c r="AZ52" s="50" t="n">
        <f aca="false">SUM(AZ2:AZ25)</f>
        <v>2.05</v>
      </c>
      <c r="BA52" s="50" t="n">
        <f aca="false">SUM(BA2:BA25)</f>
        <v>1.45</v>
      </c>
      <c r="BB52" s="50" t="n">
        <f aca="false">SUM(BB2:BB25)</f>
        <v>1.35</v>
      </c>
      <c r="BC52" s="50" t="n">
        <f aca="false">SUM(BC2:BC25)</f>
        <v>1.1</v>
      </c>
      <c r="BD52" s="50" t="n">
        <f aca="false">SUM(BD2:BD25)</f>
        <v>3.1</v>
      </c>
      <c r="BE52" s="50" t="n">
        <f aca="false">SUM(BE2:BE25)</f>
        <v>2.85</v>
      </c>
      <c r="BF52" s="50" t="n">
        <f aca="false">SUM(BF2:BF25)</f>
        <v>3.45</v>
      </c>
      <c r="BG52" s="50" t="n">
        <f aca="false">SUM(BG2:BG25)</f>
        <v>1.2</v>
      </c>
      <c r="BH52" s="50" t="n">
        <f aca="false">SUM(BH2:BH25)</f>
        <v>1.09</v>
      </c>
      <c r="BI52" s="50" t="n">
        <f aca="false">SUM(BI2:BI25)</f>
        <v>1.55</v>
      </c>
      <c r="BJ52" s="50" t="n">
        <f aca="false">SUM(BJ2:BJ25)</f>
        <v>1.05</v>
      </c>
      <c r="BK52" s="50" t="n">
        <f aca="false">SUM(BK2:BK25)</f>
        <v>1.1</v>
      </c>
      <c r="BL52" s="50" t="n">
        <f aca="false">SUM(BL2:BL25)</f>
        <v>2</v>
      </c>
      <c r="BM52" s="50" t="n">
        <f aca="false">SUM(BM2:BM25)</f>
        <v>1.02</v>
      </c>
      <c r="BN52" s="50" t="n">
        <f aca="false">SUM(BN2:BN25)</f>
        <v>1.02</v>
      </c>
      <c r="BO52" s="50" t="n">
        <f aca="false">SUM(BO2:BO25)</f>
        <v>1.06</v>
      </c>
      <c r="BP52" s="50" t="n">
        <f aca="false">SUM(BP2:BP25)</f>
        <v>1.03</v>
      </c>
      <c r="BQ52" s="50" t="n">
        <f aca="false">SUM(BQ2:BQ25)</f>
        <v>1.03</v>
      </c>
      <c r="BR52" s="50" t="n">
        <f aca="false">SUM(BR2:BR25)</f>
        <v>1.23</v>
      </c>
      <c r="BS52" s="50" t="n">
        <f aca="false">SUM(BS2:BS25)</f>
        <v>1.05</v>
      </c>
      <c r="BT52" s="50" t="n">
        <f aca="false">SUM(BT2:BT25)</f>
        <v>1.22</v>
      </c>
      <c r="BU52" s="50" t="n">
        <f aca="false">SUM(BU2:BU25)</f>
        <v>1.07</v>
      </c>
      <c r="BV52" s="50" t="n">
        <f aca="false">SUM(BV2:BV25)</f>
        <v>1.03</v>
      </c>
      <c r="BW52" s="50" t="n">
        <f aca="false">SUM(BW2:BW25)</f>
        <v>1</v>
      </c>
      <c r="BX52" s="50" t="n">
        <f aca="false">SUM(BX2:BX25)</f>
        <v>2.6</v>
      </c>
      <c r="BY52" s="50" t="n">
        <f aca="false">SUM(BY2:BY25)</f>
        <v>1.55</v>
      </c>
      <c r="BZ52" s="50" t="n">
        <f aca="false">SUM(BZ2:BZ25)</f>
        <v>1.45</v>
      </c>
      <c r="CA52" s="50" t="n">
        <f aca="false">SUM(CA2:CA25)</f>
        <v>1.45</v>
      </c>
      <c r="CB52" s="50" t="n">
        <f aca="false">SUM(CB2:CB25)</f>
        <v>1.8</v>
      </c>
      <c r="CC52" s="50" t="n">
        <f aca="false">SUM(CC2:CC25)</f>
        <v>1.2</v>
      </c>
      <c r="CD52" s="50" t="n">
        <f aca="false">SUM(CD2:CD25)</f>
        <v>1.1</v>
      </c>
      <c r="CE52" s="50" t="n">
        <f aca="false">SUM(CE2:CE25)</f>
        <v>1.5</v>
      </c>
      <c r="CO52" s="49" t="n">
        <f aca="false">CO49/CO50</f>
        <v>0.600008839258092</v>
      </c>
      <c r="CT52" s="0" t="n">
        <v>0.15</v>
      </c>
      <c r="CX52" s="52" t="n">
        <f aca="false">CZ52/$CW$2</f>
        <v>0.385748</v>
      </c>
      <c r="CY52" s="0" t="n">
        <v>51</v>
      </c>
      <c r="CZ52" s="0" t="n">
        <v>192874</v>
      </c>
      <c r="DA52" s="58" t="n">
        <f aca="false">CZ52-CZ51</f>
        <v>2850</v>
      </c>
      <c r="DB52" s="50" t="n">
        <f aca="false">CZ52/$CZ$52</f>
        <v>1</v>
      </c>
    </row>
    <row r="54" customFormat="false" ht="15" hidden="false" customHeight="false" outlineLevel="0" collapsed="false">
      <c r="CP54" s="49" t="s">
        <v>304</v>
      </c>
      <c r="CQ54" s="49" t="s">
        <v>305</v>
      </c>
      <c r="CR54" s="49" t="s">
        <v>306</v>
      </c>
      <c r="CX54" s="50" t="n">
        <f aca="false">CZ54/CZ52</f>
        <v>1.08336012111534</v>
      </c>
      <c r="CZ54" s="0" t="n">
        <v>208952</v>
      </c>
    </row>
    <row r="55" customFormat="false" ht="15" hidden="false" customHeight="false" outlineLevel="0" collapsed="false">
      <c r="A55" s="43" t="s">
        <v>0</v>
      </c>
      <c r="B55" s="41" t="s">
        <v>307</v>
      </c>
      <c r="C55" s="43" t="s">
        <v>70</v>
      </c>
      <c r="D55" s="43" t="s">
        <v>308</v>
      </c>
      <c r="E55" s="43" t="s">
        <v>309</v>
      </c>
      <c r="F55" s="43" t="s">
        <v>310</v>
      </c>
      <c r="G55" s="43" t="s">
        <v>311</v>
      </c>
      <c r="H55" s="41" t="s">
        <v>217</v>
      </c>
      <c r="I55" s="41" t="s">
        <v>218</v>
      </c>
      <c r="J55" s="61" t="s">
        <v>312</v>
      </c>
      <c r="K55" s="43" t="s">
        <v>85</v>
      </c>
      <c r="L55" s="61" t="s">
        <v>225</v>
      </c>
      <c r="CP55" s="0" t="n">
        <v>16258</v>
      </c>
      <c r="CQ55" s="0" t="n">
        <v>0.3</v>
      </c>
      <c r="CR55" s="0" t="n">
        <v>4.751</v>
      </c>
      <c r="CS55" s="49" t="n">
        <f aca="false">CR55/CQ55</f>
        <v>15.8366666666667</v>
      </c>
    </row>
    <row r="56" customFormat="false" ht="15" hidden="false" customHeight="false" outlineLevel="0" collapsed="false">
      <c r="A56" s="45" t="s">
        <v>294</v>
      </c>
      <c r="B56" s="45" t="s">
        <v>163</v>
      </c>
      <c r="C56" s="63" t="n">
        <v>100000</v>
      </c>
      <c r="D56" s="41" t="s">
        <v>58</v>
      </c>
      <c r="E56" s="45" t="s">
        <v>58</v>
      </c>
      <c r="F56" s="45" t="s">
        <v>58</v>
      </c>
      <c r="G56" s="45" t="s">
        <v>58</v>
      </c>
      <c r="H56" s="61" t="n">
        <f aca="false">VLOOKUP($A$56,$A$28:$CE$52,5,0)+INDEX($A$28:$CE$52, MATCH(A56, $A$28:$A$52, 0), MATCH(B56 &amp; " Output", $A$28:$CE$28, 0))+IF(VLOOKUP(B56,B65:C92,2,0)="Mine",VLOOKUP(A56,$A$28:$CE$52,7,0),VLOOKUP(A56,$A$28:$CE$52,8,0))-3</f>
        <v>0.85</v>
      </c>
      <c r="I56" s="41" t="n">
        <f aca="false">VLOOKUP(A56,$A$28:$CE$52,6,0)-1</f>
        <v>0.25</v>
      </c>
      <c r="J56" s="41" t="n">
        <f aca="false">VLOOKUP($A$56,$A$28:$CE$52,5,0)+INDEX($A$28:$CE$52, MATCH(A56, $A$28:$A$52, 0), MATCH(B56 &amp; " Size", $A$28:$CE$28, 0))</f>
        <v>2</v>
      </c>
      <c r="K56" s="64" t="n">
        <f aca="false">VLOOKUP(A56,$A$28:$CE$52,15,0)</f>
        <v>0.0005</v>
      </c>
      <c r="L56" s="41" t="n">
        <f aca="false">VLOOKUP(A56,$A$28:$CE$52,16,0)-1</f>
        <v>-0.1</v>
      </c>
      <c r="CQ56" s="49" t="n">
        <f aca="false">CP55/CQ55</f>
        <v>54193.3333333333</v>
      </c>
      <c r="CR56" s="65" t="n">
        <f aca="false">CR55/CQ56</f>
        <v>8.76676097921024E-005</v>
      </c>
    </row>
    <row r="58" customFormat="false" ht="15" hidden="false" customHeight="false" outlineLevel="0" collapsed="false">
      <c r="CQ58" s="58"/>
    </row>
    <row r="59" customFormat="false" ht="15" hidden="false" customHeight="false" outlineLevel="0" collapsed="false">
      <c r="CP59" s="49" t="s">
        <v>304</v>
      </c>
      <c r="CQ59" s="49" t="s">
        <v>305</v>
      </c>
      <c r="CR59" s="49" t="s">
        <v>306</v>
      </c>
    </row>
    <row r="60" customFormat="false" ht="15" hidden="false" customHeight="false" outlineLevel="0" collapsed="false">
      <c r="CP60" s="0" t="n">
        <v>98168</v>
      </c>
      <c r="CQ60" s="0" t="n">
        <v>0.5</v>
      </c>
      <c r="CR60" s="49" t="n">
        <f aca="false">CP60*CQ60/1000</f>
        <v>49.084</v>
      </c>
    </row>
    <row r="64" customFormat="false" ht="15" hidden="false" customHeight="false" outlineLevel="0" collapsed="false">
      <c r="B64" s="66" t="s">
        <v>307</v>
      </c>
      <c r="C64" s="67" t="s">
        <v>313</v>
      </c>
    </row>
    <row r="65" customFormat="false" ht="15" hidden="false" customHeight="false" outlineLevel="0" collapsed="false">
      <c r="B65" s="68" t="s">
        <v>148</v>
      </c>
      <c r="C65" s="41" t="s">
        <v>314</v>
      </c>
    </row>
    <row r="66" customFormat="false" ht="15" hidden="false" customHeight="false" outlineLevel="0" collapsed="false">
      <c r="B66" s="68" t="s">
        <v>150</v>
      </c>
      <c r="C66" s="41" t="s">
        <v>314</v>
      </c>
    </row>
    <row r="67" customFormat="false" ht="15" hidden="false" customHeight="false" outlineLevel="0" collapsed="false">
      <c r="B67" s="68" t="s">
        <v>152</v>
      </c>
      <c r="C67" s="41" t="s">
        <v>314</v>
      </c>
    </row>
    <row r="68" customFormat="false" ht="15" hidden="false" customHeight="false" outlineLevel="0" collapsed="false">
      <c r="B68" s="68" t="s">
        <v>153</v>
      </c>
      <c r="C68" s="41" t="s">
        <v>314</v>
      </c>
    </row>
    <row r="69" customFormat="false" ht="15" hidden="false" customHeight="false" outlineLevel="0" collapsed="false">
      <c r="B69" s="68" t="s">
        <v>154</v>
      </c>
      <c r="C69" s="41" t="s">
        <v>314</v>
      </c>
    </row>
    <row r="70" customFormat="false" ht="15" hidden="false" customHeight="false" outlineLevel="0" collapsed="false">
      <c r="B70" s="68" t="s">
        <v>155</v>
      </c>
      <c r="C70" s="41" t="s">
        <v>314</v>
      </c>
    </row>
    <row r="71" customFormat="false" ht="15" hidden="false" customHeight="false" outlineLevel="0" collapsed="false">
      <c r="B71" s="68" t="s">
        <v>156</v>
      </c>
      <c r="C71" s="41" t="s">
        <v>315</v>
      </c>
    </row>
    <row r="72" customFormat="false" ht="15" hidden="false" customHeight="false" outlineLevel="0" collapsed="false">
      <c r="B72" s="68" t="s">
        <v>157</v>
      </c>
      <c r="C72" s="41" t="s">
        <v>315</v>
      </c>
    </row>
    <row r="73" customFormat="false" ht="15" hidden="false" customHeight="false" outlineLevel="0" collapsed="false">
      <c r="B73" s="68" t="s">
        <v>158</v>
      </c>
      <c r="C73" s="41" t="s">
        <v>314</v>
      </c>
    </row>
    <row r="74" customFormat="false" ht="15" hidden="false" customHeight="false" outlineLevel="0" collapsed="false">
      <c r="B74" s="68" t="s">
        <v>316</v>
      </c>
      <c r="C74" s="41" t="s">
        <v>314</v>
      </c>
    </row>
    <row r="75" customFormat="false" ht="15" hidden="false" customHeight="false" outlineLevel="0" collapsed="false">
      <c r="B75" s="68" t="s">
        <v>160</v>
      </c>
      <c r="C75" s="41" t="s">
        <v>314</v>
      </c>
    </row>
    <row r="76" customFormat="false" ht="15" hidden="false" customHeight="false" outlineLevel="0" collapsed="false">
      <c r="B76" s="68" t="s">
        <v>161</v>
      </c>
      <c r="C76" s="41" t="s">
        <v>314</v>
      </c>
    </row>
    <row r="77" customFormat="false" ht="15" hidden="false" customHeight="false" outlineLevel="0" collapsed="false">
      <c r="B77" s="68" t="s">
        <v>162</v>
      </c>
      <c r="C77" s="41" t="s">
        <v>314</v>
      </c>
    </row>
    <row r="78" customFormat="false" ht="15" hidden="false" customHeight="false" outlineLevel="0" collapsed="false">
      <c r="B78" s="68" t="s">
        <v>163</v>
      </c>
      <c r="C78" s="41" t="s">
        <v>314</v>
      </c>
    </row>
    <row r="79" customFormat="false" ht="15" hidden="false" customHeight="false" outlineLevel="0" collapsed="false">
      <c r="B79" s="68" t="s">
        <v>164</v>
      </c>
      <c r="C79" s="41" t="s">
        <v>314</v>
      </c>
    </row>
    <row r="80" customFormat="false" ht="15" hidden="false" customHeight="false" outlineLevel="0" collapsed="false">
      <c r="B80" s="68" t="s">
        <v>165</v>
      </c>
      <c r="C80" s="41" t="s">
        <v>315</v>
      </c>
    </row>
    <row r="81" customFormat="false" ht="15" hidden="false" customHeight="false" outlineLevel="0" collapsed="false">
      <c r="B81" s="68" t="s">
        <v>166</v>
      </c>
      <c r="C81" s="41" t="s">
        <v>315</v>
      </c>
    </row>
    <row r="82" customFormat="false" ht="15" hidden="false" customHeight="false" outlineLevel="0" collapsed="false">
      <c r="B82" s="68" t="s">
        <v>167</v>
      </c>
      <c r="C82" s="41" t="s">
        <v>315</v>
      </c>
    </row>
    <row r="83" customFormat="false" ht="15" hidden="false" customHeight="false" outlineLevel="0" collapsed="false">
      <c r="B83" s="68" t="s">
        <v>168</v>
      </c>
      <c r="C83" s="41" t="s">
        <v>315</v>
      </c>
    </row>
    <row r="84" customFormat="false" ht="15" hidden="false" customHeight="false" outlineLevel="0" collapsed="false">
      <c r="B84" s="68" t="s">
        <v>169</v>
      </c>
      <c r="C84" s="41" t="s">
        <v>315</v>
      </c>
    </row>
    <row r="85" customFormat="false" ht="15" hidden="false" customHeight="false" outlineLevel="0" collapsed="false">
      <c r="B85" s="68" t="s">
        <v>170</v>
      </c>
      <c r="C85" s="41" t="s">
        <v>315</v>
      </c>
    </row>
    <row r="86" customFormat="false" ht="15" hidden="false" customHeight="false" outlineLevel="0" collapsed="false">
      <c r="B86" s="68" t="s">
        <v>171</v>
      </c>
      <c r="C86" s="41" t="s">
        <v>315</v>
      </c>
    </row>
    <row r="87" customFormat="false" ht="15" hidden="false" customHeight="false" outlineLevel="0" collapsed="false">
      <c r="B87" s="68" t="s">
        <v>172</v>
      </c>
      <c r="C87" s="41" t="s">
        <v>315</v>
      </c>
    </row>
    <row r="88" customFormat="false" ht="15" hidden="false" customHeight="false" outlineLevel="0" collapsed="false">
      <c r="B88" s="68" t="s">
        <v>173</v>
      </c>
      <c r="C88" s="41" t="s">
        <v>315</v>
      </c>
    </row>
    <row r="89" customFormat="false" ht="15" hidden="false" customHeight="false" outlineLevel="0" collapsed="false">
      <c r="B89" s="68" t="s">
        <v>174</v>
      </c>
      <c r="C89" s="41" t="s">
        <v>315</v>
      </c>
    </row>
    <row r="90" customFormat="false" ht="15" hidden="false" customHeight="false" outlineLevel="0" collapsed="false">
      <c r="B90" s="68" t="s">
        <v>175</v>
      </c>
      <c r="C90" s="41" t="s">
        <v>315</v>
      </c>
    </row>
    <row r="91" customFormat="false" ht="15" hidden="false" customHeight="false" outlineLevel="0" collapsed="false">
      <c r="B91" s="68" t="s">
        <v>176</v>
      </c>
      <c r="C91" s="41" t="s">
        <v>315</v>
      </c>
    </row>
    <row r="92" customFormat="false" ht="15" hidden="false" customHeight="false" outlineLevel="0" collapsed="false">
      <c r="B92" s="68" t="s">
        <v>177</v>
      </c>
      <c r="C92" s="41" t="s">
        <v>315</v>
      </c>
    </row>
  </sheetData>
  <dataValidations count="3">
    <dataValidation allowBlank="false" errorStyle="stop" operator="equal" showDropDown="false" showErrorMessage="true" showInputMessage="false" sqref="D56:G56" type="list">
      <formula1>"No,Yes"</formula1>
      <formula2>0</formula2>
    </dataValidation>
    <dataValidation allowBlank="false" errorStyle="stop" operator="equal" showDropDown="false" showErrorMessage="true" showInputMessage="false" sqref="B56" type="list">
      <formula1>"Cotton,Dye,Wool,Silk,Coal,Sulfur,Iron,Wood,Tropical Wood,Sugar,Rubber,Oil,Livestock,Fish,Fruit,Grain,Tobacco,Tea,Coffee,Opium"</formula1>
      <formula2>0</formula2>
    </dataValidation>
    <dataValidation allowBlank="false" errorStyle="stop" operator="equal" showDropDown="false" showErrorMessage="true" showInputMessage="false" sqref="A56" type="list">
      <formula1>"Base Values,No Reforms,Unciv Reforms,Base Techs,1830 2 row,1830 all,1840,1848,1850,1855,1860,1870,1875,1880,1890,1895,1898,1900,1905,1910,1914,1915,1919"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24" activeCellId="0" sqref="I24"/>
    </sheetView>
  </sheetViews>
  <sheetFormatPr defaultColWidth="13.42578125" defaultRowHeight="15" zeroHeight="false" outlineLevelRow="0" outlineLevelCol="0"/>
  <cols>
    <col collapsed="false" customWidth="true" hidden="false" outlineLevel="0" max="7" min="7" style="0" width="4.71"/>
    <col collapsed="false" customWidth="true" hidden="false" outlineLevel="0" max="8" min="8" style="0" width="13.57"/>
    <col collapsed="false" customWidth="true" hidden="false" outlineLevel="0" max="9" min="9" style="0" width="15"/>
    <col collapsed="false" customWidth="true" hidden="false" outlineLevel="0" max="10" min="10" style="0" width="6"/>
  </cols>
  <sheetData>
    <row r="1" customFormat="false" ht="15" hidden="false" customHeight="false" outlineLevel="0" collapsed="false">
      <c r="A1" s="69" t="s">
        <v>317</v>
      </c>
      <c r="B1" s="69" t="s">
        <v>318</v>
      </c>
      <c r="C1" s="69" t="s">
        <v>319</v>
      </c>
      <c r="D1" s="69" t="s">
        <v>307</v>
      </c>
      <c r="E1" s="69" t="s">
        <v>320</v>
      </c>
      <c r="G1" s="49" t="s">
        <v>321</v>
      </c>
      <c r="H1" s="49" t="s">
        <v>307</v>
      </c>
      <c r="I1" s="49" t="s">
        <v>322</v>
      </c>
      <c r="J1" s="49" t="s">
        <v>138</v>
      </c>
      <c r="K1" s="49" t="s">
        <v>323</v>
      </c>
      <c r="L1" s="49" t="s">
        <v>324</v>
      </c>
      <c r="M1" s="49" t="s">
        <v>325</v>
      </c>
    </row>
    <row r="2" customFormat="false" ht="15" hidden="false" customHeight="false" outlineLevel="0" collapsed="false">
      <c r="A2" s="70" t="s">
        <v>326</v>
      </c>
      <c r="B2" s="71" t="n">
        <f aca="false">SUM(B3:B11)</f>
        <v>515190</v>
      </c>
      <c r="C2" s="72" t="n">
        <f aca="false">SUM(C3:C11)</f>
        <v>1</v>
      </c>
      <c r="D2" s="70"/>
      <c r="E2" s="73" t="n">
        <f aca="false">SUM(E3:E11)</f>
        <v>46.769615</v>
      </c>
      <c r="H2" s="49" t="s">
        <v>169</v>
      </c>
      <c r="I2" s="49" t="n">
        <f aca="false">J2*K2</f>
        <v>3.4</v>
      </c>
      <c r="J2" s="0" t="n">
        <v>1.7</v>
      </c>
      <c r="K2" s="0" t="n">
        <v>2</v>
      </c>
      <c r="L2" s="49" t="n">
        <f aca="false">K2*0.5</f>
        <v>1</v>
      </c>
      <c r="M2" s="49" t="n">
        <f aca="false">K2*1.5</f>
        <v>3</v>
      </c>
    </row>
    <row r="3" customFormat="false" ht="15" hidden="false" customHeight="false" outlineLevel="0" collapsed="false">
      <c r="A3" s="74" t="s">
        <v>327</v>
      </c>
      <c r="B3" s="75" t="n">
        <v>43950</v>
      </c>
      <c r="C3" s="76" t="n">
        <f aca="false">B3/$B$2</f>
        <v>0.0853083328480755</v>
      </c>
      <c r="D3" s="77" t="s">
        <v>171</v>
      </c>
      <c r="E3" s="78" t="n">
        <f aca="false">B3/40000*VLOOKUP(D3,$H$2:$I$29,2,0)</f>
        <v>3.516</v>
      </c>
      <c r="H3" s="49" t="s">
        <v>163</v>
      </c>
      <c r="I3" s="49" t="n">
        <f aca="false">J3*K3</f>
        <v>5.52</v>
      </c>
      <c r="J3" s="0" t="n">
        <v>2.4</v>
      </c>
      <c r="K3" s="0" t="n">
        <v>2.3</v>
      </c>
      <c r="L3" s="49" t="n">
        <f aca="false">K3*0.5</f>
        <v>1.15</v>
      </c>
      <c r="M3" s="49" t="n">
        <f aca="false">K3*1.5</f>
        <v>3.45</v>
      </c>
    </row>
    <row r="4" customFormat="false" ht="15" hidden="false" customHeight="false" outlineLevel="0" collapsed="false">
      <c r="A4" s="74" t="s">
        <v>328</v>
      </c>
      <c r="B4" s="75" t="n">
        <v>83630</v>
      </c>
      <c r="C4" s="76" t="n">
        <f aca="false">B4/$B$2</f>
        <v>0.162328461344358</v>
      </c>
      <c r="D4" s="77" t="s">
        <v>168</v>
      </c>
      <c r="E4" s="78" t="n">
        <f aca="false">B4/40000*VLOOKUP(D4,$H$2:$I$29,2,0)</f>
        <v>7.5267</v>
      </c>
      <c r="H4" s="49" t="s">
        <v>173</v>
      </c>
      <c r="I4" s="49" t="n">
        <f aca="false">J4*K4</f>
        <v>3.15</v>
      </c>
      <c r="J4" s="0" t="n">
        <v>1.5</v>
      </c>
      <c r="K4" s="0" t="n">
        <v>2.1</v>
      </c>
      <c r="L4" s="49" t="n">
        <f aca="false">K4*0.5</f>
        <v>1.05</v>
      </c>
      <c r="M4" s="49" t="n">
        <f aca="false">K4*1.5</f>
        <v>3.15</v>
      </c>
    </row>
    <row r="5" customFormat="false" ht="15" hidden="false" customHeight="false" outlineLevel="0" collapsed="false">
      <c r="A5" s="74" t="s">
        <v>329</v>
      </c>
      <c r="B5" s="75" t="n">
        <v>48300</v>
      </c>
      <c r="C5" s="76" t="n">
        <f aca="false">B5/$B$2</f>
        <v>0.0937518197169976</v>
      </c>
      <c r="D5" s="77" t="s">
        <v>168</v>
      </c>
      <c r="E5" s="78" t="n">
        <f aca="false">B5/40000*VLOOKUP(D5,$H$2:$I$29,2,0)</f>
        <v>4.347</v>
      </c>
      <c r="H5" s="49" t="s">
        <v>168</v>
      </c>
      <c r="I5" s="49" t="n">
        <f aca="false">J5*K5</f>
        <v>3.6</v>
      </c>
      <c r="J5" s="0" t="n">
        <v>1.8</v>
      </c>
      <c r="K5" s="0" t="n">
        <v>2</v>
      </c>
      <c r="L5" s="49" t="n">
        <f aca="false">K5*0.5</f>
        <v>1</v>
      </c>
      <c r="M5" s="49" t="n">
        <f aca="false">K5*1.5</f>
        <v>3</v>
      </c>
    </row>
    <row r="6" customFormat="false" ht="15" hidden="false" customHeight="false" outlineLevel="0" collapsed="false">
      <c r="A6" s="74" t="s">
        <v>330</v>
      </c>
      <c r="B6" s="75" t="n">
        <v>37120</v>
      </c>
      <c r="C6" s="76" t="n">
        <f aca="false">B6/$B$2</f>
        <v>0.0720510879481356</v>
      </c>
      <c r="D6" s="77" t="s">
        <v>167</v>
      </c>
      <c r="E6" s="78" t="n">
        <f aca="false">B6/40000*VLOOKUP(D6,$H$2:$I$29,2,0)</f>
        <v>3.47072</v>
      </c>
      <c r="H6" s="49" t="s">
        <v>171</v>
      </c>
      <c r="I6" s="49" t="n">
        <f aca="false">J6*K6</f>
        <v>3.2</v>
      </c>
      <c r="J6" s="0" t="n">
        <v>1</v>
      </c>
      <c r="K6" s="0" t="n">
        <v>3.2</v>
      </c>
      <c r="L6" s="49" t="n">
        <f aca="false">K6*0.5</f>
        <v>1.6</v>
      </c>
      <c r="M6" s="49" t="n">
        <f aca="false">K6*1.5</f>
        <v>4.8</v>
      </c>
    </row>
    <row r="7" customFormat="false" ht="15" hidden="false" customHeight="false" outlineLevel="0" collapsed="false">
      <c r="A7" s="74" t="s">
        <v>331</v>
      </c>
      <c r="B7" s="75" t="n">
        <v>73880</v>
      </c>
      <c r="C7" s="76" t="n">
        <f aca="false">B7/$B$2</f>
        <v>0.143403404569188</v>
      </c>
      <c r="D7" s="77" t="s">
        <v>168</v>
      </c>
      <c r="E7" s="78" t="n">
        <f aca="false">B7/40000*VLOOKUP(D7,$H$2:$I$29,2,0)</f>
        <v>6.6492</v>
      </c>
      <c r="H7" s="49" t="s">
        <v>175</v>
      </c>
      <c r="I7" s="49" t="n">
        <f aca="false">J7*K7</f>
        <v>2.64</v>
      </c>
      <c r="J7" s="0" t="n">
        <v>0.22</v>
      </c>
      <c r="K7" s="0" t="n">
        <v>12</v>
      </c>
      <c r="L7" s="49" t="n">
        <f aca="false">K7*0.5</f>
        <v>6</v>
      </c>
      <c r="M7" s="49" t="n">
        <f aca="false">K7*1.5</f>
        <v>18</v>
      </c>
    </row>
    <row r="8" customFormat="false" ht="15" hidden="false" customHeight="false" outlineLevel="0" collapsed="false">
      <c r="A8" s="74" t="s">
        <v>332</v>
      </c>
      <c r="B8" s="75" t="n">
        <v>99070</v>
      </c>
      <c r="C8" s="76" t="n">
        <f aca="false">B8/$B$2</f>
        <v>0.192297987150372</v>
      </c>
      <c r="D8" s="77" t="s">
        <v>167</v>
      </c>
      <c r="E8" s="78" t="n">
        <f aca="false">B8/40000*VLOOKUP(D8,$H$2:$I$29,2,0)</f>
        <v>9.263045</v>
      </c>
      <c r="H8" s="49" t="s">
        <v>172</v>
      </c>
      <c r="I8" s="49" t="n">
        <f aca="false">J8*K8</f>
        <v>3.15</v>
      </c>
      <c r="J8" s="0" t="n">
        <v>2.1</v>
      </c>
      <c r="K8" s="0" t="n">
        <v>1.5</v>
      </c>
      <c r="L8" s="49" t="n">
        <f aca="false">K8*0.5</f>
        <v>0.75</v>
      </c>
      <c r="M8" s="49" t="n">
        <f aca="false">K8*1.5</f>
        <v>2.25</v>
      </c>
    </row>
    <row r="9" customFormat="false" ht="15" hidden="false" customHeight="false" outlineLevel="0" collapsed="false">
      <c r="A9" s="74" t="s">
        <v>333</v>
      </c>
      <c r="B9" s="75" t="n">
        <v>71540</v>
      </c>
      <c r="C9" s="76" t="n">
        <f aca="false">B9/$B$2</f>
        <v>0.138861390943147</v>
      </c>
      <c r="D9" s="77" t="s">
        <v>169</v>
      </c>
      <c r="E9" s="78" t="n">
        <f aca="false">B9/40000*VLOOKUP(D9,$H$2:$I$29,2,0)</f>
        <v>6.0809</v>
      </c>
      <c r="H9" s="49" t="s">
        <v>167</v>
      </c>
      <c r="I9" s="49" t="n">
        <f aca="false">J9*K9</f>
        <v>3.74</v>
      </c>
      <c r="J9" s="0" t="n">
        <v>1.7</v>
      </c>
      <c r="K9" s="0" t="n">
        <v>2.2</v>
      </c>
      <c r="L9" s="49" t="n">
        <f aca="false">K9*0.5</f>
        <v>1.1</v>
      </c>
      <c r="M9" s="49" t="n">
        <f aca="false">K9*1.5</f>
        <v>3.3</v>
      </c>
    </row>
    <row r="10" customFormat="false" ht="15" hidden="false" customHeight="false" outlineLevel="0" collapsed="false">
      <c r="A10" s="74" t="s">
        <v>334</v>
      </c>
      <c r="B10" s="75" t="n">
        <v>45950</v>
      </c>
      <c r="C10" s="76" t="n">
        <f aca="false">B10/$B$2</f>
        <v>0.0891903957763155</v>
      </c>
      <c r="D10" s="77" t="s">
        <v>170</v>
      </c>
      <c r="E10" s="78" t="n">
        <f aca="false">B10/40000*VLOOKUP(D10,$H$2:$I$29,2,0)</f>
        <v>3.8598</v>
      </c>
      <c r="H10" s="49" t="s">
        <v>162</v>
      </c>
      <c r="I10" s="49" t="n">
        <f aca="false">J10*K10</f>
        <v>7</v>
      </c>
      <c r="J10" s="0" t="n">
        <v>2</v>
      </c>
      <c r="K10" s="0" t="n">
        <v>3.5</v>
      </c>
      <c r="L10" s="49" t="n">
        <f aca="false">K10*0.5</f>
        <v>1.75</v>
      </c>
      <c r="M10" s="49" t="n">
        <f aca="false">K10*1.5</f>
        <v>5.25</v>
      </c>
    </row>
    <row r="11" customFormat="false" ht="15" hidden="false" customHeight="false" outlineLevel="0" collapsed="false">
      <c r="A11" s="74" t="s">
        <v>335</v>
      </c>
      <c r="B11" s="75" t="n">
        <v>11750</v>
      </c>
      <c r="C11" s="76" t="n">
        <f aca="false">B11/$B$2</f>
        <v>0.0228071197034104</v>
      </c>
      <c r="D11" s="77" t="s">
        <v>162</v>
      </c>
      <c r="E11" s="78" t="n">
        <f aca="false">B11/40000*VLOOKUP(D11,$H$2:$I$29,2,0)</f>
        <v>2.05625</v>
      </c>
      <c r="H11" s="49" t="s">
        <v>160</v>
      </c>
      <c r="I11" s="49" t="n">
        <f aca="false">J11*K11</f>
        <v>12</v>
      </c>
      <c r="J11" s="0" t="n">
        <v>1</v>
      </c>
      <c r="K11" s="0" t="n">
        <v>12</v>
      </c>
      <c r="L11" s="49" t="n">
        <f aca="false">K11*0.5</f>
        <v>6</v>
      </c>
      <c r="M11" s="49" t="n">
        <f aca="false">K11*1.5</f>
        <v>18</v>
      </c>
    </row>
    <row r="12" customFormat="false" ht="15" hidden="false" customHeight="false" outlineLevel="0" collapsed="false">
      <c r="H12" s="0" t="s">
        <v>177</v>
      </c>
      <c r="I12" s="0" t="n">
        <f aca="false">J12*K12</f>
        <v>2.24</v>
      </c>
      <c r="J12" s="0" t="n">
        <v>0.7</v>
      </c>
      <c r="K12" s="0" t="n">
        <v>3.2</v>
      </c>
      <c r="L12" s="0" t="n">
        <f aca="false">K12*0.5</f>
        <v>1.6</v>
      </c>
      <c r="M12" s="0" t="n">
        <f aca="false">K12*1.5</f>
        <v>4.8</v>
      </c>
    </row>
    <row r="13" customFormat="false" ht="15" hidden="false" customHeight="false" outlineLevel="0" collapsed="false">
      <c r="A13" s="0" t="s">
        <v>336</v>
      </c>
      <c r="B13" s="0" t="n">
        <f aca="false">32200*(1-0.1+0.031)</f>
        <v>29978.2</v>
      </c>
      <c r="D13" s="0" t="s">
        <v>169</v>
      </c>
      <c r="E13" s="79" t="n">
        <f aca="false">B13/40000*VLOOKUP(D13,$H$2:$I$29,2,0)</f>
        <v>2.548147</v>
      </c>
      <c r="H13" s="49" t="s">
        <v>165</v>
      </c>
      <c r="I13" s="49" t="n">
        <f aca="false">J13*K13</f>
        <v>4.86</v>
      </c>
      <c r="J13" s="0" t="n">
        <v>2.7</v>
      </c>
      <c r="K13" s="0" t="n">
        <v>1.8</v>
      </c>
      <c r="L13" s="49" t="n">
        <f aca="false">K13*0.5</f>
        <v>0.9</v>
      </c>
      <c r="M13" s="49" t="n">
        <f aca="false">K13*1.5</f>
        <v>2.7</v>
      </c>
    </row>
    <row r="14" customFormat="false" ht="15" hidden="false" customHeight="false" outlineLevel="0" collapsed="false">
      <c r="H14" s="0" t="s">
        <v>337</v>
      </c>
      <c r="I14" s="0" t="n">
        <f aca="false">J14*K14</f>
        <v>45</v>
      </c>
      <c r="J14" s="0" t="n">
        <v>2.25</v>
      </c>
      <c r="K14" s="0" t="n">
        <v>20</v>
      </c>
      <c r="L14" s="0" t="n">
        <f aca="false">K14*0.5</f>
        <v>10</v>
      </c>
      <c r="M14" s="0" t="n">
        <f aca="false">K14*1.5</f>
        <v>30</v>
      </c>
    </row>
    <row r="15" customFormat="false" ht="15" hidden="false" customHeight="false" outlineLevel="0" collapsed="false">
      <c r="H15" s="0" t="s">
        <v>148</v>
      </c>
      <c r="I15" s="0" t="n">
        <f aca="false">J15*K15</f>
        <v>60</v>
      </c>
      <c r="J15" s="0" t="n">
        <v>3</v>
      </c>
      <c r="K15" s="0" t="n">
        <v>20</v>
      </c>
      <c r="L15" s="0" t="n">
        <f aca="false">K15*0.5</f>
        <v>10</v>
      </c>
      <c r="M15" s="0" t="n">
        <f aca="false">K15*1.5</f>
        <v>30</v>
      </c>
    </row>
    <row r="16" customFormat="false" ht="15" hidden="false" customHeight="false" outlineLevel="0" collapsed="false">
      <c r="H16" s="0" t="s">
        <v>150</v>
      </c>
      <c r="I16" s="0" t="n">
        <f aca="false">J16*K16</f>
        <v>54</v>
      </c>
      <c r="J16" s="0" t="n">
        <v>3</v>
      </c>
      <c r="K16" s="0" t="n">
        <v>18</v>
      </c>
      <c r="L16" s="0" t="n">
        <f aca="false">K16*0.5</f>
        <v>9</v>
      </c>
      <c r="M16" s="0" t="n">
        <f aca="false">K16*1.5</f>
        <v>27</v>
      </c>
    </row>
    <row r="17" customFormat="false" ht="15" hidden="false" customHeight="false" outlineLevel="0" collapsed="false">
      <c r="H17" s="0" t="s">
        <v>152</v>
      </c>
      <c r="I17" s="0" t="n">
        <f aca="false">J17*K17</f>
        <v>54</v>
      </c>
      <c r="J17" s="0" t="n">
        <v>3</v>
      </c>
      <c r="K17" s="0" t="n">
        <v>18</v>
      </c>
      <c r="L17" s="0" t="n">
        <f aca="false">K17*0.5</f>
        <v>9</v>
      </c>
      <c r="M17" s="0" t="n">
        <f aca="false">K17*1.5</f>
        <v>27</v>
      </c>
    </row>
    <row r="18" customFormat="false" ht="15" hidden="false" customHeight="false" outlineLevel="0" collapsed="false">
      <c r="H18" s="0" t="s">
        <v>153</v>
      </c>
      <c r="I18" s="0" t="n">
        <f aca="false">J18*K18</f>
        <v>54</v>
      </c>
      <c r="J18" s="0" t="n">
        <v>3</v>
      </c>
      <c r="K18" s="0" t="n">
        <v>18</v>
      </c>
      <c r="L18" s="0" t="n">
        <f aca="false">K18*0.5</f>
        <v>9</v>
      </c>
      <c r="M18" s="0" t="n">
        <f aca="false">K18*1.5</f>
        <v>27</v>
      </c>
    </row>
    <row r="19" customFormat="false" ht="15" hidden="false" customHeight="false" outlineLevel="0" collapsed="false">
      <c r="H19" s="0" t="s">
        <v>157</v>
      </c>
      <c r="I19" s="0" t="n">
        <f aca="false">J19*K19</f>
        <v>30</v>
      </c>
      <c r="J19" s="0" t="n">
        <v>3</v>
      </c>
      <c r="K19" s="0" t="n">
        <v>10</v>
      </c>
      <c r="L19" s="0" t="n">
        <f aca="false">K19*0.5</f>
        <v>5</v>
      </c>
      <c r="M19" s="0" t="n">
        <f aca="false">K19*1.5</f>
        <v>15</v>
      </c>
    </row>
    <row r="20" customFormat="false" ht="15" hidden="false" customHeight="false" outlineLevel="0" collapsed="false">
      <c r="H20" s="0" t="s">
        <v>156</v>
      </c>
      <c r="I20" s="0" t="n">
        <f aca="false">J20*K20</f>
        <v>39</v>
      </c>
      <c r="J20" s="0" t="n">
        <v>3</v>
      </c>
      <c r="K20" s="0" t="n">
        <v>13</v>
      </c>
      <c r="L20" s="0" t="n">
        <f aca="false">K20*0.5</f>
        <v>6.5</v>
      </c>
      <c r="M20" s="0" t="n">
        <f aca="false">K20*1.5</f>
        <v>19.5</v>
      </c>
    </row>
    <row r="21" customFormat="false" ht="15" hidden="false" customHeight="false" outlineLevel="0" collapsed="false">
      <c r="H21" s="0" t="s">
        <v>154</v>
      </c>
      <c r="I21" s="0" t="n">
        <f aca="false">J21*K21</f>
        <v>54</v>
      </c>
      <c r="J21" s="0" t="n">
        <v>3</v>
      </c>
      <c r="K21" s="0" t="n">
        <v>18</v>
      </c>
      <c r="L21" s="0" t="n">
        <f aca="false">K21*0.5</f>
        <v>9</v>
      </c>
      <c r="M21" s="0" t="n">
        <f aca="false">K21*1.5</f>
        <v>27</v>
      </c>
    </row>
    <row r="22" customFormat="false" ht="15" hidden="false" customHeight="false" outlineLevel="0" collapsed="false">
      <c r="H22" s="0" t="s">
        <v>164</v>
      </c>
      <c r="I22" s="0" t="n">
        <f aca="false">J22*K22</f>
        <v>5.25</v>
      </c>
      <c r="J22" s="0" t="n">
        <v>0.75</v>
      </c>
      <c r="K22" s="0" t="n">
        <v>7</v>
      </c>
      <c r="L22" s="0" t="n">
        <f aca="false">K22*0.5</f>
        <v>3.5</v>
      </c>
      <c r="M22" s="0" t="n">
        <f aca="false">K22*1.5</f>
        <v>10.5</v>
      </c>
    </row>
    <row r="23" customFormat="false" ht="15" hidden="false" customHeight="false" outlineLevel="0" collapsed="false">
      <c r="H23" s="0" t="s">
        <v>170</v>
      </c>
      <c r="I23" s="0" t="n">
        <f aca="false">J23*K23</f>
        <v>3.36</v>
      </c>
      <c r="J23" s="0" t="n">
        <v>4.8</v>
      </c>
      <c r="K23" s="0" t="n">
        <v>0.7</v>
      </c>
      <c r="L23" s="0" t="n">
        <f aca="false">K23*0.5</f>
        <v>0.35</v>
      </c>
      <c r="M23" s="0" t="n">
        <f aca="false">K23*1.5</f>
        <v>1.05</v>
      </c>
    </row>
    <row r="24" customFormat="false" ht="15" hidden="false" customHeight="false" outlineLevel="0" collapsed="false">
      <c r="H24" s="0" t="s">
        <v>176</v>
      </c>
      <c r="I24" s="0" t="n">
        <f aca="false">J24*K24</f>
        <v>2.5</v>
      </c>
      <c r="J24" s="0" t="n">
        <v>0.25</v>
      </c>
      <c r="K24" s="0" t="n">
        <v>10</v>
      </c>
      <c r="L24" s="0" t="n">
        <f aca="false">K24*0.5</f>
        <v>5</v>
      </c>
      <c r="M24" s="0" t="n">
        <f aca="false">K24*1.5</f>
        <v>15</v>
      </c>
    </row>
    <row r="25" customFormat="false" ht="15" hidden="false" customHeight="false" outlineLevel="0" collapsed="false">
      <c r="H25" s="0" t="s">
        <v>159</v>
      </c>
      <c r="I25" s="0" t="n">
        <f aca="false">J25*K25</f>
        <v>18</v>
      </c>
      <c r="J25" s="0" t="n">
        <v>3</v>
      </c>
      <c r="K25" s="0" t="n">
        <v>6</v>
      </c>
      <c r="L25" s="0" t="n">
        <f aca="false">K25*0.5</f>
        <v>3</v>
      </c>
      <c r="M25" s="0" t="n">
        <f aca="false">K25*1.5</f>
        <v>9</v>
      </c>
    </row>
    <row r="26" customFormat="false" ht="15" hidden="false" customHeight="false" outlineLevel="0" collapsed="false">
      <c r="H26" s="0" t="s">
        <v>166</v>
      </c>
      <c r="I26" s="0" t="n">
        <f aca="false">J26*K26</f>
        <v>4.55</v>
      </c>
      <c r="J26" s="0" t="n">
        <v>1.75</v>
      </c>
      <c r="K26" s="0" t="n">
        <v>2.6</v>
      </c>
      <c r="L26" s="0" t="n">
        <f aca="false">K26*0.5</f>
        <v>1.3</v>
      </c>
      <c r="M26" s="0" t="n">
        <f aca="false">K26*1.5</f>
        <v>3.9</v>
      </c>
    </row>
    <row r="27" customFormat="false" ht="15" hidden="false" customHeight="false" outlineLevel="0" collapsed="false">
      <c r="H27" s="0" t="s">
        <v>338</v>
      </c>
      <c r="I27" s="0" t="n">
        <f aca="false">J27*K27</f>
        <v>8</v>
      </c>
      <c r="J27" s="0" t="n">
        <v>8</v>
      </c>
      <c r="K27" s="0" t="n">
        <v>1</v>
      </c>
      <c r="L27" s="0" t="n">
        <f aca="false">K27*0.5</f>
        <v>0.5</v>
      </c>
      <c r="M27" s="0" t="n">
        <f aca="false">K27*1.5</f>
        <v>1.5</v>
      </c>
    </row>
    <row r="28" customFormat="false" ht="15" hidden="false" customHeight="false" outlineLevel="0" collapsed="false">
      <c r="H28" s="0" t="s">
        <v>174</v>
      </c>
      <c r="I28" s="0" t="n">
        <f aca="false">J28*K28</f>
        <v>2.75</v>
      </c>
      <c r="J28" s="0" t="n">
        <v>2.5</v>
      </c>
      <c r="K28" s="0" t="n">
        <v>1.1</v>
      </c>
      <c r="L28" s="0" t="n">
        <f aca="false">K28*0.5</f>
        <v>0.55</v>
      </c>
      <c r="M28" s="0" t="n">
        <f aca="false">K28*1.5</f>
        <v>1.65</v>
      </c>
    </row>
    <row r="29" customFormat="false" ht="15" hidden="false" customHeight="false" outlineLevel="0" collapsed="false">
      <c r="H29" s="0" t="s">
        <v>158</v>
      </c>
      <c r="I29" s="0" t="n">
        <f aca="false">J29*K29</f>
        <v>21.6</v>
      </c>
      <c r="J29" s="0" t="n">
        <v>4</v>
      </c>
      <c r="K29" s="0" t="n">
        <v>5.4</v>
      </c>
      <c r="L29" s="0" t="n">
        <f aca="false">K29*0.5</f>
        <v>2.7</v>
      </c>
      <c r="M29" s="0" t="n">
        <f aca="false">K29*1.5</f>
        <v>8.1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2026-08-26T05:40:12Z</dcterms:created>
  <dc:creator>Debski Franciszek</dc:creator>
  <dc:description/>
  <dc:language>pl-PL</dc:language>
  <cp:lastModifiedBy/>
  <dcterms:modified xsi:type="dcterms:W3CDTF">2026-09-28T20:41:06Z</dcterms:modified>
  <cp:revision>403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