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l009526\Searches\Folderek\"/>
    </mc:Choice>
  </mc:AlternateContent>
  <xr:revisionPtr revIDLastSave="0" documentId="13_ncr:1_{5DDEAA12-E598-4150-81F6-785E31295292}" xr6:coauthVersionLast="47" xr6:coauthVersionMax="47" xr10:uidLastSave="{00000000-0000-0000-0000-000000000000}"/>
  <bookViews>
    <workbookView xWindow="-120" yWindow="-120" windowWidth="29040" windowHeight="15720" tabRatio="500" firstSheet="3" activeTab="10" xr2:uid="{00000000-000D-0000-FFFF-FFFF00000000}"/>
  </bookViews>
  <sheets>
    <sheet name="Tech Graph" sheetId="1" r:id="rId1"/>
    <sheet name="Tech Cost" sheetId="2" r:id="rId2"/>
    <sheet name="Education Efficiency" sheetId="3" r:id="rId3"/>
    <sheet name="State Sim" sheetId="4" r:id="rId4"/>
    <sheet name="Treaty Ports" sheetId="5" r:id="rId5"/>
    <sheet name="Goods values" sheetId="6" r:id="rId6"/>
    <sheet name="POP Growth" sheetId="7" r:id="rId7"/>
    <sheet name="Military" sheetId="8" r:id="rId8"/>
    <sheet name="Colonial RGOs" sheetId="9" r:id="rId9"/>
    <sheet name="Stocks" sheetId="10" r:id="rId10"/>
    <sheet name="Navy" sheetId="11" r:id="rId11"/>
  </sheets>
  <definedNames>
    <definedName name="_xlnm._FilterDatabase" localSheetId="4" hidden="1">'Treaty Ports'!$A$1:$H$27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" i="11" l="1"/>
  <c r="J3" i="11" s="1"/>
  <c r="H6" i="11"/>
  <c r="J6" i="11" s="1"/>
  <c r="M29" i="9"/>
  <c r="L29" i="9"/>
  <c r="I29" i="9"/>
  <c r="M28" i="9"/>
  <c r="L28" i="9"/>
  <c r="I28" i="9"/>
  <c r="M27" i="9"/>
  <c r="L27" i="9"/>
  <c r="I27" i="9"/>
  <c r="M26" i="9"/>
  <c r="L26" i="9"/>
  <c r="I26" i="9"/>
  <c r="M25" i="9"/>
  <c r="L25" i="9"/>
  <c r="I25" i="9"/>
  <c r="M24" i="9"/>
  <c r="L24" i="9"/>
  <c r="I24" i="9"/>
  <c r="M23" i="9"/>
  <c r="L23" i="9"/>
  <c r="I23" i="9"/>
  <c r="M22" i="9"/>
  <c r="L22" i="9"/>
  <c r="I22" i="9"/>
  <c r="M21" i="9"/>
  <c r="L21" i="9"/>
  <c r="I21" i="9"/>
  <c r="M20" i="9"/>
  <c r="L20" i="9"/>
  <c r="I20" i="9"/>
  <c r="M19" i="9"/>
  <c r="L19" i="9"/>
  <c r="I19" i="9"/>
  <c r="M18" i="9"/>
  <c r="L18" i="9"/>
  <c r="I18" i="9"/>
  <c r="M17" i="9"/>
  <c r="L17" i="9"/>
  <c r="I17" i="9"/>
  <c r="M16" i="9"/>
  <c r="L16" i="9"/>
  <c r="I16" i="9"/>
  <c r="M15" i="9"/>
  <c r="L15" i="9"/>
  <c r="I15" i="9"/>
  <c r="M14" i="9"/>
  <c r="L14" i="9"/>
  <c r="I14" i="9"/>
  <c r="M13" i="9"/>
  <c r="L13" i="9"/>
  <c r="I13" i="9"/>
  <c r="B13" i="9"/>
  <c r="E13" i="9" s="1"/>
  <c r="M12" i="9"/>
  <c r="L12" i="9"/>
  <c r="I12" i="9"/>
  <c r="M11" i="9"/>
  <c r="L11" i="9"/>
  <c r="I11" i="9"/>
  <c r="E11" i="9"/>
  <c r="M10" i="9"/>
  <c r="L10" i="9"/>
  <c r="I10" i="9"/>
  <c r="E10" i="9"/>
  <c r="M9" i="9"/>
  <c r="L9" i="9"/>
  <c r="I9" i="9"/>
  <c r="M8" i="9"/>
  <c r="L8" i="9"/>
  <c r="I8" i="9"/>
  <c r="E8" i="9"/>
  <c r="M7" i="9"/>
  <c r="L7" i="9"/>
  <c r="I7" i="9"/>
  <c r="M6" i="9"/>
  <c r="L6" i="9"/>
  <c r="I6" i="9"/>
  <c r="E6" i="9"/>
  <c r="M5" i="9"/>
  <c r="L5" i="9"/>
  <c r="I5" i="9"/>
  <c r="E5" i="9" s="1"/>
  <c r="M4" i="9"/>
  <c r="L4" i="9"/>
  <c r="I4" i="9"/>
  <c r="M3" i="9"/>
  <c r="L3" i="9"/>
  <c r="I3" i="9"/>
  <c r="E3" i="9"/>
  <c r="M2" i="9"/>
  <c r="L2" i="9"/>
  <c r="I2" i="9"/>
  <c r="E9" i="9" s="1"/>
  <c r="B2" i="9"/>
  <c r="C7" i="9" s="1"/>
  <c r="N14" i="8"/>
  <c r="L11" i="8" s="1"/>
  <c r="N11" i="8"/>
  <c r="P10" i="8"/>
  <c r="O10" i="8"/>
  <c r="N6" i="8"/>
  <c r="L3" i="8" s="1"/>
  <c r="N3" i="8"/>
  <c r="K3" i="8"/>
  <c r="P2" i="8"/>
  <c r="O2" i="8"/>
  <c r="K11" i="8" s="1"/>
  <c r="K12" i="8" s="1"/>
  <c r="B2" i="7"/>
  <c r="B3" i="7" s="1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G11" i="6"/>
  <c r="D11" i="6"/>
  <c r="G10" i="6"/>
  <c r="D10" i="6"/>
  <c r="D9" i="6"/>
  <c r="D8" i="6"/>
  <c r="G7" i="6"/>
  <c r="D7" i="6"/>
  <c r="G6" i="6"/>
  <c r="D6" i="6"/>
  <c r="D5" i="6"/>
  <c r="D4" i="6"/>
  <c r="G3" i="6"/>
  <c r="D3" i="6"/>
  <c r="G9" i="6" s="1"/>
  <c r="G2" i="6"/>
  <c r="D2" i="6"/>
  <c r="H34" i="5"/>
  <c r="I34" i="5" s="1"/>
  <c r="E34" i="5"/>
  <c r="B34" i="5"/>
  <c r="I33" i="5"/>
  <c r="H33" i="5"/>
  <c r="I32" i="5"/>
  <c r="H32" i="5"/>
  <c r="H31" i="5"/>
  <c r="I31" i="5" s="1"/>
  <c r="H30" i="5"/>
  <c r="I30" i="5" s="1"/>
  <c r="B29" i="5"/>
  <c r="H29" i="5" s="1"/>
  <c r="I29" i="5" s="1"/>
  <c r="H27" i="5"/>
  <c r="I27" i="5" s="1"/>
  <c r="I26" i="5"/>
  <c r="H26" i="5"/>
  <c r="H25" i="5"/>
  <c r="I25" i="5" s="1"/>
  <c r="H24" i="5"/>
  <c r="I24" i="5" s="1"/>
  <c r="B24" i="5"/>
  <c r="H23" i="5"/>
  <c r="I23" i="5" s="1"/>
  <c r="H22" i="5"/>
  <c r="I22" i="5" s="1"/>
  <c r="I21" i="5"/>
  <c r="H21" i="5"/>
  <c r="I20" i="5"/>
  <c r="H20" i="5"/>
  <c r="H19" i="5"/>
  <c r="I19" i="5" s="1"/>
  <c r="B18" i="5"/>
  <c r="H18" i="5" s="1"/>
  <c r="I18" i="5" s="1"/>
  <c r="H17" i="5"/>
  <c r="I17" i="5" s="1"/>
  <c r="H16" i="5"/>
  <c r="I16" i="5" s="1"/>
  <c r="I15" i="5"/>
  <c r="H15" i="5"/>
  <c r="H14" i="5"/>
  <c r="I14" i="5" s="1"/>
  <c r="B14" i="5"/>
  <c r="I13" i="5"/>
  <c r="H13" i="5"/>
  <c r="H12" i="5"/>
  <c r="I12" i="5" s="1"/>
  <c r="B12" i="5"/>
  <c r="H11" i="5"/>
  <c r="I11" i="5" s="1"/>
  <c r="B11" i="5"/>
  <c r="I10" i="5"/>
  <c r="H10" i="5"/>
  <c r="H9" i="5"/>
  <c r="I9" i="5" s="1"/>
  <c r="H8" i="5"/>
  <c r="I8" i="5" s="1"/>
  <c r="B7" i="5"/>
  <c r="H7" i="5" s="1"/>
  <c r="I7" i="5" s="1"/>
  <c r="B6" i="5"/>
  <c r="H6" i="5" s="1"/>
  <c r="I6" i="5" s="1"/>
  <c r="H5" i="5"/>
  <c r="I5" i="5" s="1"/>
  <c r="I4" i="5"/>
  <c r="H4" i="5"/>
  <c r="I3" i="5"/>
  <c r="H3" i="5"/>
  <c r="H2" i="5"/>
  <c r="I2" i="5" s="1"/>
  <c r="B2" i="5"/>
  <c r="Y37" i="4"/>
  <c r="Y36" i="4"/>
  <c r="U36" i="4"/>
  <c r="Y35" i="4"/>
  <c r="U35" i="4"/>
  <c r="Y34" i="4"/>
  <c r="U34" i="4"/>
  <c r="Y33" i="4"/>
  <c r="U33" i="4"/>
  <c r="Y32" i="4"/>
  <c r="U32" i="4"/>
  <c r="Y31" i="4"/>
  <c r="U31" i="4"/>
  <c r="Y30" i="4"/>
  <c r="U30" i="4"/>
  <c r="Y29" i="4"/>
  <c r="U29" i="4"/>
  <c r="Y28" i="4"/>
  <c r="U28" i="4"/>
  <c r="Y27" i="4"/>
  <c r="U27" i="4"/>
  <c r="Y26" i="4"/>
  <c r="U26" i="4"/>
  <c r="Y22" i="4"/>
  <c r="Y21" i="4"/>
  <c r="U21" i="4"/>
  <c r="Y20" i="4"/>
  <c r="U20" i="4"/>
  <c r="Y19" i="4"/>
  <c r="U19" i="4"/>
  <c r="Y18" i="4"/>
  <c r="U18" i="4"/>
  <c r="Y17" i="4"/>
  <c r="U17" i="4"/>
  <c r="Y16" i="4"/>
  <c r="U16" i="4"/>
  <c r="Y15" i="4"/>
  <c r="U15" i="4"/>
  <c r="W11" i="4"/>
  <c r="W10" i="4"/>
  <c r="W9" i="4"/>
  <c r="W8" i="4"/>
  <c r="W7" i="4"/>
  <c r="W6" i="4"/>
  <c r="W5" i="4"/>
  <c r="W4" i="4"/>
  <c r="W3" i="4"/>
  <c r="M2" i="4"/>
  <c r="L2" i="4"/>
  <c r="H2" i="4"/>
  <c r="K2" i="4" s="1"/>
  <c r="F2" i="4"/>
  <c r="E2" i="4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E22" i="3" s="1"/>
  <c r="E23" i="3" s="1"/>
  <c r="F18" i="3"/>
  <c r="E18" i="3"/>
  <c r="F17" i="3"/>
  <c r="F15" i="3"/>
  <c r="F14" i="3"/>
  <c r="E15" i="3" s="1"/>
  <c r="F12" i="3"/>
  <c r="F11" i="3"/>
  <c r="F10" i="3"/>
  <c r="F9" i="3"/>
  <c r="F8" i="3"/>
  <c r="F7" i="3"/>
  <c r="F6" i="3"/>
  <c r="F5" i="3"/>
  <c r="F4" i="3"/>
  <c r="E4" i="3"/>
  <c r="E5" i="3" s="1"/>
  <c r="E6" i="3" s="1"/>
  <c r="E7" i="3" s="1"/>
  <c r="E8" i="3" s="1"/>
  <c r="E9" i="3" s="1"/>
  <c r="E10" i="3" s="1"/>
  <c r="E11" i="3" s="1"/>
  <c r="E12" i="3" s="1"/>
  <c r="F3" i="3"/>
  <c r="E3" i="3"/>
  <c r="F2" i="3"/>
  <c r="B108" i="2"/>
  <c r="B106" i="2"/>
  <c r="B104" i="2"/>
  <c r="B102" i="2"/>
  <c r="B100" i="2"/>
  <c r="B98" i="2"/>
  <c r="B96" i="2"/>
  <c r="B94" i="2"/>
  <c r="B92" i="2"/>
  <c r="B90" i="2"/>
  <c r="B88" i="2"/>
  <c r="B86" i="2"/>
  <c r="B84" i="2"/>
  <c r="B82" i="2"/>
  <c r="B80" i="2"/>
  <c r="B78" i="2"/>
  <c r="B76" i="2"/>
  <c r="B74" i="2"/>
  <c r="B72" i="2"/>
  <c r="B70" i="2"/>
  <c r="B68" i="2"/>
  <c r="B66" i="2"/>
  <c r="B64" i="2"/>
  <c r="B62" i="2"/>
  <c r="B60" i="2"/>
  <c r="B58" i="2"/>
  <c r="B56" i="2"/>
  <c r="B54" i="2"/>
  <c r="B52" i="2"/>
  <c r="B50" i="2"/>
  <c r="B48" i="2"/>
  <c r="B46" i="2"/>
  <c r="B44" i="2"/>
  <c r="B42" i="2"/>
  <c r="B40" i="2"/>
  <c r="B38" i="2"/>
  <c r="B36" i="2"/>
  <c r="B34" i="2"/>
  <c r="B32" i="2"/>
  <c r="B30" i="2"/>
  <c r="B28" i="2"/>
  <c r="B26" i="2"/>
  <c r="B24" i="2"/>
  <c r="B22" i="2"/>
  <c r="B21" i="2"/>
  <c r="I20" i="2"/>
  <c r="B20" i="2"/>
  <c r="I19" i="2"/>
  <c r="B19" i="2"/>
  <c r="I18" i="2"/>
  <c r="B18" i="2"/>
  <c r="I17" i="2"/>
  <c r="B17" i="2"/>
  <c r="I16" i="2"/>
  <c r="B16" i="2"/>
  <c r="I15" i="2"/>
  <c r="B15" i="2"/>
  <c r="I14" i="2"/>
  <c r="B14" i="2"/>
  <c r="I13" i="2"/>
  <c r="B13" i="2"/>
  <c r="I12" i="2"/>
  <c r="B12" i="2"/>
  <c r="I11" i="2"/>
  <c r="B11" i="2"/>
  <c r="I10" i="2"/>
  <c r="B10" i="2"/>
  <c r="I9" i="2"/>
  <c r="B9" i="2"/>
  <c r="I8" i="2"/>
  <c r="B8" i="2"/>
  <c r="I7" i="2"/>
  <c r="B7" i="2"/>
  <c r="I6" i="2"/>
  <c r="B6" i="2"/>
  <c r="I5" i="2"/>
  <c r="B5" i="2"/>
  <c r="I4" i="2"/>
  <c r="B4" i="2"/>
  <c r="I3" i="2"/>
  <c r="B3" i="2"/>
  <c r="I2" i="2"/>
  <c r="B107" i="2" s="1"/>
  <c r="B2" i="2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G3" i="1"/>
  <c r="G4" i="1" s="1"/>
  <c r="I4" i="1" s="1"/>
  <c r="J4" i="1" s="1"/>
  <c r="F3" i="1"/>
  <c r="I3" i="1" s="1"/>
  <c r="J3" i="1" s="1"/>
  <c r="F2" i="1"/>
  <c r="I2" i="1" s="1"/>
  <c r="J2" i="1" s="1"/>
  <c r="M2" i="1" s="1"/>
  <c r="CR60" i="10"/>
  <c r="CQ56" i="10"/>
  <c r="CR56" i="10" s="1"/>
  <c r="CS55" i="10"/>
  <c r="CX54" i="10"/>
  <c r="DB52" i="10"/>
  <c r="DA52" i="10"/>
  <c r="CX52" i="10"/>
  <c r="CE52" i="10"/>
  <c r="CD52" i="10"/>
  <c r="CC52" i="10"/>
  <c r="CB52" i="10"/>
  <c r="CA52" i="10"/>
  <c r="BZ52" i="10"/>
  <c r="BW52" i="10"/>
  <c r="BV52" i="10"/>
  <c r="BU52" i="10"/>
  <c r="BT52" i="10"/>
  <c r="BS52" i="10"/>
  <c r="BR52" i="10"/>
  <c r="BQ52" i="10"/>
  <c r="BP52" i="10"/>
  <c r="BO52" i="10"/>
  <c r="BN52" i="10"/>
  <c r="BM52" i="10"/>
  <c r="BL52" i="10"/>
  <c r="BK52" i="10"/>
  <c r="BJ52" i="10"/>
  <c r="BH52" i="10"/>
  <c r="BG52" i="10"/>
  <c r="BC52" i="10"/>
  <c r="BA52" i="10"/>
  <c r="AZ52" i="10"/>
  <c r="AX52" i="10"/>
  <c r="AW52" i="10"/>
  <c r="AV52" i="10"/>
  <c r="AU52" i="10"/>
  <c r="AT52" i="10"/>
  <c r="AR52" i="10"/>
  <c r="AQ52" i="10"/>
  <c r="AO52" i="10"/>
  <c r="AN52" i="10"/>
  <c r="AL52" i="10"/>
  <c r="AJ52" i="10"/>
  <c r="AI52" i="10"/>
  <c r="AG52" i="10"/>
  <c r="AC52" i="10"/>
  <c r="X52" i="10"/>
  <c r="V52" i="10"/>
  <c r="T52" i="10"/>
  <c r="R52" i="10"/>
  <c r="P52" i="10"/>
  <c r="J52" i="10"/>
  <c r="I52" i="10"/>
  <c r="F52" i="10"/>
  <c r="C52" i="10"/>
  <c r="DB51" i="10"/>
  <c r="DA51" i="10"/>
  <c r="CX51" i="10"/>
  <c r="CU51" i="10"/>
  <c r="CE51" i="10"/>
  <c r="CD51" i="10"/>
  <c r="CC51" i="10"/>
  <c r="CB51" i="10"/>
  <c r="CA51" i="10"/>
  <c r="BZ51" i="10"/>
  <c r="BW51" i="10"/>
  <c r="BV51" i="10"/>
  <c r="BU51" i="10"/>
  <c r="BT51" i="10"/>
  <c r="BS51" i="10"/>
  <c r="BR51" i="10"/>
  <c r="BQ51" i="10"/>
  <c r="BP51" i="10"/>
  <c r="BO51" i="10"/>
  <c r="BN51" i="10"/>
  <c r="BM51" i="10"/>
  <c r="BL51" i="10"/>
  <c r="BK51" i="10"/>
  <c r="BJ51" i="10"/>
  <c r="BH51" i="10"/>
  <c r="BG51" i="10"/>
  <c r="BC51" i="10"/>
  <c r="BA51" i="10"/>
  <c r="AZ51" i="10"/>
  <c r="AX51" i="10"/>
  <c r="AW51" i="10"/>
  <c r="AV51" i="10"/>
  <c r="AU51" i="10"/>
  <c r="AT51" i="10"/>
  <c r="AR51" i="10"/>
  <c r="AQ51" i="10"/>
  <c r="AO51" i="10"/>
  <c r="AN51" i="10"/>
  <c r="AL51" i="10"/>
  <c r="AJ51" i="10"/>
  <c r="AI51" i="10"/>
  <c r="AG51" i="10"/>
  <c r="AC51" i="10"/>
  <c r="X51" i="10"/>
  <c r="V51" i="10"/>
  <c r="T51" i="10"/>
  <c r="R51" i="10"/>
  <c r="P51" i="10"/>
  <c r="J51" i="10"/>
  <c r="I51" i="10"/>
  <c r="F51" i="10"/>
  <c r="C51" i="10"/>
  <c r="DB50" i="10"/>
  <c r="DA50" i="10"/>
  <c r="CX50" i="10"/>
  <c r="CO50" i="10"/>
  <c r="CE50" i="10"/>
  <c r="CD50" i="10"/>
  <c r="CC50" i="10"/>
  <c r="CB50" i="10"/>
  <c r="CA50" i="10"/>
  <c r="BZ50" i="10"/>
  <c r="BW50" i="10"/>
  <c r="BV50" i="10"/>
  <c r="BU50" i="10"/>
  <c r="BT50" i="10"/>
  <c r="BS50" i="10"/>
  <c r="BR50" i="10"/>
  <c r="BQ50" i="10"/>
  <c r="BP50" i="10"/>
  <c r="BO50" i="10"/>
  <c r="BN50" i="10"/>
  <c r="BM50" i="10"/>
  <c r="BL50" i="10"/>
  <c r="BK50" i="10"/>
  <c r="BJ50" i="10"/>
  <c r="BH50" i="10"/>
  <c r="BG50" i="10"/>
  <c r="BC50" i="10"/>
  <c r="BA50" i="10"/>
  <c r="AZ50" i="10"/>
  <c r="AX50" i="10"/>
  <c r="AW50" i="10"/>
  <c r="AV50" i="10"/>
  <c r="AU50" i="10"/>
  <c r="AT50" i="10"/>
  <c r="AR50" i="10"/>
  <c r="AQ50" i="10"/>
  <c r="AO50" i="10"/>
  <c r="AN50" i="10"/>
  <c r="AL50" i="10"/>
  <c r="AJ50" i="10"/>
  <c r="AI50" i="10"/>
  <c r="AG50" i="10"/>
  <c r="AC50" i="10"/>
  <c r="X50" i="10"/>
  <c r="V50" i="10"/>
  <c r="T50" i="10"/>
  <c r="R50" i="10"/>
  <c r="P50" i="10"/>
  <c r="J50" i="10"/>
  <c r="I50" i="10"/>
  <c r="F50" i="10"/>
  <c r="C50" i="10"/>
  <c r="DB49" i="10"/>
  <c r="DA49" i="10"/>
  <c r="CX49" i="10"/>
  <c r="CO49" i="10"/>
  <c r="CE49" i="10"/>
  <c r="CD49" i="10"/>
  <c r="CC49" i="10"/>
  <c r="CB49" i="10"/>
  <c r="CA49" i="10"/>
  <c r="BZ49" i="10"/>
  <c r="BW49" i="10"/>
  <c r="BV49" i="10"/>
  <c r="BU49" i="10"/>
  <c r="BT49" i="10"/>
  <c r="BS49" i="10"/>
  <c r="BR49" i="10"/>
  <c r="BQ49" i="10"/>
  <c r="BP49" i="10"/>
  <c r="BO49" i="10"/>
  <c r="BN49" i="10"/>
  <c r="BM49" i="10"/>
  <c r="BL49" i="10"/>
  <c r="BK49" i="10"/>
  <c r="BJ49" i="10"/>
  <c r="BH49" i="10"/>
  <c r="BG49" i="10"/>
  <c r="BC49" i="10"/>
  <c r="BA49" i="10"/>
  <c r="AZ49" i="10"/>
  <c r="AX49" i="10"/>
  <c r="AW49" i="10"/>
  <c r="AV49" i="10"/>
  <c r="AU49" i="10"/>
  <c r="AT49" i="10"/>
  <c r="AR49" i="10"/>
  <c r="AQ49" i="10"/>
  <c r="AO49" i="10"/>
  <c r="AN49" i="10"/>
  <c r="AL49" i="10"/>
  <c r="AJ49" i="10"/>
  <c r="AI49" i="10"/>
  <c r="AG49" i="10"/>
  <c r="AC49" i="10"/>
  <c r="X49" i="10"/>
  <c r="V49" i="10"/>
  <c r="T49" i="10"/>
  <c r="R49" i="10"/>
  <c r="P49" i="10"/>
  <c r="J49" i="10"/>
  <c r="I49" i="10"/>
  <c r="F49" i="10"/>
  <c r="C49" i="10"/>
  <c r="DB48" i="10"/>
  <c r="DA48" i="10"/>
  <c r="CX48" i="10"/>
  <c r="CE48" i="10"/>
  <c r="CD48" i="10"/>
  <c r="CC48" i="10"/>
  <c r="CB48" i="10"/>
  <c r="CA48" i="10"/>
  <c r="BZ48" i="10"/>
  <c r="BW48" i="10"/>
  <c r="BV48" i="10"/>
  <c r="BU48" i="10"/>
  <c r="BT48" i="10"/>
  <c r="BS48" i="10"/>
  <c r="BR48" i="10"/>
  <c r="BQ48" i="10"/>
  <c r="BP48" i="10"/>
  <c r="BO48" i="10"/>
  <c r="BN48" i="10"/>
  <c r="BM48" i="10"/>
  <c r="BL48" i="10"/>
  <c r="BK48" i="10"/>
  <c r="BJ48" i="10"/>
  <c r="BH48" i="10"/>
  <c r="BG48" i="10"/>
  <c r="BC48" i="10"/>
  <c r="BA48" i="10"/>
  <c r="AZ48" i="10"/>
  <c r="AX48" i="10"/>
  <c r="AW48" i="10"/>
  <c r="AV48" i="10"/>
  <c r="AU48" i="10"/>
  <c r="AT48" i="10"/>
  <c r="AR48" i="10"/>
  <c r="AQ48" i="10"/>
  <c r="AO48" i="10"/>
  <c r="AN48" i="10"/>
  <c r="AL48" i="10"/>
  <c r="AJ48" i="10"/>
  <c r="AI48" i="10"/>
  <c r="AG48" i="10"/>
  <c r="AC48" i="10"/>
  <c r="X48" i="10"/>
  <c r="V48" i="10"/>
  <c r="T48" i="10"/>
  <c r="R48" i="10"/>
  <c r="P48" i="10"/>
  <c r="J48" i="10"/>
  <c r="I48" i="10"/>
  <c r="F48" i="10"/>
  <c r="C48" i="10"/>
  <c r="DB47" i="10"/>
  <c r="DA47" i="10"/>
  <c r="CX47" i="10"/>
  <c r="CE47" i="10"/>
  <c r="CD47" i="10"/>
  <c r="CC47" i="10"/>
  <c r="CB47" i="10"/>
  <c r="CA47" i="10"/>
  <c r="BZ47" i="10"/>
  <c r="BW47" i="10"/>
  <c r="BV47" i="10"/>
  <c r="BU47" i="10"/>
  <c r="BT47" i="10"/>
  <c r="BS47" i="10"/>
  <c r="BR47" i="10"/>
  <c r="BQ47" i="10"/>
  <c r="BP47" i="10"/>
  <c r="BO47" i="10"/>
  <c r="BN47" i="10"/>
  <c r="BM47" i="10"/>
  <c r="BL47" i="10"/>
  <c r="BK47" i="10"/>
  <c r="BJ47" i="10"/>
  <c r="BH47" i="10"/>
  <c r="BG47" i="10"/>
  <c r="BC47" i="10"/>
  <c r="BA47" i="10"/>
  <c r="AZ47" i="10"/>
  <c r="AX47" i="10"/>
  <c r="AW47" i="10"/>
  <c r="AV47" i="10"/>
  <c r="AU47" i="10"/>
  <c r="AT47" i="10"/>
  <c r="AR47" i="10"/>
  <c r="AQ47" i="10"/>
  <c r="AO47" i="10"/>
  <c r="AN47" i="10"/>
  <c r="AL47" i="10"/>
  <c r="AJ47" i="10"/>
  <c r="AI47" i="10"/>
  <c r="AG47" i="10"/>
  <c r="AC47" i="10"/>
  <c r="X47" i="10"/>
  <c r="V47" i="10"/>
  <c r="T47" i="10"/>
  <c r="R47" i="10"/>
  <c r="P47" i="10"/>
  <c r="J47" i="10"/>
  <c r="I47" i="10"/>
  <c r="F47" i="10"/>
  <c r="C47" i="10"/>
  <c r="DB46" i="10"/>
  <c r="DA46" i="10"/>
  <c r="CX46" i="10"/>
  <c r="CR46" i="10"/>
  <c r="CR47" i="10" s="1"/>
  <c r="CE46" i="10"/>
  <c r="CD46" i="10"/>
  <c r="CC46" i="10"/>
  <c r="CB46" i="10"/>
  <c r="CA46" i="10"/>
  <c r="BZ46" i="10"/>
  <c r="BW46" i="10"/>
  <c r="BV46" i="10"/>
  <c r="BU46" i="10"/>
  <c r="BT46" i="10"/>
  <c r="BS46" i="10"/>
  <c r="BR46" i="10"/>
  <c r="BQ46" i="10"/>
  <c r="BP46" i="10"/>
  <c r="BO46" i="10"/>
  <c r="BN46" i="10"/>
  <c r="BM46" i="10"/>
  <c r="BL46" i="10"/>
  <c r="BK46" i="10"/>
  <c r="BJ46" i="10"/>
  <c r="BH46" i="10"/>
  <c r="BG46" i="10"/>
  <c r="BC46" i="10"/>
  <c r="BA46" i="10"/>
  <c r="AZ46" i="10"/>
  <c r="AX46" i="10"/>
  <c r="AW46" i="10"/>
  <c r="AV46" i="10"/>
  <c r="AU46" i="10"/>
  <c r="AT46" i="10"/>
  <c r="AR46" i="10"/>
  <c r="AQ46" i="10"/>
  <c r="AO46" i="10"/>
  <c r="AN46" i="10"/>
  <c r="AL46" i="10"/>
  <c r="AJ46" i="10"/>
  <c r="AI46" i="10"/>
  <c r="AG46" i="10"/>
  <c r="AC46" i="10"/>
  <c r="X46" i="10"/>
  <c r="V46" i="10"/>
  <c r="T46" i="10"/>
  <c r="R46" i="10"/>
  <c r="P46" i="10"/>
  <c r="J46" i="10"/>
  <c r="I46" i="10"/>
  <c r="F46" i="10"/>
  <c r="E46" i="10"/>
  <c r="C46" i="10"/>
  <c r="DB45" i="10"/>
  <c r="DA45" i="10"/>
  <c r="CX45" i="10"/>
  <c r="CE45" i="10"/>
  <c r="CD45" i="10"/>
  <c r="CC45" i="10"/>
  <c r="CB45" i="10"/>
  <c r="CA45" i="10"/>
  <c r="BZ45" i="10"/>
  <c r="BW45" i="10"/>
  <c r="BV45" i="10"/>
  <c r="BU45" i="10"/>
  <c r="BT45" i="10"/>
  <c r="BS45" i="10"/>
  <c r="BR45" i="10"/>
  <c r="BQ45" i="10"/>
  <c r="BP45" i="10"/>
  <c r="BO45" i="10"/>
  <c r="BN45" i="10"/>
  <c r="BM45" i="10"/>
  <c r="BL45" i="10"/>
  <c r="BK45" i="10"/>
  <c r="BJ45" i="10"/>
  <c r="BH45" i="10"/>
  <c r="BG45" i="10"/>
  <c r="BC45" i="10"/>
  <c r="BA45" i="10"/>
  <c r="AZ45" i="10"/>
  <c r="AX45" i="10"/>
  <c r="AW45" i="10"/>
  <c r="AV45" i="10"/>
  <c r="AU45" i="10"/>
  <c r="AT45" i="10"/>
  <c r="AR45" i="10"/>
  <c r="AQ45" i="10"/>
  <c r="AO45" i="10"/>
  <c r="AN45" i="10"/>
  <c r="AL45" i="10"/>
  <c r="AJ45" i="10"/>
  <c r="AI45" i="10"/>
  <c r="AG45" i="10"/>
  <c r="AC45" i="10"/>
  <c r="X45" i="10"/>
  <c r="V45" i="10"/>
  <c r="T45" i="10"/>
  <c r="R45" i="10"/>
  <c r="P45" i="10"/>
  <c r="J45" i="10"/>
  <c r="I45" i="10"/>
  <c r="F45" i="10"/>
  <c r="E45" i="10"/>
  <c r="C45" i="10"/>
  <c r="DB44" i="10"/>
  <c r="DA44" i="10"/>
  <c r="CX44" i="10"/>
  <c r="CE44" i="10"/>
  <c r="CD44" i="10"/>
  <c r="CC44" i="10"/>
  <c r="CB44" i="10"/>
  <c r="CA44" i="10"/>
  <c r="BZ44" i="10"/>
  <c r="BW44" i="10"/>
  <c r="BV44" i="10"/>
  <c r="BU44" i="10"/>
  <c r="BT44" i="10"/>
  <c r="BS44" i="10"/>
  <c r="BR44" i="10"/>
  <c r="BQ44" i="10"/>
  <c r="BP44" i="10"/>
  <c r="BO44" i="10"/>
  <c r="BN44" i="10"/>
  <c r="BM44" i="10"/>
  <c r="BL44" i="10"/>
  <c r="BK44" i="10"/>
  <c r="BJ44" i="10"/>
  <c r="BH44" i="10"/>
  <c r="BG44" i="10"/>
  <c r="BC44" i="10"/>
  <c r="BA44" i="10"/>
  <c r="AZ44" i="10"/>
  <c r="AX44" i="10"/>
  <c r="AW44" i="10"/>
  <c r="AV44" i="10"/>
  <c r="AU44" i="10"/>
  <c r="AT44" i="10"/>
  <c r="AR44" i="10"/>
  <c r="AQ44" i="10"/>
  <c r="AO44" i="10"/>
  <c r="AN44" i="10"/>
  <c r="AL44" i="10"/>
  <c r="AJ44" i="10"/>
  <c r="AI44" i="10"/>
  <c r="AG44" i="10"/>
  <c r="AC44" i="10"/>
  <c r="X44" i="10"/>
  <c r="V44" i="10"/>
  <c r="T44" i="10"/>
  <c r="R44" i="10"/>
  <c r="P44" i="10"/>
  <c r="J44" i="10"/>
  <c r="I44" i="10"/>
  <c r="F44" i="10"/>
  <c r="E44" i="10"/>
  <c r="C44" i="10"/>
  <c r="DB43" i="10"/>
  <c r="DA43" i="10"/>
  <c r="CX43" i="10"/>
  <c r="CE43" i="10"/>
  <c r="CD43" i="10"/>
  <c r="CC43" i="10"/>
  <c r="CB43" i="10"/>
  <c r="CA43" i="10"/>
  <c r="BZ43" i="10"/>
  <c r="BW43" i="10"/>
  <c r="BV43" i="10"/>
  <c r="BU43" i="10"/>
  <c r="BT43" i="10"/>
  <c r="BS43" i="10"/>
  <c r="BR43" i="10"/>
  <c r="BQ43" i="10"/>
  <c r="BP43" i="10"/>
  <c r="BO43" i="10"/>
  <c r="BN43" i="10"/>
  <c r="BM43" i="10"/>
  <c r="BL43" i="10"/>
  <c r="BK43" i="10"/>
  <c r="BJ43" i="10"/>
  <c r="BH43" i="10"/>
  <c r="BG43" i="10"/>
  <c r="BC43" i="10"/>
  <c r="BA43" i="10"/>
  <c r="AZ43" i="10"/>
  <c r="AX43" i="10"/>
  <c r="AW43" i="10"/>
  <c r="AV43" i="10"/>
  <c r="AU43" i="10"/>
  <c r="AT43" i="10"/>
  <c r="AR43" i="10"/>
  <c r="AQ43" i="10"/>
  <c r="AO43" i="10"/>
  <c r="AN43" i="10"/>
  <c r="AL43" i="10"/>
  <c r="AJ43" i="10"/>
  <c r="AI43" i="10"/>
  <c r="AG43" i="10"/>
  <c r="AC43" i="10"/>
  <c r="X43" i="10"/>
  <c r="V43" i="10"/>
  <c r="T43" i="10"/>
  <c r="R43" i="10"/>
  <c r="P43" i="10"/>
  <c r="J43" i="10"/>
  <c r="I43" i="10"/>
  <c r="F43" i="10"/>
  <c r="E43" i="10"/>
  <c r="C43" i="10"/>
  <c r="DB42" i="10"/>
  <c r="DA42" i="10"/>
  <c r="CX42" i="10"/>
  <c r="CV42" i="10"/>
  <c r="CP42" i="10"/>
  <c r="CE42" i="10"/>
  <c r="CD42" i="10"/>
  <c r="CC42" i="10"/>
  <c r="CB42" i="10"/>
  <c r="CA42" i="10"/>
  <c r="BZ42" i="10"/>
  <c r="BW42" i="10"/>
  <c r="BV42" i="10"/>
  <c r="BU42" i="10"/>
  <c r="BT42" i="10"/>
  <c r="BS42" i="10"/>
  <c r="BR42" i="10"/>
  <c r="BQ42" i="10"/>
  <c r="BP42" i="10"/>
  <c r="BO42" i="10"/>
  <c r="BN42" i="10"/>
  <c r="BM42" i="10"/>
  <c r="BL42" i="10"/>
  <c r="BK42" i="10"/>
  <c r="BJ42" i="10"/>
  <c r="BH42" i="10"/>
  <c r="BG42" i="10"/>
  <c r="BC42" i="10"/>
  <c r="BA42" i="10"/>
  <c r="AZ42" i="10"/>
  <c r="AX42" i="10"/>
  <c r="AW42" i="10"/>
  <c r="AV42" i="10"/>
  <c r="AU42" i="10"/>
  <c r="AT42" i="10"/>
  <c r="AR42" i="10"/>
  <c r="AQ42" i="10"/>
  <c r="AO42" i="10"/>
  <c r="AN42" i="10"/>
  <c r="AM42" i="10"/>
  <c r="AL42" i="10"/>
  <c r="AJ42" i="10"/>
  <c r="AI42" i="10"/>
  <c r="AG42" i="10"/>
  <c r="AC42" i="10"/>
  <c r="X42" i="10"/>
  <c r="V42" i="10"/>
  <c r="T42" i="10"/>
  <c r="R42" i="10"/>
  <c r="P42" i="10"/>
  <c r="J42" i="10"/>
  <c r="I42" i="10"/>
  <c r="F42" i="10"/>
  <c r="E42" i="10"/>
  <c r="C42" i="10"/>
  <c r="DB41" i="10"/>
  <c r="DA41" i="10"/>
  <c r="CX41" i="10"/>
  <c r="CW41" i="10"/>
  <c r="CS41" i="10"/>
  <c r="CE41" i="10"/>
  <c r="CD41" i="10"/>
  <c r="CC41" i="10"/>
  <c r="CB41" i="10"/>
  <c r="CA41" i="10"/>
  <c r="BZ41" i="10"/>
  <c r="BW41" i="10"/>
  <c r="BV41" i="10"/>
  <c r="BU41" i="10"/>
  <c r="BT41" i="10"/>
  <c r="BS41" i="10"/>
  <c r="BR41" i="10"/>
  <c r="BQ41" i="10"/>
  <c r="BP41" i="10"/>
  <c r="BO41" i="10"/>
  <c r="BN41" i="10"/>
  <c r="BM41" i="10"/>
  <c r="BL41" i="10"/>
  <c r="BK41" i="10"/>
  <c r="BJ41" i="10"/>
  <c r="BH41" i="10"/>
  <c r="BG41" i="10"/>
  <c r="BC41" i="10"/>
  <c r="BA41" i="10"/>
  <c r="AZ41" i="10"/>
  <c r="AX41" i="10"/>
  <c r="AW41" i="10"/>
  <c r="AV41" i="10"/>
  <c r="AU41" i="10"/>
  <c r="AT41" i="10"/>
  <c r="AR41" i="10"/>
  <c r="AQ41" i="10"/>
  <c r="AO41" i="10"/>
  <c r="AN41" i="10"/>
  <c r="AM41" i="10"/>
  <c r="AL41" i="10"/>
  <c r="AJ41" i="10"/>
  <c r="AI41" i="10"/>
  <c r="AG41" i="10"/>
  <c r="AC41" i="10"/>
  <c r="X41" i="10"/>
  <c r="V41" i="10"/>
  <c r="T41" i="10"/>
  <c r="R41" i="10"/>
  <c r="P41" i="10"/>
  <c r="J41" i="10"/>
  <c r="I41" i="10"/>
  <c r="F41" i="10"/>
  <c r="E41" i="10"/>
  <c r="C41" i="10"/>
  <c r="DB40" i="10"/>
  <c r="DA40" i="10"/>
  <c r="CX40" i="10"/>
  <c r="CW40" i="10"/>
  <c r="CE40" i="10"/>
  <c r="CD40" i="10"/>
  <c r="CC40" i="10"/>
  <c r="CB40" i="10"/>
  <c r="CA40" i="10"/>
  <c r="BZ40" i="10"/>
  <c r="BW40" i="10"/>
  <c r="BV40" i="10"/>
  <c r="BU40" i="10"/>
  <c r="BT40" i="10"/>
  <c r="BS40" i="10"/>
  <c r="BR40" i="10"/>
  <c r="BQ40" i="10"/>
  <c r="BP40" i="10"/>
  <c r="BO40" i="10"/>
  <c r="BN40" i="10"/>
  <c r="BM40" i="10"/>
  <c r="BL40" i="10"/>
  <c r="BK40" i="10"/>
  <c r="BJ40" i="10"/>
  <c r="BH40" i="10"/>
  <c r="BG40" i="10"/>
  <c r="BC40" i="10"/>
  <c r="BA40" i="10"/>
  <c r="AZ40" i="10"/>
  <c r="AX40" i="10"/>
  <c r="AW40" i="10"/>
  <c r="AV40" i="10"/>
  <c r="AU40" i="10"/>
  <c r="AT40" i="10"/>
  <c r="AR40" i="10"/>
  <c r="AQ40" i="10"/>
  <c r="AO40" i="10"/>
  <c r="AN40" i="10"/>
  <c r="AM40" i="10"/>
  <c r="AL40" i="10"/>
  <c r="AJ40" i="10"/>
  <c r="AI40" i="10"/>
  <c r="AG40" i="10"/>
  <c r="AC40" i="10"/>
  <c r="X40" i="10"/>
  <c r="V40" i="10"/>
  <c r="T40" i="10"/>
  <c r="R40" i="10"/>
  <c r="P40" i="10"/>
  <c r="J40" i="10"/>
  <c r="I40" i="10"/>
  <c r="F40" i="10"/>
  <c r="E40" i="10"/>
  <c r="C40" i="10"/>
  <c r="DB39" i="10"/>
  <c r="DA39" i="10"/>
  <c r="CX39" i="10"/>
  <c r="CE39" i="10"/>
  <c r="CD39" i="10"/>
  <c r="CC39" i="10"/>
  <c r="CB39" i="10"/>
  <c r="CA39" i="10"/>
  <c r="BZ39" i="10"/>
  <c r="BW39" i="10"/>
  <c r="BV39" i="10"/>
  <c r="BU39" i="10"/>
  <c r="BT39" i="10"/>
  <c r="BS39" i="10"/>
  <c r="BR39" i="10"/>
  <c r="BQ39" i="10"/>
  <c r="BP39" i="10"/>
  <c r="BO39" i="10"/>
  <c r="BN39" i="10"/>
  <c r="BM39" i="10"/>
  <c r="BL39" i="10"/>
  <c r="BK39" i="10"/>
  <c r="BJ39" i="10"/>
  <c r="BH39" i="10"/>
  <c r="BG39" i="10"/>
  <c r="BC39" i="10"/>
  <c r="BA39" i="10"/>
  <c r="AZ39" i="10"/>
  <c r="AY39" i="10"/>
  <c r="AX39" i="10"/>
  <c r="AW39" i="10"/>
  <c r="AV39" i="10"/>
  <c r="AU39" i="10"/>
  <c r="AT39" i="10"/>
  <c r="AR39" i="10"/>
  <c r="AQ39" i="10"/>
  <c r="AO39" i="10"/>
  <c r="AN39" i="10"/>
  <c r="AM39" i="10"/>
  <c r="AL39" i="10"/>
  <c r="AJ39" i="10"/>
  <c r="AI39" i="10"/>
  <c r="AG39" i="10"/>
  <c r="AE39" i="10"/>
  <c r="AC39" i="10"/>
  <c r="AB39" i="10"/>
  <c r="Z39" i="10"/>
  <c r="X39" i="10"/>
  <c r="V39" i="10"/>
  <c r="T39" i="10"/>
  <c r="R39" i="10"/>
  <c r="P39" i="10"/>
  <c r="K39" i="10"/>
  <c r="J39" i="10"/>
  <c r="I39" i="10"/>
  <c r="F39" i="10"/>
  <c r="E39" i="10"/>
  <c r="C39" i="10"/>
  <c r="DB38" i="10"/>
  <c r="DA38" i="10"/>
  <c r="CX38" i="10"/>
  <c r="CE38" i="10"/>
  <c r="CD38" i="10"/>
  <c r="CC38" i="10"/>
  <c r="CB38" i="10"/>
  <c r="CA38" i="10"/>
  <c r="BZ38" i="10"/>
  <c r="BW38" i="10"/>
  <c r="BV38" i="10"/>
  <c r="BU38" i="10"/>
  <c r="BT38" i="10"/>
  <c r="BS38" i="10"/>
  <c r="BR38" i="10"/>
  <c r="BQ38" i="10"/>
  <c r="BP38" i="10"/>
  <c r="BO38" i="10"/>
  <c r="BN38" i="10"/>
  <c r="BM38" i="10"/>
  <c r="BL38" i="10"/>
  <c r="BK38" i="10"/>
  <c r="BJ38" i="10"/>
  <c r="BH38" i="10"/>
  <c r="BG38" i="10"/>
  <c r="BC38" i="10"/>
  <c r="BA38" i="10"/>
  <c r="AZ38" i="10"/>
  <c r="AY38" i="10"/>
  <c r="AX38" i="10"/>
  <c r="AW38" i="10"/>
  <c r="AV38" i="10"/>
  <c r="AU38" i="10"/>
  <c r="AT38" i="10"/>
  <c r="AR38" i="10"/>
  <c r="AQ38" i="10"/>
  <c r="AO38" i="10"/>
  <c r="AN38" i="10"/>
  <c r="AM38" i="10"/>
  <c r="AL38" i="10"/>
  <c r="AJ38" i="10"/>
  <c r="AI38" i="10"/>
  <c r="AG38" i="10"/>
  <c r="AE38" i="10"/>
  <c r="AC38" i="10"/>
  <c r="AB38" i="10"/>
  <c r="Z38" i="10"/>
  <c r="X38" i="10"/>
  <c r="V38" i="10"/>
  <c r="T38" i="10"/>
  <c r="R38" i="10"/>
  <c r="P38" i="10"/>
  <c r="K38" i="10"/>
  <c r="J38" i="10"/>
  <c r="I38" i="10"/>
  <c r="F38" i="10"/>
  <c r="E38" i="10"/>
  <c r="C38" i="10"/>
  <c r="DB37" i="10"/>
  <c r="DA37" i="10"/>
  <c r="CX37" i="10"/>
  <c r="CE37" i="10"/>
  <c r="CD37" i="10"/>
  <c r="CC37" i="10"/>
  <c r="CB37" i="10"/>
  <c r="CA37" i="10"/>
  <c r="BZ37" i="10"/>
  <c r="BW37" i="10"/>
  <c r="BV37" i="10"/>
  <c r="BU37" i="10"/>
  <c r="BT37" i="10"/>
  <c r="BS37" i="10"/>
  <c r="BR37" i="10"/>
  <c r="BQ37" i="10"/>
  <c r="BP37" i="10"/>
  <c r="BO37" i="10"/>
  <c r="BN37" i="10"/>
  <c r="BM37" i="10"/>
  <c r="BL37" i="10"/>
  <c r="BK37" i="10"/>
  <c r="BJ37" i="10"/>
  <c r="BH37" i="10"/>
  <c r="BG37" i="10"/>
  <c r="BC37" i="10"/>
  <c r="BA37" i="10"/>
  <c r="AZ37" i="10"/>
  <c r="AY37" i="10"/>
  <c r="AX37" i="10"/>
  <c r="AW37" i="10"/>
  <c r="AV37" i="10"/>
  <c r="AU37" i="10"/>
  <c r="AT37" i="10"/>
  <c r="AR37" i="10"/>
  <c r="AQ37" i="10"/>
  <c r="AO37" i="10"/>
  <c r="AN37" i="10"/>
  <c r="AM37" i="10"/>
  <c r="AL37" i="10"/>
  <c r="AJ37" i="10"/>
  <c r="AI37" i="10"/>
  <c r="AG37" i="10"/>
  <c r="AE37" i="10"/>
  <c r="AC37" i="10"/>
  <c r="AB37" i="10"/>
  <c r="Z37" i="10"/>
  <c r="X37" i="10"/>
  <c r="V37" i="10"/>
  <c r="T37" i="10"/>
  <c r="R37" i="10"/>
  <c r="P37" i="10"/>
  <c r="K37" i="10"/>
  <c r="J37" i="10"/>
  <c r="I37" i="10"/>
  <c r="F37" i="10"/>
  <c r="E37" i="10"/>
  <c r="C37" i="10"/>
  <c r="DB36" i="10"/>
  <c r="DA36" i="10"/>
  <c r="CX36" i="10"/>
  <c r="CE36" i="10"/>
  <c r="CD36" i="10"/>
  <c r="CC36" i="10"/>
  <c r="CB36" i="10"/>
  <c r="CA36" i="10"/>
  <c r="BZ36" i="10"/>
  <c r="BW36" i="10"/>
  <c r="BV36" i="10"/>
  <c r="BU36" i="10"/>
  <c r="BT36" i="10"/>
  <c r="BS36" i="10"/>
  <c r="BR36" i="10"/>
  <c r="BQ36" i="10"/>
  <c r="BP36" i="10"/>
  <c r="BO36" i="10"/>
  <c r="BN36" i="10"/>
  <c r="BM36" i="10"/>
  <c r="BL36" i="10"/>
  <c r="BK36" i="10"/>
  <c r="BJ36" i="10"/>
  <c r="BI36" i="10"/>
  <c r="BH36" i="10"/>
  <c r="BG36" i="10"/>
  <c r="BF36" i="10"/>
  <c r="BD36" i="10"/>
  <c r="BC36" i="10"/>
  <c r="BA36" i="10"/>
  <c r="AZ36" i="10"/>
  <c r="AY36" i="10"/>
  <c r="AX36" i="10"/>
  <c r="AW36" i="10"/>
  <c r="AV36" i="10"/>
  <c r="AU36" i="10"/>
  <c r="AT36" i="10"/>
  <c r="AR36" i="10"/>
  <c r="AQ36" i="10"/>
  <c r="AO36" i="10"/>
  <c r="AN36" i="10"/>
  <c r="AM36" i="10"/>
  <c r="AL36" i="10"/>
  <c r="AK36" i="10"/>
  <c r="AJ36" i="10"/>
  <c r="AI36" i="10"/>
  <c r="AG36" i="10"/>
  <c r="AE36" i="10"/>
  <c r="AC36" i="10"/>
  <c r="AB36" i="10"/>
  <c r="Z36" i="10"/>
  <c r="X36" i="10"/>
  <c r="V36" i="10"/>
  <c r="T36" i="10"/>
  <c r="R36" i="10"/>
  <c r="P36" i="10"/>
  <c r="K36" i="10"/>
  <c r="J36" i="10"/>
  <c r="I36" i="10"/>
  <c r="F36" i="10"/>
  <c r="E36" i="10"/>
  <c r="C36" i="10"/>
  <c r="DB35" i="10"/>
  <c r="DA35" i="10"/>
  <c r="CX35" i="10"/>
  <c r="CV35" i="10"/>
  <c r="CU35" i="10"/>
  <c r="CT35" i="10"/>
  <c r="CS35" i="10"/>
  <c r="CR35" i="10"/>
  <c r="CQ35" i="10"/>
  <c r="CP35" i="10"/>
  <c r="CO35" i="10"/>
  <c r="CE35" i="10"/>
  <c r="CD35" i="10"/>
  <c r="CC35" i="10"/>
  <c r="CB35" i="10"/>
  <c r="CA35" i="10"/>
  <c r="BZ35" i="10"/>
  <c r="BW35" i="10"/>
  <c r="BV35" i="10"/>
  <c r="BU35" i="10"/>
  <c r="BT35" i="10"/>
  <c r="BS35" i="10"/>
  <c r="BR35" i="10"/>
  <c r="BQ35" i="10"/>
  <c r="BP35" i="10"/>
  <c r="BO35" i="10"/>
  <c r="BN35" i="10"/>
  <c r="BM35" i="10"/>
  <c r="BL35" i="10"/>
  <c r="BK35" i="10"/>
  <c r="BJ35" i="10"/>
  <c r="BI35" i="10"/>
  <c r="BH35" i="10"/>
  <c r="BG35" i="10"/>
  <c r="BF35" i="10"/>
  <c r="BD35" i="10"/>
  <c r="BC35" i="10"/>
  <c r="BA35" i="10"/>
  <c r="AZ35" i="10"/>
  <c r="AY35" i="10"/>
  <c r="AX35" i="10"/>
  <c r="AW35" i="10"/>
  <c r="AV35" i="10"/>
  <c r="AU35" i="10"/>
  <c r="AT35" i="10"/>
  <c r="AR35" i="10"/>
  <c r="AQ35" i="10"/>
  <c r="AO35" i="10"/>
  <c r="AN35" i="10"/>
  <c r="AM35" i="10"/>
  <c r="AL35" i="10"/>
  <c r="AK35" i="10"/>
  <c r="AJ35" i="10"/>
  <c r="AI35" i="10"/>
  <c r="AG35" i="10"/>
  <c r="AE35" i="10"/>
  <c r="AC35" i="10"/>
  <c r="AB35" i="10"/>
  <c r="Z35" i="10"/>
  <c r="X35" i="10"/>
  <c r="V35" i="10"/>
  <c r="T35" i="10"/>
  <c r="R35" i="10"/>
  <c r="P35" i="10"/>
  <c r="K35" i="10"/>
  <c r="J35" i="10"/>
  <c r="I35" i="10"/>
  <c r="F35" i="10"/>
  <c r="E35" i="10"/>
  <c r="C35" i="10"/>
  <c r="DB34" i="10"/>
  <c r="DA34" i="10"/>
  <c r="CX34" i="10"/>
  <c r="CE34" i="10"/>
  <c r="CD34" i="10"/>
  <c r="CC34" i="10"/>
  <c r="CB34" i="10"/>
  <c r="CA34" i="10"/>
  <c r="BZ34" i="10"/>
  <c r="BW34" i="10"/>
  <c r="BV34" i="10"/>
  <c r="BU34" i="10"/>
  <c r="BT34" i="10"/>
  <c r="BS34" i="10"/>
  <c r="BR34" i="10"/>
  <c r="BQ34" i="10"/>
  <c r="BP34" i="10"/>
  <c r="BO34" i="10"/>
  <c r="BN34" i="10"/>
  <c r="BM34" i="10"/>
  <c r="BL34" i="10"/>
  <c r="BK34" i="10"/>
  <c r="BJ34" i="10"/>
  <c r="BI34" i="10"/>
  <c r="BH34" i="10"/>
  <c r="BG34" i="10"/>
  <c r="BF34" i="10"/>
  <c r="BD34" i="10"/>
  <c r="BC34" i="10"/>
  <c r="BA34" i="10"/>
  <c r="AZ34" i="10"/>
  <c r="AY34" i="10"/>
  <c r="AX34" i="10"/>
  <c r="AW34" i="10"/>
  <c r="AV34" i="10"/>
  <c r="AU34" i="10"/>
  <c r="AT34" i="10"/>
  <c r="AR34" i="10"/>
  <c r="AQ34" i="10"/>
  <c r="AO34" i="10"/>
  <c r="AN34" i="10"/>
  <c r="AM34" i="10"/>
  <c r="AL34" i="10"/>
  <c r="AK34" i="10"/>
  <c r="AJ34" i="10"/>
  <c r="AI34" i="10"/>
  <c r="AG34" i="10"/>
  <c r="AE34" i="10"/>
  <c r="AD34" i="10"/>
  <c r="AC34" i="10"/>
  <c r="AB34" i="10"/>
  <c r="AA34" i="10"/>
  <c r="Z34" i="10"/>
  <c r="Y34" i="10"/>
  <c r="X34" i="10"/>
  <c r="V34" i="10"/>
  <c r="T34" i="10"/>
  <c r="R34" i="10"/>
  <c r="P34" i="10"/>
  <c r="K34" i="10"/>
  <c r="J34" i="10"/>
  <c r="I34" i="10"/>
  <c r="F34" i="10"/>
  <c r="E34" i="10"/>
  <c r="C34" i="10"/>
  <c r="DB33" i="10"/>
  <c r="DA33" i="10"/>
  <c r="CX33" i="10"/>
  <c r="CE33" i="10"/>
  <c r="CD33" i="10"/>
  <c r="CC33" i="10"/>
  <c r="CB33" i="10"/>
  <c r="CA33" i="10"/>
  <c r="BZ33" i="10"/>
  <c r="BW33" i="10"/>
  <c r="BV33" i="10"/>
  <c r="BU33" i="10"/>
  <c r="BT33" i="10"/>
  <c r="BS33" i="10"/>
  <c r="BR33" i="10"/>
  <c r="BQ33" i="10"/>
  <c r="BP33" i="10"/>
  <c r="BO33" i="10"/>
  <c r="BN33" i="10"/>
  <c r="BM33" i="10"/>
  <c r="BL33" i="10"/>
  <c r="BK33" i="10"/>
  <c r="BJ33" i="10"/>
  <c r="BI33" i="10"/>
  <c r="BH33" i="10"/>
  <c r="BG33" i="10"/>
  <c r="BF33" i="10"/>
  <c r="BD33" i="10"/>
  <c r="BC33" i="10"/>
  <c r="BA33" i="10"/>
  <c r="AZ33" i="10"/>
  <c r="AY33" i="10"/>
  <c r="AX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J33" i="10"/>
  <c r="AI33" i="10"/>
  <c r="AG33" i="10"/>
  <c r="AF33" i="10"/>
  <c r="AE33" i="10"/>
  <c r="AD33" i="10"/>
  <c r="AC33" i="10"/>
  <c r="AB33" i="10"/>
  <c r="AA33" i="10"/>
  <c r="Z33" i="10"/>
  <c r="Y33" i="10"/>
  <c r="X33" i="10"/>
  <c r="V33" i="10"/>
  <c r="T33" i="10"/>
  <c r="R33" i="10"/>
  <c r="P33" i="10"/>
  <c r="L56" i="10" s="1"/>
  <c r="N33" i="10"/>
  <c r="K33" i="10"/>
  <c r="J33" i="10"/>
  <c r="I33" i="10"/>
  <c r="F33" i="10"/>
  <c r="I56" i="10" s="1"/>
  <c r="E33" i="10"/>
  <c r="C33" i="10"/>
  <c r="DB32" i="10"/>
  <c r="DA32" i="10"/>
  <c r="CX32" i="10"/>
  <c r="CE32" i="10"/>
  <c r="CD32" i="10"/>
  <c r="CC32" i="10"/>
  <c r="CB32" i="10"/>
  <c r="CA32" i="10"/>
  <c r="BZ32" i="10"/>
  <c r="BY32" i="10"/>
  <c r="BX32" i="10"/>
  <c r="BW32" i="10"/>
  <c r="BV32" i="10"/>
  <c r="BU32" i="10"/>
  <c r="BT32" i="10"/>
  <c r="BS32" i="10"/>
  <c r="BR32" i="10"/>
  <c r="BQ32" i="10"/>
  <c r="BP32" i="10"/>
  <c r="BO32" i="10"/>
  <c r="BN32" i="10"/>
  <c r="BM32" i="10"/>
  <c r="BL32" i="10"/>
  <c r="BK32" i="10"/>
  <c r="BJ32" i="10"/>
  <c r="BI32" i="10"/>
  <c r="BH32" i="10"/>
  <c r="BG32" i="10"/>
  <c r="BF32" i="10"/>
  <c r="BE32" i="10"/>
  <c r="BD32" i="10"/>
  <c r="BC32" i="10"/>
  <c r="BB32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R32" i="10"/>
  <c r="P32" i="10"/>
  <c r="O32" i="10"/>
  <c r="N32" i="10"/>
  <c r="M32" i="10"/>
  <c r="L32" i="10"/>
  <c r="K32" i="10"/>
  <c r="J32" i="10"/>
  <c r="I32" i="10"/>
  <c r="F32" i="10"/>
  <c r="E32" i="10"/>
  <c r="C32" i="10"/>
  <c r="DB31" i="10"/>
  <c r="DA31" i="10"/>
  <c r="CX31" i="10"/>
  <c r="CE31" i="10"/>
  <c r="CD31" i="10"/>
  <c r="CC31" i="10"/>
  <c r="CB31" i="10"/>
  <c r="CA31" i="10"/>
  <c r="BZ31" i="10"/>
  <c r="BY31" i="10"/>
  <c r="BX31" i="10"/>
  <c r="BW31" i="10"/>
  <c r="BV31" i="10"/>
  <c r="BU31" i="10"/>
  <c r="BT31" i="10"/>
  <c r="BS31" i="10"/>
  <c r="BR31" i="10"/>
  <c r="BQ31" i="10"/>
  <c r="BP31" i="10"/>
  <c r="BO31" i="10"/>
  <c r="BN31" i="10"/>
  <c r="BM31" i="10"/>
  <c r="BL31" i="10"/>
  <c r="BK31" i="10"/>
  <c r="BJ31" i="10"/>
  <c r="BI31" i="10"/>
  <c r="BH31" i="10"/>
  <c r="BG31" i="10"/>
  <c r="BF31" i="10"/>
  <c r="BE31" i="10"/>
  <c r="BD31" i="10"/>
  <c r="BC31" i="10"/>
  <c r="BB31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P31" i="10"/>
  <c r="O31" i="10"/>
  <c r="N31" i="10"/>
  <c r="M31" i="10"/>
  <c r="L31" i="10"/>
  <c r="K31" i="10"/>
  <c r="J31" i="10"/>
  <c r="I31" i="10"/>
  <c r="F31" i="10"/>
  <c r="E31" i="10"/>
  <c r="C31" i="10"/>
  <c r="DB30" i="10"/>
  <c r="DA30" i="10"/>
  <c r="CX30" i="10"/>
  <c r="CE30" i="10"/>
  <c r="CD30" i="10"/>
  <c r="CC30" i="10"/>
  <c r="CB30" i="10"/>
  <c r="CA30" i="10"/>
  <c r="BZ30" i="10"/>
  <c r="BY30" i="10"/>
  <c r="BX30" i="10"/>
  <c r="BW30" i="10"/>
  <c r="BV30" i="10"/>
  <c r="BU30" i="10"/>
  <c r="BT30" i="10"/>
  <c r="BS30" i="10"/>
  <c r="BR30" i="10"/>
  <c r="BQ30" i="10"/>
  <c r="BP30" i="10"/>
  <c r="BO30" i="10"/>
  <c r="BN30" i="10"/>
  <c r="BM30" i="10"/>
  <c r="BL30" i="10"/>
  <c r="BK30" i="10"/>
  <c r="BJ30" i="10"/>
  <c r="BI30" i="10"/>
  <c r="BH30" i="10"/>
  <c r="BG30" i="10"/>
  <c r="BF30" i="10"/>
  <c r="BE30" i="10"/>
  <c r="BD30" i="10"/>
  <c r="BC30" i="10"/>
  <c r="BB30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DB29" i="10"/>
  <c r="DA29" i="10"/>
  <c r="CX29" i="10"/>
  <c r="CE29" i="10"/>
  <c r="CD29" i="10"/>
  <c r="CC29" i="10"/>
  <c r="CB29" i="10"/>
  <c r="CA29" i="10"/>
  <c r="BZ29" i="10"/>
  <c r="BY29" i="10"/>
  <c r="BX29" i="10"/>
  <c r="BW29" i="10"/>
  <c r="BV29" i="10"/>
  <c r="BU29" i="10"/>
  <c r="BT29" i="10"/>
  <c r="BS29" i="10"/>
  <c r="BR29" i="10"/>
  <c r="BQ29" i="10"/>
  <c r="BP29" i="10"/>
  <c r="BO29" i="10"/>
  <c r="BN29" i="10"/>
  <c r="BM29" i="10"/>
  <c r="BL29" i="10"/>
  <c r="BK29" i="10"/>
  <c r="BJ29" i="10"/>
  <c r="BI29" i="10"/>
  <c r="BH29" i="10"/>
  <c r="BG29" i="10"/>
  <c r="BF29" i="10"/>
  <c r="BE29" i="10"/>
  <c r="BD29" i="10"/>
  <c r="BC29" i="10"/>
  <c r="BB29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DB28" i="10"/>
  <c r="DA28" i="10"/>
  <c r="CX28" i="10"/>
  <c r="DB27" i="10"/>
  <c r="DA27" i="10"/>
  <c r="CX27" i="10"/>
  <c r="DB26" i="10"/>
  <c r="DA26" i="10"/>
  <c r="CX26" i="10"/>
  <c r="DB25" i="10"/>
  <c r="DA25" i="10"/>
  <c r="CX25" i="10"/>
  <c r="Q25" i="10"/>
  <c r="DB24" i="10"/>
  <c r="DA24" i="10"/>
  <c r="CX24" i="10"/>
  <c r="DB23" i="10"/>
  <c r="DA23" i="10"/>
  <c r="CX23" i="10"/>
  <c r="DB22" i="10"/>
  <c r="DA22" i="10"/>
  <c r="CX22" i="10"/>
  <c r="DB21" i="10"/>
  <c r="DA21" i="10"/>
  <c r="CX21" i="10"/>
  <c r="AD21" i="10"/>
  <c r="AA21" i="10"/>
  <c r="Y21" i="10"/>
  <c r="DB20" i="10"/>
  <c r="DA20" i="10"/>
  <c r="CX20" i="10"/>
  <c r="BY20" i="10"/>
  <c r="BX20" i="10"/>
  <c r="BF20" i="10"/>
  <c r="BE20" i="10"/>
  <c r="BD20" i="10"/>
  <c r="AS20" i="10"/>
  <c r="AH20" i="10"/>
  <c r="U20" i="10"/>
  <c r="Q20" i="10"/>
  <c r="N20" i="10"/>
  <c r="M20" i="10"/>
  <c r="H20" i="10"/>
  <c r="G20" i="10"/>
  <c r="E20" i="10"/>
  <c r="E48" i="10" s="1"/>
  <c r="D20" i="10"/>
  <c r="DB19" i="10"/>
  <c r="DA19" i="10"/>
  <c r="CX19" i="10"/>
  <c r="DB18" i="10"/>
  <c r="DA18" i="10"/>
  <c r="CX18" i="10"/>
  <c r="DB17" i="10"/>
  <c r="DA17" i="10"/>
  <c r="CX17" i="10"/>
  <c r="AK17" i="10"/>
  <c r="DB16" i="10"/>
  <c r="DA16" i="10"/>
  <c r="CX16" i="10"/>
  <c r="AM16" i="10"/>
  <c r="H16" i="10"/>
  <c r="DB15" i="10"/>
  <c r="DA15" i="10"/>
  <c r="CX15" i="10"/>
  <c r="DB14" i="10"/>
  <c r="DA14" i="10"/>
  <c r="CX14" i="10"/>
  <c r="DB13" i="10"/>
  <c r="DA13" i="10"/>
  <c r="CX13" i="10"/>
  <c r="BY13" i="10"/>
  <c r="BX13" i="10"/>
  <c r="BF13" i="10"/>
  <c r="BE13" i="10"/>
  <c r="BD13" i="10"/>
  <c r="AY13" i="10"/>
  <c r="AH13" i="10"/>
  <c r="AE13" i="10"/>
  <c r="AE51" i="10" s="1"/>
  <c r="AD13" i="10"/>
  <c r="AB13" i="10"/>
  <c r="AB45" i="10" s="1"/>
  <c r="Z13" i="10"/>
  <c r="Z50" i="10" s="1"/>
  <c r="Y13" i="10"/>
  <c r="Q13" i="10"/>
  <c r="N13" i="10"/>
  <c r="M13" i="10"/>
  <c r="K13" i="10"/>
  <c r="K44" i="10" s="1"/>
  <c r="B13" i="10"/>
  <c r="DB12" i="10"/>
  <c r="DA12" i="10"/>
  <c r="CX12" i="10"/>
  <c r="DB11" i="10"/>
  <c r="DA11" i="10"/>
  <c r="CX11" i="10"/>
  <c r="DB10" i="10"/>
  <c r="DA10" i="10"/>
  <c r="CX10" i="10"/>
  <c r="BY10" i="10"/>
  <c r="BX10" i="10"/>
  <c r="BI10" i="10"/>
  <c r="BI43" i="10" s="1"/>
  <c r="BF10" i="10"/>
  <c r="BE10" i="10"/>
  <c r="BD10" i="10"/>
  <c r="AK10" i="10"/>
  <c r="AH10" i="10"/>
  <c r="AF10" i="10"/>
  <c r="AD10" i="10"/>
  <c r="AA10" i="10"/>
  <c r="Y10" i="10"/>
  <c r="Q10" i="10"/>
  <c r="N10" i="10"/>
  <c r="M10" i="10"/>
  <c r="L10" i="10"/>
  <c r="H10" i="10"/>
  <c r="G10" i="10"/>
  <c r="B10" i="10"/>
  <c r="DB9" i="10"/>
  <c r="DA9" i="10"/>
  <c r="CX9" i="10"/>
  <c r="DB8" i="10"/>
  <c r="DA8" i="10"/>
  <c r="CX8" i="10"/>
  <c r="AD8" i="10"/>
  <c r="AD48" i="10" s="1"/>
  <c r="AA8" i="10"/>
  <c r="AA45" i="10" s="1"/>
  <c r="Y8" i="10"/>
  <c r="S8" i="10"/>
  <c r="DB7" i="10"/>
  <c r="DA7" i="10"/>
  <c r="CX7" i="10"/>
  <c r="BY7" i="10"/>
  <c r="BX7" i="10"/>
  <c r="AS7" i="10"/>
  <c r="AS50" i="10" s="1"/>
  <c r="AP7" i="10"/>
  <c r="AP34" i="10" s="1"/>
  <c r="AH7" i="10"/>
  <c r="S7" i="10"/>
  <c r="N7" i="10"/>
  <c r="M7" i="10"/>
  <c r="L7" i="10"/>
  <c r="H7" i="10"/>
  <c r="G7" i="10"/>
  <c r="B7" i="10"/>
  <c r="DB6" i="10"/>
  <c r="DA6" i="10"/>
  <c r="CX6" i="10"/>
  <c r="BY6" i="10"/>
  <c r="BX6" i="10"/>
  <c r="BX47" i="10" s="1"/>
  <c r="BE6" i="10"/>
  <c r="BE35" i="10" s="1"/>
  <c r="BB6" i="10"/>
  <c r="BB34" i="10" s="1"/>
  <c r="AH6" i="10"/>
  <c r="AH34" i="10" s="1"/>
  <c r="AF6" i="10"/>
  <c r="W6" i="10"/>
  <c r="U6" i="10"/>
  <c r="U46" i="10" s="1"/>
  <c r="S6" i="10"/>
  <c r="Q6" i="10"/>
  <c r="O6" i="10"/>
  <c r="O47" i="10" s="1"/>
  <c r="M6" i="10"/>
  <c r="L6" i="10"/>
  <c r="H6" i="10"/>
  <c r="G6" i="10"/>
  <c r="B6" i="10"/>
  <c r="DB5" i="10"/>
  <c r="DA5" i="10"/>
  <c r="CX5" i="10"/>
  <c r="S5" i="10"/>
  <c r="Q5" i="10"/>
  <c r="H5" i="10"/>
  <c r="G5" i="10"/>
  <c r="D5" i="10"/>
  <c r="B5" i="10"/>
  <c r="DB4" i="10"/>
  <c r="DA4" i="10"/>
  <c r="CX4" i="10"/>
  <c r="Q4" i="10"/>
  <c r="H4" i="10"/>
  <c r="G4" i="10"/>
  <c r="D4" i="10"/>
  <c r="D39" i="10" s="1"/>
  <c r="B4" i="10"/>
  <c r="B40" i="10" s="1"/>
  <c r="DB3" i="10"/>
  <c r="DA3" i="10"/>
  <c r="CX3" i="10"/>
  <c r="Q3" i="10"/>
  <c r="Q31" i="10" s="1"/>
  <c r="DB2" i="10"/>
  <c r="DA2" i="10"/>
  <c r="CX2" i="10"/>
  <c r="I3" i="11" l="1"/>
  <c r="I6" i="11"/>
  <c r="BY45" i="10"/>
  <c r="N51" i="10"/>
  <c r="G51" i="10"/>
  <c r="O33" i="10"/>
  <c r="K56" i="10" s="1"/>
  <c r="AD35" i="10"/>
  <c r="H44" i="10"/>
  <c r="AF42" i="10"/>
  <c r="CO52" i="10"/>
  <c r="G33" i="10"/>
  <c r="M51" i="10"/>
  <c r="H33" i="10"/>
  <c r="S48" i="10"/>
  <c r="W49" i="10"/>
  <c r="W50" i="10"/>
  <c r="W48" i="10"/>
  <c r="Q50" i="10"/>
  <c r="Q51" i="10"/>
  <c r="L48" i="10"/>
  <c r="L52" i="10"/>
  <c r="L50" i="10"/>
  <c r="AH48" i="10"/>
  <c r="AH52" i="10"/>
  <c r="AH49" i="10"/>
  <c r="AP48" i="10"/>
  <c r="AP52" i="10"/>
  <c r="AP49" i="10"/>
  <c r="Y50" i="10"/>
  <c r="Y51" i="10"/>
  <c r="BF48" i="10"/>
  <c r="BF52" i="10"/>
  <c r="BF49" i="10"/>
  <c r="AY51" i="10"/>
  <c r="AY52" i="10"/>
  <c r="AY46" i="10"/>
  <c r="AM49" i="10"/>
  <c r="AM50" i="10"/>
  <c r="AM48" i="10"/>
  <c r="Q30" i="10"/>
  <c r="D31" i="10"/>
  <c r="G32" i="10"/>
  <c r="B33" i="10"/>
  <c r="AH33" i="10"/>
  <c r="M34" i="10"/>
  <c r="U34" i="10"/>
  <c r="AS34" i="10"/>
  <c r="BY34" i="10"/>
  <c r="H35" i="10"/>
  <c r="AF35" i="10"/>
  <c r="S36" i="10"/>
  <c r="AA36" i="10"/>
  <c r="N37" i="10"/>
  <c r="AD37" i="10"/>
  <c r="BB37" i="10"/>
  <c r="Q38" i="10"/>
  <c r="Y38" i="10"/>
  <c r="BE38" i="10"/>
  <c r="L39" i="10"/>
  <c r="BX39" i="10"/>
  <c r="G40" i="10"/>
  <c r="O40" i="10"/>
  <c r="W40" i="10"/>
  <c r="AE40" i="10"/>
  <c r="Q41" i="10"/>
  <c r="Y41" i="10"/>
  <c r="BE41" i="10"/>
  <c r="B42" i="10"/>
  <c r="Z42" i="10"/>
  <c r="AH42" i="10"/>
  <c r="AP42" i="10"/>
  <c r="BF42" i="10"/>
  <c r="K43" i="10"/>
  <c r="S43" i="10"/>
  <c r="AA43" i="10"/>
  <c r="AY43" i="10"/>
  <c r="N44" i="10"/>
  <c r="AD44" i="10"/>
  <c r="BB44" i="10"/>
  <c r="Q45" i="10"/>
  <c r="Y45" i="10"/>
  <c r="BF45" i="10"/>
  <c r="N46" i="10"/>
  <c r="W46" i="10"/>
  <c r="AF46" i="10"/>
  <c r="BE46" i="10"/>
  <c r="L47" i="10"/>
  <c r="AD47" i="10"/>
  <c r="AM47" i="10"/>
  <c r="BE47" i="10"/>
  <c r="H48" i="10"/>
  <c r="BE48" i="10"/>
  <c r="S49" i="10"/>
  <c r="AD49" i="10"/>
  <c r="K50" i="10"/>
  <c r="AH51" i="10"/>
  <c r="AP51" i="10"/>
  <c r="O52" i="10"/>
  <c r="Y52" i="10"/>
  <c r="AM52" i="10"/>
  <c r="D48" i="10"/>
  <c r="D52" i="10"/>
  <c r="D50" i="10"/>
  <c r="AK52" i="10"/>
  <c r="AK49" i="10"/>
  <c r="AK47" i="10"/>
  <c r="BD47" i="10"/>
  <c r="BD51" i="10"/>
  <c r="BD52" i="10"/>
  <c r="BD45" i="10"/>
  <c r="H32" i="10"/>
  <c r="S33" i="10"/>
  <c r="N34" i="10"/>
  <c r="Q35" i="10"/>
  <c r="Y35" i="10"/>
  <c r="D36" i="10"/>
  <c r="L36" i="10"/>
  <c r="BX36" i="10"/>
  <c r="G37" i="10"/>
  <c r="O37" i="10"/>
  <c r="W37" i="10"/>
  <c r="B38" i="10"/>
  <c r="AH38" i="10"/>
  <c r="AP38" i="10"/>
  <c r="BF38" i="10"/>
  <c r="M39" i="10"/>
  <c r="U39" i="10"/>
  <c r="AK39" i="10"/>
  <c r="AS39" i="10"/>
  <c r="BI39" i="10"/>
  <c r="BY39" i="10"/>
  <c r="H40" i="10"/>
  <c r="AF40" i="10"/>
  <c r="BD40" i="10"/>
  <c r="B41" i="10"/>
  <c r="Z41" i="10"/>
  <c r="AH41" i="10"/>
  <c r="AP41" i="10"/>
  <c r="BF41" i="10"/>
  <c r="K42" i="10"/>
  <c r="S42" i="10"/>
  <c r="AA42" i="10"/>
  <c r="AY42" i="10"/>
  <c r="D43" i="10"/>
  <c r="L43" i="10"/>
  <c r="AB43" i="10"/>
  <c r="BX43" i="10"/>
  <c r="G44" i="10"/>
  <c r="O44" i="10"/>
  <c r="W44" i="10"/>
  <c r="AE44" i="10"/>
  <c r="AM44" i="10"/>
  <c r="B45" i="10"/>
  <c r="Z45" i="10"/>
  <c r="AH45" i="10"/>
  <c r="AP45" i="10"/>
  <c r="O46" i="10"/>
  <c r="BF46" i="10"/>
  <c r="D47" i="10"/>
  <c r="N47" i="10"/>
  <c r="W47" i="10"/>
  <c r="AE47" i="10"/>
  <c r="BF47" i="10"/>
  <c r="AF49" i="10"/>
  <c r="B50" i="10"/>
  <c r="M50" i="10"/>
  <c r="B51" i="10"/>
  <c r="L51" i="10"/>
  <c r="W51" i="10"/>
  <c r="B31" i="10"/>
  <c r="S51" i="10"/>
  <c r="S52" i="10"/>
  <c r="S46" i="10"/>
  <c r="BB50" i="10"/>
  <c r="BB51" i="10"/>
  <c r="AS52" i="10"/>
  <c r="AS49" i="10"/>
  <c r="AS47" i="10"/>
  <c r="BE50" i="10"/>
  <c r="BE51" i="10"/>
  <c r="AD50" i="10"/>
  <c r="AD51" i="10"/>
  <c r="Q32" i="10"/>
  <c r="D33" i="10"/>
  <c r="L33" i="10"/>
  <c r="BX33" i="10"/>
  <c r="G34" i="10"/>
  <c r="O34" i="10"/>
  <c r="W34" i="10"/>
  <c r="B35" i="10"/>
  <c r="AH35" i="10"/>
  <c r="AP35" i="10"/>
  <c r="M36" i="10"/>
  <c r="U36" i="10"/>
  <c r="AS36" i="10"/>
  <c r="BY36" i="10"/>
  <c r="H37" i="10"/>
  <c r="AF37" i="10"/>
  <c r="BD37" i="10"/>
  <c r="S38" i="10"/>
  <c r="AA38" i="10"/>
  <c r="N39" i="10"/>
  <c r="AD39" i="10"/>
  <c r="BB39" i="10"/>
  <c r="Q40" i="10"/>
  <c r="Y40" i="10"/>
  <c r="BE40" i="10"/>
  <c r="K41" i="10"/>
  <c r="S41" i="10"/>
  <c r="AA41" i="10"/>
  <c r="AY41" i="10"/>
  <c r="D42" i="10"/>
  <c r="L42" i="10"/>
  <c r="AB42" i="10"/>
  <c r="BX42" i="10"/>
  <c r="M43" i="10"/>
  <c r="U43" i="10"/>
  <c r="AK43" i="10"/>
  <c r="AS43" i="10"/>
  <c r="BY43" i="10"/>
  <c r="AF44" i="10"/>
  <c r="BD44" i="10"/>
  <c r="K45" i="10"/>
  <c r="S45" i="10"/>
  <c r="AY45" i="10"/>
  <c r="BX45" i="10"/>
  <c r="G46" i="10"/>
  <c r="Y46" i="10"/>
  <c r="AH46" i="10"/>
  <c r="AP46" i="10"/>
  <c r="AF47" i="10"/>
  <c r="AF48" i="10"/>
  <c r="AY48" i="10"/>
  <c r="BY48" i="10"/>
  <c r="K49" i="10"/>
  <c r="BB49" i="10"/>
  <c r="N50" i="10"/>
  <c r="AK50" i="10"/>
  <c r="Q52" i="10"/>
  <c r="AD52" i="10"/>
  <c r="H51" i="10"/>
  <c r="H52" i="10"/>
  <c r="M52" i="10"/>
  <c r="M49" i="10"/>
  <c r="M47" i="10"/>
  <c r="AA51" i="10"/>
  <c r="AA52" i="10"/>
  <c r="AA46" i="10"/>
  <c r="BI52" i="10"/>
  <c r="BI49" i="10"/>
  <c r="BI47" i="10"/>
  <c r="O49" i="10"/>
  <c r="O50" i="10"/>
  <c r="O48" i="10"/>
  <c r="BX48" i="10"/>
  <c r="BX52" i="10"/>
  <c r="BX50" i="10"/>
  <c r="Z48" i="10"/>
  <c r="Z52" i="10"/>
  <c r="Z49" i="10"/>
  <c r="G31" i="10"/>
  <c r="B32" i="10"/>
  <c r="J56" i="10"/>
  <c r="H56" i="10"/>
  <c r="M33" i="10"/>
  <c r="U33" i="10"/>
  <c r="BY33" i="10"/>
  <c r="H34" i="10"/>
  <c r="AF34" i="10"/>
  <c r="S35" i="10"/>
  <c r="AA35" i="10"/>
  <c r="N36" i="10"/>
  <c r="AD36" i="10"/>
  <c r="BB36" i="10"/>
  <c r="Q37" i="10"/>
  <c r="Y37" i="10"/>
  <c r="BE37" i="10"/>
  <c r="D38" i="10"/>
  <c r="L38" i="10"/>
  <c r="BX38" i="10"/>
  <c r="G39" i="10"/>
  <c r="O39" i="10"/>
  <c r="W39" i="10"/>
  <c r="Z40" i="10"/>
  <c r="AH40" i="10"/>
  <c r="AP40" i="10"/>
  <c r="BF40" i="10"/>
  <c r="D41" i="10"/>
  <c r="L41" i="10"/>
  <c r="AB41" i="10"/>
  <c r="BX41" i="10"/>
  <c r="M42" i="10"/>
  <c r="U42" i="10"/>
  <c r="AK42" i="10"/>
  <c r="AS42" i="10"/>
  <c r="BI42" i="10"/>
  <c r="BY42" i="10"/>
  <c r="N43" i="10"/>
  <c r="AD43" i="10"/>
  <c r="BB43" i="10"/>
  <c r="Q44" i="10"/>
  <c r="Y44" i="10"/>
  <c r="BE44" i="10"/>
  <c r="D45" i="10"/>
  <c r="L45" i="10"/>
  <c r="BI45" i="10"/>
  <c r="H46" i="10"/>
  <c r="Q46" i="10"/>
  <c r="Z46" i="10"/>
  <c r="BX46" i="10"/>
  <c r="G47" i="10"/>
  <c r="Y47" i="10"/>
  <c r="AP47" i="10"/>
  <c r="AY47" i="10"/>
  <c r="K48" i="10"/>
  <c r="U48" i="10"/>
  <c r="BI48" i="10"/>
  <c r="L49" i="10"/>
  <c r="E50" i="10"/>
  <c r="AA50" i="10"/>
  <c r="BD50" i="10"/>
  <c r="D51" i="10"/>
  <c r="O51" i="10"/>
  <c r="Z51" i="10"/>
  <c r="AK51" i="10"/>
  <c r="AS51" i="10"/>
  <c r="AE52" i="10"/>
  <c r="D32" i="10"/>
  <c r="B48" i="10"/>
  <c r="B52" i="10"/>
  <c r="B49" i="10"/>
  <c r="BY52" i="10"/>
  <c r="BY49" i="10"/>
  <c r="BY47" i="10"/>
  <c r="AB48" i="10"/>
  <c r="AB52" i="10"/>
  <c r="AB50" i="10"/>
  <c r="H31" i="10"/>
  <c r="S32" i="10"/>
  <c r="BB33" i="10"/>
  <c r="Q34" i="10"/>
  <c r="BE34" i="10"/>
  <c r="D35" i="10"/>
  <c r="L35" i="10"/>
  <c r="BX35" i="10"/>
  <c r="G36" i="10"/>
  <c r="O36" i="10"/>
  <c r="W36" i="10"/>
  <c r="B37" i="10"/>
  <c r="AH37" i="10"/>
  <c r="AP37" i="10"/>
  <c r="BF37" i="10"/>
  <c r="M38" i="10"/>
  <c r="U38" i="10"/>
  <c r="AK38" i="10"/>
  <c r="AS38" i="10"/>
  <c r="BI38" i="10"/>
  <c r="BY38" i="10"/>
  <c r="H39" i="10"/>
  <c r="AF39" i="10"/>
  <c r="BD39" i="10"/>
  <c r="K40" i="10"/>
  <c r="S40" i="10"/>
  <c r="AA40" i="10"/>
  <c r="AY40" i="10"/>
  <c r="M41" i="10"/>
  <c r="U41" i="10"/>
  <c r="AK41" i="10"/>
  <c r="AS41" i="10"/>
  <c r="BI41" i="10"/>
  <c r="BY41" i="10"/>
  <c r="N42" i="10"/>
  <c r="AD42" i="10"/>
  <c r="BB42" i="10"/>
  <c r="G43" i="10"/>
  <c r="O43" i="10"/>
  <c r="W43" i="10"/>
  <c r="AE43" i="10"/>
  <c r="AM43" i="10"/>
  <c r="B44" i="10"/>
  <c r="Z44" i="10"/>
  <c r="AH44" i="10"/>
  <c r="AP44" i="10"/>
  <c r="BF44" i="10"/>
  <c r="M45" i="10"/>
  <c r="U45" i="10"/>
  <c r="AK45" i="10"/>
  <c r="AS45" i="10"/>
  <c r="AB46" i="10"/>
  <c r="BI46" i="10"/>
  <c r="BY46" i="10"/>
  <c r="H47" i="10"/>
  <c r="Q47" i="10"/>
  <c r="Z47" i="10"/>
  <c r="AH47" i="10"/>
  <c r="M48" i="10"/>
  <c r="AS48" i="10"/>
  <c r="N49" i="10"/>
  <c r="Y49" i="10"/>
  <c r="BD49" i="10"/>
  <c r="BF50" i="10"/>
  <c r="E51" i="10"/>
  <c r="AB51" i="10"/>
  <c r="BF51" i="10"/>
  <c r="G52" i="10"/>
  <c r="BB52" i="10"/>
  <c r="G5" i="1"/>
  <c r="W33" i="10"/>
  <c r="B34" i="10"/>
  <c r="M35" i="10"/>
  <c r="U35" i="10"/>
  <c r="AS35" i="10"/>
  <c r="BY35" i="10"/>
  <c r="H36" i="10"/>
  <c r="AF36" i="10"/>
  <c r="S37" i="10"/>
  <c r="AA37" i="10"/>
  <c r="N38" i="10"/>
  <c r="AD38" i="10"/>
  <c r="BB38" i="10"/>
  <c r="Q39" i="10"/>
  <c r="Y39" i="10"/>
  <c r="BE39" i="10"/>
  <c r="D40" i="10"/>
  <c r="L40" i="10"/>
  <c r="AB40" i="10"/>
  <c r="BX40" i="10"/>
  <c r="N41" i="10"/>
  <c r="AD41" i="10"/>
  <c r="BB41" i="10"/>
  <c r="G42" i="10"/>
  <c r="O42" i="10"/>
  <c r="W42" i="10"/>
  <c r="AE42" i="10"/>
  <c r="H43" i="10"/>
  <c r="AF43" i="10"/>
  <c r="BD43" i="10"/>
  <c r="S44" i="10"/>
  <c r="AA44" i="10"/>
  <c r="AY44" i="10"/>
  <c r="N45" i="10"/>
  <c r="AD45" i="10"/>
  <c r="BB45" i="10"/>
  <c r="B46" i="10"/>
  <c r="AK46" i="10"/>
  <c r="AS46" i="10"/>
  <c r="BB46" i="10"/>
  <c r="AA47" i="10"/>
  <c r="N48" i="10"/>
  <c r="BB48" i="10"/>
  <c r="D49" i="10"/>
  <c r="AA49" i="10"/>
  <c r="BE49" i="10"/>
  <c r="H50" i="10"/>
  <c r="S50" i="10"/>
  <c r="AF50" i="10"/>
  <c r="AM51" i="10"/>
  <c r="M3" i="1"/>
  <c r="M4" i="1" s="1"/>
  <c r="K51" i="10"/>
  <c r="K52" i="10"/>
  <c r="K46" i="10"/>
  <c r="S34" i="10"/>
  <c r="N35" i="10"/>
  <c r="BB35" i="10"/>
  <c r="Q36" i="10"/>
  <c r="Y36" i="10"/>
  <c r="BE36" i="10"/>
  <c r="D37" i="10"/>
  <c r="L37" i="10"/>
  <c r="BX37" i="10"/>
  <c r="G38" i="10"/>
  <c r="O38" i="10"/>
  <c r="W38" i="10"/>
  <c r="B39" i="10"/>
  <c r="AH39" i="10"/>
  <c r="AP39" i="10"/>
  <c r="BF39" i="10"/>
  <c r="M40" i="10"/>
  <c r="U40" i="10"/>
  <c r="AK40" i="10"/>
  <c r="AS40" i="10"/>
  <c r="BI40" i="10"/>
  <c r="BY40" i="10"/>
  <c r="G41" i="10"/>
  <c r="O41" i="10"/>
  <c r="W41" i="10"/>
  <c r="AE41" i="10"/>
  <c r="H42" i="10"/>
  <c r="BD42" i="10"/>
  <c r="Q43" i="10"/>
  <c r="Y43" i="10"/>
  <c r="BE43" i="10"/>
  <c r="D44" i="10"/>
  <c r="L44" i="10"/>
  <c r="AB44" i="10"/>
  <c r="BX44" i="10"/>
  <c r="G45" i="10"/>
  <c r="O45" i="10"/>
  <c r="W45" i="10"/>
  <c r="AE45" i="10"/>
  <c r="AM45" i="10"/>
  <c r="L46" i="10"/>
  <c r="AD46" i="10"/>
  <c r="S47" i="10"/>
  <c r="AB47" i="10"/>
  <c r="BB47" i="10"/>
  <c r="Y48" i="10"/>
  <c r="AK48" i="10"/>
  <c r="Q49" i="10"/>
  <c r="AB49" i="10"/>
  <c r="BX49" i="10"/>
  <c r="AP50" i="10"/>
  <c r="BY50" i="10"/>
  <c r="BX51" i="10"/>
  <c r="W52" i="10"/>
  <c r="BE52" i="10"/>
  <c r="U52" i="10"/>
  <c r="U49" i="10"/>
  <c r="U47" i="10"/>
  <c r="G49" i="10"/>
  <c r="G50" i="10"/>
  <c r="G48" i="10"/>
  <c r="AE49" i="10"/>
  <c r="AE50" i="10"/>
  <c r="AE48" i="10"/>
  <c r="AF51" i="10"/>
  <c r="AF52" i="10"/>
  <c r="E52" i="10"/>
  <c r="E49" i="10"/>
  <c r="E47" i="10"/>
  <c r="Q33" i="10"/>
  <c r="BE33" i="10"/>
  <c r="D34" i="10"/>
  <c r="L34" i="10"/>
  <c r="BX34" i="10"/>
  <c r="G35" i="10"/>
  <c r="O35" i="10"/>
  <c r="W35" i="10"/>
  <c r="B36" i="10"/>
  <c r="AH36" i="10"/>
  <c r="AP36" i="10"/>
  <c r="M37" i="10"/>
  <c r="U37" i="10"/>
  <c r="AK37" i="10"/>
  <c r="AS37" i="10"/>
  <c r="BI37" i="10"/>
  <c r="BY37" i="10"/>
  <c r="H38" i="10"/>
  <c r="AF38" i="10"/>
  <c r="BD38" i="10"/>
  <c r="S39" i="10"/>
  <c r="AA39" i="10"/>
  <c r="N40" i="10"/>
  <c r="AD40" i="10"/>
  <c r="BB40" i="10"/>
  <c r="H41" i="10"/>
  <c r="AF41" i="10"/>
  <c r="BD41" i="10"/>
  <c r="Q42" i="10"/>
  <c r="Y42" i="10"/>
  <c r="BE42" i="10"/>
  <c r="B43" i="10"/>
  <c r="Z43" i="10"/>
  <c r="AH43" i="10"/>
  <c r="AP43" i="10"/>
  <c r="BF43" i="10"/>
  <c r="M44" i="10"/>
  <c r="U44" i="10"/>
  <c r="AK44" i="10"/>
  <c r="AS44" i="10"/>
  <c r="BI44" i="10"/>
  <c r="BY44" i="10"/>
  <c r="H45" i="10"/>
  <c r="AF45" i="10"/>
  <c r="BE45" i="10"/>
  <c r="D46" i="10"/>
  <c r="M46" i="10"/>
  <c r="AE46" i="10"/>
  <c r="AM46" i="10"/>
  <c r="BD46" i="10"/>
  <c r="B47" i="10"/>
  <c r="K47" i="10"/>
  <c r="Q48" i="10"/>
  <c r="AA48" i="10"/>
  <c r="BD48" i="10"/>
  <c r="H49" i="10"/>
  <c r="AY49" i="10"/>
  <c r="U50" i="10"/>
  <c r="AH50" i="10"/>
  <c r="AY50" i="10"/>
  <c r="BI50" i="10"/>
  <c r="U51" i="10"/>
  <c r="BI51" i="10"/>
  <c r="BY51" i="10"/>
  <c r="N52" i="10"/>
  <c r="E24" i="3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K15" i="8"/>
  <c r="C3" i="4"/>
  <c r="B3" i="4"/>
  <c r="D3" i="4"/>
  <c r="K4" i="8"/>
  <c r="K7" i="8" s="1"/>
  <c r="I21" i="2"/>
  <c r="B29" i="2"/>
  <c r="B37" i="2"/>
  <c r="B45" i="2"/>
  <c r="B53" i="2"/>
  <c r="B61" i="2"/>
  <c r="B69" i="2"/>
  <c r="B77" i="2"/>
  <c r="B85" i="2"/>
  <c r="B93" i="2"/>
  <c r="B101" i="2"/>
  <c r="C4" i="9"/>
  <c r="E7" i="9"/>
  <c r="G4" i="6"/>
  <c r="G8" i="6"/>
  <c r="E4" i="9"/>
  <c r="C9" i="9"/>
  <c r="B23" i="2"/>
  <c r="B31" i="2"/>
  <c r="B39" i="2"/>
  <c r="B47" i="2"/>
  <c r="B55" i="2"/>
  <c r="B63" i="2"/>
  <c r="B71" i="2"/>
  <c r="B79" i="2"/>
  <c r="B87" i="2"/>
  <c r="B95" i="2"/>
  <c r="B103" i="2"/>
  <c r="C6" i="9"/>
  <c r="G5" i="6"/>
  <c r="C3" i="9"/>
  <c r="C11" i="9"/>
  <c r="B25" i="2"/>
  <c r="B33" i="2"/>
  <c r="B41" i="2"/>
  <c r="B49" i="2"/>
  <c r="B57" i="2"/>
  <c r="B65" i="2"/>
  <c r="B73" i="2"/>
  <c r="B81" i="2"/>
  <c r="B89" i="2"/>
  <c r="B97" i="2"/>
  <c r="B105" i="2"/>
  <c r="C8" i="9"/>
  <c r="C5" i="9"/>
  <c r="B27" i="2"/>
  <c r="B35" i="2"/>
  <c r="B43" i="2"/>
  <c r="B51" i="2"/>
  <c r="B59" i="2"/>
  <c r="B67" i="2"/>
  <c r="B75" i="2"/>
  <c r="B83" i="2"/>
  <c r="B91" i="2"/>
  <c r="B99" i="2"/>
  <c r="C10" i="9"/>
  <c r="E2" i="9" l="1"/>
  <c r="C2" i="9"/>
  <c r="H3" i="4"/>
  <c r="F3" i="4"/>
  <c r="M3" i="4" s="1"/>
  <c r="K3" i="4"/>
  <c r="B4" i="4" s="1"/>
  <c r="I5" i="1"/>
  <c r="J5" i="1" s="1"/>
  <c r="M5" i="1" s="1"/>
  <c r="G6" i="1"/>
  <c r="E3" i="4"/>
  <c r="L3" i="4" s="1"/>
  <c r="D4" i="4" l="1"/>
  <c r="C4" i="4"/>
  <c r="G7" i="1"/>
  <c r="I6" i="1"/>
  <c r="J6" i="1" s="1"/>
  <c r="M6" i="1" s="1"/>
  <c r="I7" i="1" l="1"/>
  <c r="J7" i="1" s="1"/>
  <c r="M7" i="1" s="1"/>
  <c r="G8" i="1"/>
  <c r="E4" i="4"/>
  <c r="L4" i="4" s="1"/>
  <c r="H4" i="4"/>
  <c r="K4" i="4" s="1"/>
  <c r="B5" i="4" s="1"/>
  <c r="F4" i="4"/>
  <c r="M4" i="4" s="1"/>
  <c r="D5" i="4" l="1"/>
  <c r="C5" i="4"/>
  <c r="G9" i="1"/>
  <c r="I8" i="1"/>
  <c r="J8" i="1" s="1"/>
  <c r="M8" i="1" s="1"/>
  <c r="E5" i="4" l="1"/>
  <c r="L5" i="4" s="1"/>
  <c r="G10" i="1"/>
  <c r="I9" i="1"/>
  <c r="J9" i="1" s="1"/>
  <c r="M9" i="1" s="1"/>
  <c r="H5" i="4"/>
  <c r="K5" i="4" s="1"/>
  <c r="B6" i="4" s="1"/>
  <c r="F5" i="4"/>
  <c r="M5" i="4" s="1"/>
  <c r="D6" i="4" l="1"/>
  <c r="G11" i="1"/>
  <c r="I10" i="1"/>
  <c r="J10" i="1" s="1"/>
  <c r="M10" i="1" s="1"/>
  <c r="C6" i="4"/>
  <c r="E6" i="4" l="1"/>
  <c r="L6" i="4" s="1"/>
  <c r="G12" i="1"/>
  <c r="I11" i="1"/>
  <c r="J11" i="1" s="1"/>
  <c r="M11" i="1" s="1"/>
  <c r="H6" i="4"/>
  <c r="K6" i="4" s="1"/>
  <c r="B7" i="4" s="1"/>
  <c r="F6" i="4"/>
  <c r="M6" i="4" s="1"/>
  <c r="D7" i="4" l="1"/>
  <c r="I12" i="1"/>
  <c r="J12" i="1" s="1"/>
  <c r="M12" i="1" s="1"/>
  <c r="G13" i="1"/>
  <c r="C7" i="4"/>
  <c r="I13" i="1" l="1"/>
  <c r="J13" i="1" s="1"/>
  <c r="M13" i="1" s="1"/>
  <c r="G14" i="1"/>
  <c r="E7" i="4"/>
  <c r="L7" i="4" s="1"/>
  <c r="H7" i="4"/>
  <c r="K7" i="4" s="1"/>
  <c r="B8" i="4" s="1"/>
  <c r="F7" i="4"/>
  <c r="M7" i="4" s="1"/>
  <c r="D8" i="4" l="1"/>
  <c r="G15" i="1"/>
  <c r="I14" i="1"/>
  <c r="J14" i="1" s="1"/>
  <c r="M14" i="1" s="1"/>
  <c r="C8" i="4"/>
  <c r="H8" i="4" l="1"/>
  <c r="K8" i="4" s="1"/>
  <c r="B9" i="4" s="1"/>
  <c r="F8" i="4"/>
  <c r="M8" i="4" s="1"/>
  <c r="E8" i="4"/>
  <c r="L8" i="4" s="1"/>
  <c r="I15" i="1"/>
  <c r="J15" i="1" s="1"/>
  <c r="M15" i="1" s="1"/>
  <c r="G16" i="1"/>
  <c r="G17" i="1" l="1"/>
  <c r="I16" i="1"/>
  <c r="J16" i="1" s="1"/>
  <c r="M16" i="1" s="1"/>
  <c r="C9" i="4"/>
  <c r="D9" i="4"/>
  <c r="H9" i="4" l="1"/>
  <c r="K9" i="4" s="1"/>
  <c r="B10" i="4" s="1"/>
  <c r="F9" i="4"/>
  <c r="M9" i="4" s="1"/>
  <c r="E9" i="4"/>
  <c r="L9" i="4" s="1"/>
  <c r="G18" i="1"/>
  <c r="I17" i="1"/>
  <c r="J17" i="1" s="1"/>
  <c r="M17" i="1" s="1"/>
  <c r="C10" i="4" l="1"/>
  <c r="G19" i="1"/>
  <c r="I18" i="1"/>
  <c r="J18" i="1" s="1"/>
  <c r="M18" i="1" s="1"/>
  <c r="D10" i="4"/>
  <c r="H10" i="4" l="1"/>
  <c r="K10" i="4" s="1"/>
  <c r="B11" i="4" s="1"/>
  <c r="F10" i="4"/>
  <c r="M10" i="4" s="1"/>
  <c r="C11" i="4" s="1"/>
  <c r="G20" i="1"/>
  <c r="I19" i="1"/>
  <c r="J19" i="1" s="1"/>
  <c r="M19" i="1" s="1"/>
  <c r="E10" i="4"/>
  <c r="L10" i="4" s="1"/>
  <c r="E11" i="4" l="1"/>
  <c r="L11" i="4" s="1"/>
  <c r="I20" i="1"/>
  <c r="J20" i="1" s="1"/>
  <c r="M20" i="1" s="1"/>
  <c r="G21" i="1"/>
  <c r="D11" i="4"/>
  <c r="H11" i="4" l="1"/>
  <c r="K11" i="4" s="1"/>
  <c r="D12" i="4" s="1"/>
  <c r="F11" i="4"/>
  <c r="M11" i="4" s="1"/>
  <c r="I21" i="1"/>
  <c r="J21" i="1" s="1"/>
  <c r="M21" i="1" s="1"/>
  <c r="G22" i="1"/>
  <c r="G23" i="1" l="1"/>
  <c r="I22" i="1"/>
  <c r="J22" i="1" s="1"/>
  <c r="M22" i="1" s="1"/>
  <c r="B12" i="4"/>
  <c r="C12" i="4"/>
  <c r="I23" i="1" l="1"/>
  <c r="J23" i="1" s="1"/>
  <c r="M23" i="1" s="1"/>
  <c r="G24" i="1"/>
  <c r="E12" i="4"/>
  <c r="L12" i="4" s="1"/>
  <c r="F12" i="4"/>
  <c r="M12" i="4" s="1"/>
  <c r="H12" i="4"/>
  <c r="K12" i="4" s="1"/>
  <c r="D13" i="4" l="1"/>
  <c r="C13" i="4"/>
  <c r="B13" i="4"/>
  <c r="G25" i="1"/>
  <c r="I24" i="1"/>
  <c r="J24" i="1" s="1"/>
  <c r="M24" i="1" s="1"/>
  <c r="G26" i="1" l="1"/>
  <c r="I25" i="1"/>
  <c r="J25" i="1" s="1"/>
  <c r="M25" i="1" s="1"/>
  <c r="E13" i="4"/>
  <c r="L13" i="4" s="1"/>
  <c r="H13" i="4"/>
  <c r="K13" i="4" s="1"/>
  <c r="F13" i="4"/>
  <c r="M13" i="4" s="1"/>
  <c r="D14" i="4" l="1"/>
  <c r="C14" i="4"/>
  <c r="B14" i="4"/>
  <c r="G27" i="1"/>
  <c r="I26" i="1"/>
  <c r="J26" i="1" s="1"/>
  <c r="M26" i="1" s="1"/>
  <c r="E14" i="4" l="1"/>
  <c r="L14" i="4" s="1"/>
  <c r="G28" i="1"/>
  <c r="I27" i="1"/>
  <c r="J27" i="1" s="1"/>
  <c r="M27" i="1" s="1"/>
  <c r="H14" i="4"/>
  <c r="K14" i="4" s="1"/>
  <c r="F14" i="4"/>
  <c r="M14" i="4" s="1"/>
  <c r="D15" i="4" l="1"/>
  <c r="C15" i="4"/>
  <c r="B15" i="4"/>
  <c r="I28" i="1"/>
  <c r="J28" i="1" s="1"/>
  <c r="M28" i="1" s="1"/>
  <c r="G29" i="1"/>
  <c r="K15" i="4" l="1"/>
  <c r="D16" i="4" s="1"/>
  <c r="I29" i="1"/>
  <c r="J29" i="1" s="1"/>
  <c r="M29" i="1" s="1"/>
  <c r="G30" i="1"/>
  <c r="E15" i="4"/>
  <c r="L15" i="4" s="1"/>
  <c r="F15" i="4"/>
  <c r="M15" i="4" s="1"/>
  <c r="H15" i="4"/>
  <c r="G31" i="1" l="1"/>
  <c r="I30" i="1"/>
  <c r="J30" i="1" s="1"/>
  <c r="M30" i="1" s="1"/>
  <c r="C16" i="4"/>
  <c r="B16" i="4"/>
  <c r="E16" i="4" l="1"/>
  <c r="L16" i="4" s="1"/>
  <c r="K16" i="4"/>
  <c r="D17" i="4" s="1"/>
  <c r="I31" i="1"/>
  <c r="J31" i="1" s="1"/>
  <c r="M31" i="1" s="1"/>
  <c r="G32" i="1"/>
  <c r="F16" i="4"/>
  <c r="M16" i="4" s="1"/>
  <c r="H16" i="4"/>
  <c r="G33" i="1" l="1"/>
  <c r="I32" i="1"/>
  <c r="J32" i="1" s="1"/>
  <c r="M32" i="1" s="1"/>
  <c r="B17" i="4"/>
  <c r="C17" i="4"/>
  <c r="H17" i="4"/>
  <c r="F17" i="4"/>
  <c r="M17" i="4" s="1"/>
  <c r="E17" i="4" l="1"/>
  <c r="L17" i="4" s="1"/>
  <c r="K17" i="4"/>
  <c r="B18" i="4" s="1"/>
  <c r="G34" i="1"/>
  <c r="I33" i="1"/>
  <c r="J33" i="1" s="1"/>
  <c r="M33" i="1" s="1"/>
  <c r="G35" i="1" l="1"/>
  <c r="I34" i="1"/>
  <c r="J34" i="1" s="1"/>
  <c r="M34" i="1" s="1"/>
  <c r="D18" i="4"/>
  <c r="C18" i="4"/>
  <c r="H18" i="4" l="1"/>
  <c r="K18" i="4" s="1"/>
  <c r="B19" i="4" s="1"/>
  <c r="F18" i="4"/>
  <c r="M18" i="4" s="1"/>
  <c r="E18" i="4"/>
  <c r="L18" i="4" s="1"/>
  <c r="G36" i="1"/>
  <c r="I35" i="1"/>
  <c r="J35" i="1" s="1"/>
  <c r="M35" i="1" s="1"/>
  <c r="I36" i="1" l="1"/>
  <c r="J36" i="1" s="1"/>
  <c r="M36" i="1" s="1"/>
  <c r="G37" i="1"/>
  <c r="C19" i="4"/>
  <c r="D19" i="4"/>
  <c r="H19" i="4" l="1"/>
  <c r="K19" i="4" s="1"/>
  <c r="B20" i="4" s="1"/>
  <c r="F19" i="4"/>
  <c r="M19" i="4" s="1"/>
  <c r="I37" i="1"/>
  <c r="J37" i="1" s="1"/>
  <c r="M37" i="1" s="1"/>
  <c r="G38" i="1"/>
  <c r="E19" i="4"/>
  <c r="L19" i="4" s="1"/>
  <c r="G39" i="1" l="1"/>
  <c r="I38" i="1"/>
  <c r="J38" i="1" s="1"/>
  <c r="M38" i="1" s="1"/>
  <c r="C20" i="4"/>
  <c r="D20" i="4"/>
  <c r="H20" i="4" l="1"/>
  <c r="K20" i="4" s="1"/>
  <c r="B21" i="4" s="1"/>
  <c r="F20" i="4"/>
  <c r="M20" i="4" s="1"/>
  <c r="E20" i="4"/>
  <c r="L20" i="4" s="1"/>
  <c r="I39" i="1"/>
  <c r="J39" i="1" s="1"/>
  <c r="M39" i="1" s="1"/>
  <c r="G40" i="1"/>
  <c r="G41" i="1" l="1"/>
  <c r="I40" i="1"/>
  <c r="J40" i="1" s="1"/>
  <c r="M40" i="1" s="1"/>
  <c r="C21" i="4"/>
  <c r="D21" i="4"/>
  <c r="H21" i="4" l="1"/>
  <c r="K21" i="4" s="1"/>
  <c r="B22" i="4" s="1"/>
  <c r="F21" i="4"/>
  <c r="M21" i="4" s="1"/>
  <c r="E21" i="4"/>
  <c r="L21" i="4" s="1"/>
  <c r="G42" i="1"/>
  <c r="I41" i="1"/>
  <c r="J41" i="1" s="1"/>
  <c r="M41" i="1" s="1"/>
  <c r="C22" i="4" l="1"/>
  <c r="E22" i="4" s="1"/>
  <c r="L22" i="4" s="1"/>
  <c r="G43" i="1"/>
  <c r="I42" i="1"/>
  <c r="J42" i="1" s="1"/>
  <c r="M42" i="1" s="1"/>
  <c r="D22" i="4"/>
  <c r="G44" i="1" l="1"/>
  <c r="I43" i="1"/>
  <c r="J43" i="1" s="1"/>
  <c r="M43" i="1" s="1"/>
  <c r="H22" i="4"/>
  <c r="K22" i="4" s="1"/>
  <c r="F22" i="4"/>
  <c r="M22" i="4" s="1"/>
  <c r="I44" i="1" l="1"/>
  <c r="J44" i="1" s="1"/>
  <c r="M44" i="1" s="1"/>
  <c r="G45" i="1"/>
  <c r="I45" i="1" l="1"/>
  <c r="J45" i="1" s="1"/>
  <c r="M45" i="1" s="1"/>
  <c r="G46" i="1"/>
  <c r="G47" i="1" l="1"/>
  <c r="I46" i="1"/>
  <c r="J46" i="1" s="1"/>
  <c r="M46" i="1" s="1"/>
  <c r="I47" i="1" l="1"/>
  <c r="J47" i="1" s="1"/>
  <c r="M47" i="1" s="1"/>
  <c r="G48" i="1"/>
  <c r="G49" i="1" l="1"/>
  <c r="I48" i="1"/>
  <c r="J48" i="1" s="1"/>
  <c r="M48" i="1" s="1"/>
  <c r="G50" i="1" l="1"/>
  <c r="I49" i="1"/>
  <c r="J49" i="1" s="1"/>
  <c r="M49" i="1" s="1"/>
  <c r="G51" i="1" l="1"/>
  <c r="I50" i="1"/>
  <c r="J50" i="1" s="1"/>
  <c r="M50" i="1" s="1"/>
  <c r="G52" i="1" l="1"/>
  <c r="I51" i="1"/>
  <c r="J51" i="1" s="1"/>
  <c r="M51" i="1" s="1"/>
  <c r="I52" i="1" l="1"/>
  <c r="J52" i="1" s="1"/>
  <c r="M52" i="1" s="1"/>
  <c r="G53" i="1"/>
  <c r="M53" i="1" l="1"/>
  <c r="I53" i="1"/>
  <c r="J53" i="1" s="1"/>
  <c r="G54" i="1"/>
  <c r="M54" i="1" l="1"/>
  <c r="G55" i="1"/>
  <c r="I54" i="1"/>
  <c r="J54" i="1" s="1"/>
  <c r="I55" i="1" l="1"/>
  <c r="J55" i="1" s="1"/>
  <c r="M55" i="1" s="1"/>
  <c r="G56" i="1"/>
  <c r="G57" i="1" l="1"/>
  <c r="I56" i="1"/>
  <c r="J56" i="1" s="1"/>
  <c r="M56" i="1" s="1"/>
  <c r="G58" i="1" l="1"/>
  <c r="I57" i="1"/>
  <c r="J57" i="1" s="1"/>
  <c r="M57" i="1" s="1"/>
  <c r="G59" i="1" l="1"/>
  <c r="I58" i="1"/>
  <c r="J58" i="1" s="1"/>
  <c r="M58" i="1" s="1"/>
  <c r="G60" i="1" l="1"/>
  <c r="I59" i="1"/>
  <c r="J59" i="1" s="1"/>
  <c r="M59" i="1" s="1"/>
  <c r="I60" i="1" l="1"/>
  <c r="J60" i="1" s="1"/>
  <c r="M60" i="1" s="1"/>
  <c r="G61" i="1"/>
  <c r="I61" i="1" l="1"/>
  <c r="J61" i="1" s="1"/>
  <c r="M61" i="1" s="1"/>
  <c r="G62" i="1"/>
  <c r="G63" i="1" l="1"/>
  <c r="I62" i="1"/>
  <c r="J62" i="1" s="1"/>
  <c r="M62" i="1" s="1"/>
  <c r="I63" i="1" l="1"/>
  <c r="J63" i="1" s="1"/>
  <c r="M63" i="1" s="1"/>
  <c r="G64" i="1"/>
  <c r="G65" i="1" l="1"/>
  <c r="I64" i="1"/>
  <c r="J64" i="1" s="1"/>
  <c r="M64" i="1" s="1"/>
  <c r="G66" i="1" l="1"/>
  <c r="I65" i="1"/>
  <c r="J65" i="1" s="1"/>
  <c r="M65" i="1" s="1"/>
  <c r="G67" i="1" l="1"/>
  <c r="I66" i="1"/>
  <c r="J66" i="1" s="1"/>
  <c r="M66" i="1" s="1"/>
  <c r="G68" i="1" l="1"/>
  <c r="I67" i="1"/>
  <c r="J67" i="1" s="1"/>
  <c r="M67" i="1" s="1"/>
  <c r="I68" i="1" l="1"/>
  <c r="J68" i="1" s="1"/>
  <c r="M68" i="1" s="1"/>
  <c r="G69" i="1"/>
  <c r="I69" i="1" l="1"/>
  <c r="J69" i="1" s="1"/>
  <c r="M69" i="1" s="1"/>
  <c r="G70" i="1"/>
  <c r="G71" i="1" l="1"/>
  <c r="I70" i="1"/>
  <c r="J70" i="1" s="1"/>
  <c r="M70" i="1" s="1"/>
  <c r="I71" i="1" l="1"/>
  <c r="J71" i="1" s="1"/>
  <c r="M71" i="1" s="1"/>
  <c r="G72" i="1"/>
  <c r="G73" i="1" l="1"/>
  <c r="I72" i="1"/>
  <c r="J72" i="1" s="1"/>
  <c r="M72" i="1" s="1"/>
  <c r="G74" i="1" l="1"/>
  <c r="I73" i="1"/>
  <c r="J73" i="1" s="1"/>
  <c r="M73" i="1" s="1"/>
  <c r="G75" i="1" l="1"/>
  <c r="I74" i="1"/>
  <c r="J74" i="1" s="1"/>
  <c r="M74" i="1" s="1"/>
  <c r="G76" i="1" l="1"/>
  <c r="I75" i="1"/>
  <c r="J75" i="1" s="1"/>
  <c r="M75" i="1" s="1"/>
  <c r="I76" i="1" l="1"/>
  <c r="J76" i="1" s="1"/>
  <c r="M76" i="1" s="1"/>
  <c r="G77" i="1"/>
  <c r="I77" i="1" l="1"/>
  <c r="J77" i="1" s="1"/>
  <c r="M77" i="1" s="1"/>
  <c r="G78" i="1"/>
  <c r="G79" i="1" l="1"/>
  <c r="I78" i="1"/>
  <c r="J78" i="1" s="1"/>
  <c r="M78" i="1" s="1"/>
  <c r="I79" i="1" l="1"/>
  <c r="J79" i="1" s="1"/>
  <c r="M79" i="1" s="1"/>
  <c r="G80" i="1"/>
  <c r="G81" i="1" l="1"/>
  <c r="I80" i="1"/>
  <c r="J80" i="1" s="1"/>
  <c r="M80" i="1" s="1"/>
  <c r="G82" i="1" l="1"/>
  <c r="I81" i="1"/>
  <c r="J81" i="1" s="1"/>
  <c r="M81" i="1" s="1"/>
  <c r="G83" i="1" l="1"/>
  <c r="I82" i="1"/>
  <c r="J82" i="1" s="1"/>
  <c r="M82" i="1" s="1"/>
  <c r="G84" i="1" l="1"/>
  <c r="I83" i="1"/>
  <c r="J83" i="1" s="1"/>
  <c r="M83" i="1" s="1"/>
  <c r="I84" i="1" l="1"/>
  <c r="J84" i="1" s="1"/>
  <c r="M84" i="1" s="1"/>
  <c r="G85" i="1"/>
  <c r="I85" i="1" l="1"/>
  <c r="J85" i="1" s="1"/>
  <c r="M85" i="1" s="1"/>
  <c r="G86" i="1"/>
  <c r="G87" i="1" l="1"/>
  <c r="I86" i="1"/>
  <c r="J86" i="1" s="1"/>
  <c r="M86" i="1" s="1"/>
  <c r="I87" i="1" l="1"/>
  <c r="J87" i="1" s="1"/>
  <c r="M87" i="1" s="1"/>
  <c r="G88" i="1"/>
  <c r="G89" i="1" l="1"/>
  <c r="I88" i="1"/>
  <c r="J88" i="1" s="1"/>
  <c r="M88" i="1" s="1"/>
  <c r="G90" i="1" l="1"/>
  <c r="I89" i="1"/>
  <c r="J89" i="1" s="1"/>
  <c r="M89" i="1" s="1"/>
  <c r="G91" i="1" l="1"/>
  <c r="I90" i="1"/>
  <c r="J90" i="1" s="1"/>
  <c r="M90" i="1" s="1"/>
  <c r="G92" i="1" l="1"/>
  <c r="I91" i="1"/>
  <c r="J91" i="1" s="1"/>
  <c r="M91" i="1" s="1"/>
  <c r="I92" i="1" l="1"/>
  <c r="J92" i="1" s="1"/>
  <c r="M92" i="1" s="1"/>
  <c r="G93" i="1"/>
  <c r="I93" i="1" l="1"/>
  <c r="J93" i="1" s="1"/>
  <c r="M93" i="1" s="1"/>
  <c r="G94" i="1"/>
  <c r="G95" i="1" l="1"/>
  <c r="I94" i="1"/>
  <c r="J94" i="1" s="1"/>
  <c r="M94" i="1" s="1"/>
  <c r="I95" i="1" l="1"/>
  <c r="J95" i="1" s="1"/>
  <c r="M95" i="1" s="1"/>
  <c r="G96" i="1"/>
  <c r="G97" i="1" l="1"/>
  <c r="I96" i="1"/>
  <c r="J96" i="1" s="1"/>
  <c r="M96" i="1" s="1"/>
  <c r="G98" i="1" l="1"/>
  <c r="I97" i="1"/>
  <c r="J97" i="1" s="1"/>
  <c r="M97" i="1" s="1"/>
  <c r="G99" i="1" l="1"/>
  <c r="I98" i="1"/>
  <c r="J98" i="1" s="1"/>
  <c r="M98" i="1" s="1"/>
  <c r="G100" i="1" l="1"/>
  <c r="I99" i="1"/>
  <c r="J99" i="1" s="1"/>
  <c r="M99" i="1" s="1"/>
  <c r="I100" i="1" l="1"/>
  <c r="J100" i="1" s="1"/>
  <c r="M100" i="1" s="1"/>
  <c r="G101" i="1"/>
  <c r="I101" i="1" l="1"/>
  <c r="J101" i="1" s="1"/>
  <c r="M101" i="1" s="1"/>
  <c r="G102" i="1"/>
  <c r="G103" i="1" l="1"/>
  <c r="I102" i="1"/>
  <c r="J102" i="1" s="1"/>
  <c r="M102" i="1" s="1"/>
  <c r="I103" i="1" l="1"/>
  <c r="J103" i="1" s="1"/>
  <c r="M103" i="1" s="1"/>
  <c r="G104" i="1"/>
  <c r="G105" i="1" l="1"/>
  <c r="I104" i="1"/>
  <c r="J104" i="1" s="1"/>
  <c r="M104" i="1" s="1"/>
  <c r="G106" i="1" l="1"/>
  <c r="I105" i="1"/>
  <c r="J105" i="1" s="1"/>
  <c r="M105" i="1" s="1"/>
  <c r="G107" i="1" l="1"/>
  <c r="I106" i="1"/>
  <c r="J106" i="1" s="1"/>
  <c r="M106" i="1" s="1"/>
  <c r="G108" i="1" l="1"/>
  <c r="I108" i="1" s="1"/>
  <c r="J108" i="1" s="1"/>
  <c r="I107" i="1"/>
  <c r="J107" i="1" s="1"/>
  <c r="M107" i="1" s="1"/>
  <c r="M108" i="1" s="1"/>
</calcChain>
</file>

<file path=xl/sharedStrings.xml><?xml version="1.0" encoding="utf-8"?>
<sst xmlns="http://schemas.openxmlformats.org/spreadsheetml/2006/main" count="730" uniqueCount="336">
  <si>
    <t>Date</t>
  </si>
  <si>
    <t>Intellectualists</t>
  </si>
  <si>
    <t>Clerks</t>
  </si>
  <si>
    <t>Literacy</t>
  </si>
  <si>
    <t>Status</t>
  </si>
  <si>
    <t>Base Research Points</t>
  </si>
  <si>
    <t>Plurality</t>
  </si>
  <si>
    <t>Tech Modifier</t>
  </si>
  <si>
    <t>Total Research Points</t>
  </si>
  <si>
    <t>Yearly Research Points</t>
  </si>
  <si>
    <t>New Costs</t>
  </si>
  <si>
    <t>Leftover Tech Cost</t>
  </si>
  <si>
    <t>Great Power</t>
  </si>
  <si>
    <t>Total Tech Cost</t>
  </si>
  <si>
    <t>Name of period</t>
  </si>
  <si>
    <t>Amount</t>
  </si>
  <si>
    <t>Total Cost</t>
  </si>
  <si>
    <t>Total Technology Cost</t>
  </si>
  <si>
    <t>1830 first</t>
  </si>
  <si>
    <t>25 x 3600</t>
  </si>
  <si>
    <t>1830 second</t>
  </si>
  <si>
    <t>22 x 7200</t>
  </si>
  <si>
    <t>1830 third</t>
  </si>
  <si>
    <t>8 x 10800</t>
  </si>
  <si>
    <t>1840 second</t>
  </si>
  <si>
    <t>3 x 7200</t>
  </si>
  <si>
    <t>1840 third</t>
  </si>
  <si>
    <t>1 x 10800</t>
  </si>
  <si>
    <t>1848 third</t>
  </si>
  <si>
    <t>1850 third</t>
  </si>
  <si>
    <t>12 x 10800</t>
  </si>
  <si>
    <t>1850 fourth</t>
  </si>
  <si>
    <t>9 x 14400</t>
  </si>
  <si>
    <t>1855 third</t>
  </si>
  <si>
    <t>2 x 10800</t>
  </si>
  <si>
    <t>1860 third</t>
  </si>
  <si>
    <t>1870 fourth</t>
  </si>
  <si>
    <t>13 x 14400</t>
  </si>
  <si>
    <t>1870 fifth</t>
  </si>
  <si>
    <t>8 x 18000</t>
  </si>
  <si>
    <t>1872 fourth</t>
  </si>
  <si>
    <t>1 x 14400</t>
  </si>
  <si>
    <t>1875 fourth</t>
  </si>
  <si>
    <t>1880 fourth</t>
  </si>
  <si>
    <t>1880 fifth</t>
  </si>
  <si>
    <t>2 x 18000</t>
  </si>
  <si>
    <t>1890 fifth</t>
  </si>
  <si>
    <t>3 x 18000</t>
  </si>
  <si>
    <t>1895 fifth</t>
  </si>
  <si>
    <t>1 x 18000</t>
  </si>
  <si>
    <t>1898 fifth</t>
  </si>
  <si>
    <t>1900 fifth</t>
  </si>
  <si>
    <t>10 x 1800</t>
  </si>
  <si>
    <t>SUM</t>
  </si>
  <si>
    <t>1900 sixth</t>
  </si>
  <si>
    <t>11 x 21600</t>
  </si>
  <si>
    <t>1905 sixth</t>
  </si>
  <si>
    <t>1 x 21600</t>
  </si>
  <si>
    <t>No</t>
  </si>
  <si>
    <t>Inc. base techs?</t>
  </si>
  <si>
    <t>1910 sixth</t>
  </si>
  <si>
    <t>1914 sixth</t>
  </si>
  <si>
    <t>2 x 21600</t>
  </si>
  <si>
    <t>1915 sixth</t>
  </si>
  <si>
    <t>1919 sixth</t>
  </si>
  <si>
    <t>9 x 21600</t>
  </si>
  <si>
    <t>Tech Education Efficiency</t>
  </si>
  <si>
    <t>Reforms</t>
  </si>
  <si>
    <t>Literacy Change</t>
  </si>
  <si>
    <t>TEST</t>
  </si>
  <si>
    <t>POPs</t>
  </si>
  <si>
    <t>Intellectuals</t>
  </si>
  <si>
    <t>Bureaucrats</t>
  </si>
  <si>
    <t>Intellectuals %</t>
  </si>
  <si>
    <t>Bureaucrats %</t>
  </si>
  <si>
    <t>Administrative Efficiency</t>
  </si>
  <si>
    <t>Admin Eff. Bonus</t>
  </si>
  <si>
    <t>Reforms Taken</t>
  </si>
  <si>
    <t>Promotions</t>
  </si>
  <si>
    <t>To Intellectualists</t>
  </si>
  <si>
    <t>To Bureaucrats</t>
  </si>
  <si>
    <t>Slave State?</t>
  </si>
  <si>
    <t>Edu Spending</t>
  </si>
  <si>
    <t>Admin Spending</t>
  </si>
  <si>
    <t>Life Rating</t>
  </si>
  <si>
    <t>POP Growth</t>
  </si>
  <si>
    <t>Promotion - General</t>
  </si>
  <si>
    <t>Total Bonus</t>
  </si>
  <si>
    <t>Bonus</t>
  </si>
  <si>
    <t>Promotion - Intellectualists</t>
  </si>
  <si>
    <t>Promotion – Bureaucrats</t>
  </si>
  <si>
    <t>Intellectualists - MONEY</t>
  </si>
  <si>
    <t>Bureaucrats - MONEY</t>
  </si>
  <si>
    <t>Cash</t>
  </si>
  <si>
    <t>Treaty Port</t>
  </si>
  <si>
    <t>Provinces in state</t>
  </si>
  <si>
    <t>Terrain</t>
  </si>
  <si>
    <t>Infrastructure</t>
  </si>
  <si>
    <t>Naval Base</t>
  </si>
  <si>
    <t>Output</t>
  </si>
  <si>
    <t>Base Income</t>
  </si>
  <si>
    <t>Max Infrastructure</t>
  </si>
  <si>
    <t>Good Output</t>
  </si>
  <si>
    <t>Admin Efficiency</t>
  </si>
  <si>
    <t>Tax Efficiency</t>
  </si>
  <si>
    <t>Ningpo</t>
  </si>
  <si>
    <t>Shanghai</t>
  </si>
  <si>
    <t>Kashing</t>
  </si>
  <si>
    <t>Sanmen</t>
  </si>
  <si>
    <t>Cheju</t>
  </si>
  <si>
    <t>Zanzibar</t>
  </si>
  <si>
    <t>Old Tientsin</t>
  </si>
  <si>
    <t>Kwangchowan</t>
  </si>
  <si>
    <t>Lushun</t>
  </si>
  <si>
    <t>Muqdisho</t>
  </si>
  <si>
    <t>Sado</t>
  </si>
  <si>
    <t>Chusan Islands</t>
  </si>
  <si>
    <t>Macao</t>
  </si>
  <si>
    <t>Socotra</t>
  </si>
  <si>
    <t>Weihaiwei</t>
  </si>
  <si>
    <t>Tsingtao</t>
  </si>
  <si>
    <t>Brunei</t>
  </si>
  <si>
    <t>Barbara</t>
  </si>
  <si>
    <t>Sidi Infi</t>
  </si>
  <si>
    <t>Hong Kong</t>
  </si>
  <si>
    <t>Tsushima</t>
  </si>
  <si>
    <t>Oki Islands</t>
  </si>
  <si>
    <t>Gwadar</t>
  </si>
  <si>
    <t>Qeshm</t>
  </si>
  <si>
    <t>Tarfaya</t>
  </si>
  <si>
    <t>Juzur Khuriya Muriya</t>
  </si>
  <si>
    <t>Hainan</t>
  </si>
  <si>
    <t>al-Jazair</t>
  </si>
  <si>
    <t>Wahran</t>
  </si>
  <si>
    <t>Ennab</t>
  </si>
  <si>
    <t>Bijaya</t>
  </si>
  <si>
    <t>Taiwan</t>
  </si>
  <si>
    <t>RGO Name</t>
  </si>
  <si>
    <t>Value</t>
  </si>
  <si>
    <t>Price</t>
  </si>
  <si>
    <t>Price per boi</t>
  </si>
  <si>
    <t>£ Output</t>
  </si>
  <si>
    <t>Farming Output</t>
  </si>
  <si>
    <t>Mining Output</t>
  </si>
  <si>
    <t>Goods Output</t>
  </si>
  <si>
    <t>Goods Throughput</t>
  </si>
  <si>
    <t>Railroad lvl</t>
  </si>
  <si>
    <t>Terrain Modifier</t>
  </si>
  <si>
    <t>Gold</t>
  </si>
  <si>
    <t>Bida</t>
  </si>
  <si>
    <t>Precious Goods</t>
  </si>
  <si>
    <t>Base</t>
  </si>
  <si>
    <t>Gems</t>
  </si>
  <si>
    <t>Pearls</t>
  </si>
  <si>
    <t>Mercury</t>
  </si>
  <si>
    <t>Precious Metal</t>
  </si>
  <si>
    <t>Slave Trade</t>
  </si>
  <si>
    <t>Ivory</t>
  </si>
  <si>
    <t>Tropical Wood</t>
  </si>
  <si>
    <t>Sulphur</t>
  </si>
  <si>
    <t>Oil</t>
  </si>
  <si>
    <t>Wood</t>
  </si>
  <si>
    <t>Iron</t>
  </si>
  <si>
    <t>Coal</t>
  </si>
  <si>
    <t>Rubber</t>
  </si>
  <si>
    <t>Fruit</t>
  </si>
  <si>
    <t>Tea</t>
  </si>
  <si>
    <t>Grain</t>
  </si>
  <si>
    <t>Cotton</t>
  </si>
  <si>
    <t>Cattle</t>
  </si>
  <si>
    <t>Wool</t>
  </si>
  <si>
    <t>Sugar</t>
  </si>
  <si>
    <t>Fish</t>
  </si>
  <si>
    <t>Coffee</t>
  </si>
  <si>
    <t>Tobacco</t>
  </si>
  <si>
    <t>Dye</t>
  </si>
  <si>
    <t>Silk</t>
  </si>
  <si>
    <t>Opium</t>
  </si>
  <si>
    <t>POP</t>
  </si>
  <si>
    <t>Starting POP</t>
  </si>
  <si>
    <t>Attacker</t>
  </si>
  <si>
    <t>Modifier</t>
  </si>
  <si>
    <t>Mil. Tac.</t>
  </si>
  <si>
    <t>Fort lvl</t>
  </si>
  <si>
    <t>Siege</t>
  </si>
  <si>
    <t>Exp</t>
  </si>
  <si>
    <t>Roll</t>
  </si>
  <si>
    <t>Attacker Damage</t>
  </si>
  <si>
    <t>Real Stats</t>
  </si>
  <si>
    <t>Casualties</t>
  </si>
  <si>
    <t>Frontline Unit</t>
  </si>
  <si>
    <t>Frontline</t>
  </si>
  <si>
    <t>Backline</t>
  </si>
  <si>
    <t>Frontline Attack</t>
  </si>
  <si>
    <t>Attack</t>
  </si>
  <si>
    <t>Discipline</t>
  </si>
  <si>
    <t>Backline Unit</t>
  </si>
  <si>
    <t>Backline Attack</t>
  </si>
  <si>
    <t>Support</t>
  </si>
  <si>
    <t>Defender</t>
  </si>
  <si>
    <t>Defender Damage</t>
  </si>
  <si>
    <t>Frontline Defence</t>
  </si>
  <si>
    <t>Defence</t>
  </si>
  <si>
    <t>Backline Defence</t>
  </si>
  <si>
    <t>Colony</t>
  </si>
  <si>
    <t>Total POPs</t>
  </si>
  <si>
    <t>%</t>
  </si>
  <si>
    <t>RGO</t>
  </si>
  <si>
    <t>Income</t>
  </si>
  <si>
    <t>Icon</t>
  </si>
  <si>
    <t>Mean Good Value</t>
  </si>
  <si>
    <t>Base Price</t>
  </si>
  <si>
    <t>Min Price</t>
  </si>
  <si>
    <t>Max Price</t>
  </si>
  <si>
    <t>Niger</t>
  </si>
  <si>
    <t>Ayuru</t>
  </si>
  <si>
    <t>Gaweye</t>
  </si>
  <si>
    <t>Say</t>
  </si>
  <si>
    <t>Nakoni</t>
  </si>
  <si>
    <t>Tshibiri</t>
  </si>
  <si>
    <t>Zinder</t>
  </si>
  <si>
    <t>Kufe</t>
  </si>
  <si>
    <t>Agadez</t>
  </si>
  <si>
    <t>Njiekime</t>
  </si>
  <si>
    <t>Test</t>
  </si>
  <si>
    <t>Silver</t>
  </si>
  <si>
    <t>Timber</t>
  </si>
  <si>
    <t>Tariff Efficiency</t>
  </si>
  <si>
    <t>RGO Output</t>
  </si>
  <si>
    <t>RGO Throughput</t>
  </si>
  <si>
    <t>Farm Size</t>
  </si>
  <si>
    <t>Mine Size</t>
  </si>
  <si>
    <t>Factory Input</t>
  </si>
  <si>
    <t>Factory Output</t>
  </si>
  <si>
    <t>Factory Throughput</t>
  </si>
  <si>
    <t>Factory Cost</t>
  </si>
  <si>
    <t>Mobilisation Impact</t>
  </si>
  <si>
    <t>Armies Supply Consumption</t>
  </si>
  <si>
    <t>Inventions</t>
  </si>
  <si>
    <t>Max Loan Amount</t>
  </si>
  <si>
    <t>Loan Interest</t>
  </si>
  <si>
    <t>Cotton Output</t>
  </si>
  <si>
    <t>Wool Output</t>
  </si>
  <si>
    <t>Silk Output</t>
  </si>
  <si>
    <t>Coal Output</t>
  </si>
  <si>
    <t>Coal Size</t>
  </si>
  <si>
    <t>Sulfur Output</t>
  </si>
  <si>
    <t>Sulfur Size</t>
  </si>
  <si>
    <t>Sulfur Throughput</t>
  </si>
  <si>
    <t>Iron Output</t>
  </si>
  <si>
    <t>Iron Size</t>
  </si>
  <si>
    <t>Wood Output</t>
  </si>
  <si>
    <t>Tropical Wood Output</t>
  </si>
  <si>
    <t>Sugar Output</t>
  </si>
  <si>
    <t>Rubber Output</t>
  </si>
  <si>
    <t>Oil Output</t>
  </si>
  <si>
    <t>Steel Output</t>
  </si>
  <si>
    <t>Cement Output</t>
  </si>
  <si>
    <t>Machine Parts Output</t>
  </si>
  <si>
    <t>Glass Output</t>
  </si>
  <si>
    <t>Fertilizer Output</t>
  </si>
  <si>
    <t>Explosives Output</t>
  </si>
  <si>
    <t>Clipper Convoys Throughput</t>
  </si>
  <si>
    <t>Streamer Convoys Throughput</t>
  </si>
  <si>
    <t>Fabric Output</t>
  </si>
  <si>
    <t>Fabric Throughput</t>
  </si>
  <si>
    <t>Lumber Output</t>
  </si>
  <si>
    <t>Fuel Output</t>
  </si>
  <si>
    <t>Electric Gear Output</t>
  </si>
  <si>
    <t>Paper Output</t>
  </si>
  <si>
    <t>Livestock Output</t>
  </si>
  <si>
    <t>Fish Output</t>
  </si>
  <si>
    <t>Fruit Output</t>
  </si>
  <si>
    <t>Grain Output</t>
  </si>
  <si>
    <t>Grain Throughput</t>
  </si>
  <si>
    <t>Tobacco Output</t>
  </si>
  <si>
    <t>Tea Output</t>
  </si>
  <si>
    <t>Coffee Output</t>
  </si>
  <si>
    <t>Opium Output</t>
  </si>
  <si>
    <t>Wine Output</t>
  </si>
  <si>
    <t>Beverages Output</t>
  </si>
  <si>
    <t>Beverages Throughput</t>
  </si>
  <si>
    <t>Regular Clothes Output</t>
  </si>
  <si>
    <t>Luxury Clothes Output</t>
  </si>
  <si>
    <t>Furniture Output</t>
  </si>
  <si>
    <t>Luxury Furniture</t>
  </si>
  <si>
    <t>Telephones Output</t>
  </si>
  <si>
    <t>Automobiles Output</t>
  </si>
  <si>
    <t>Radios Output</t>
  </si>
  <si>
    <t>Ammunition Output</t>
  </si>
  <si>
    <t>Small Arms Output</t>
  </si>
  <si>
    <t>Artillery Output</t>
  </si>
  <si>
    <t>Canned Food Output</t>
  </si>
  <si>
    <t>Aeroplanes Output</t>
  </si>
  <si>
    <t>Tanks Output</t>
  </si>
  <si>
    <t>Precious Goods Output</t>
  </si>
  <si>
    <t>Precious Goods Size</t>
  </si>
  <si>
    <t>Silver Output</t>
  </si>
  <si>
    <t>Gold Output</t>
  </si>
  <si>
    <t>Ivory Output</t>
  </si>
  <si>
    <t>Ivory Size</t>
  </si>
  <si>
    <t>Pearls Output</t>
  </si>
  <si>
    <t>Pearls Size</t>
  </si>
  <si>
    <t>Base Values</t>
  </si>
  <si>
    <t>No Reforms</t>
  </si>
  <si>
    <t>Unciv Reforms</t>
  </si>
  <si>
    <t>Base Techs</t>
  </si>
  <si>
    <t>1830 2 row</t>
  </si>
  <si>
    <t>1830 all</t>
  </si>
  <si>
    <t>China</t>
  </si>
  <si>
    <t>Bavaria</t>
  </si>
  <si>
    <t>Darfur</t>
  </si>
  <si>
    <t>Egypt</t>
  </si>
  <si>
    <t>Nassau</t>
  </si>
  <si>
    <t>Russia</t>
  </si>
  <si>
    <t>France</t>
  </si>
  <si>
    <t>UK</t>
  </si>
  <si>
    <t>Soldier POPs</t>
  </si>
  <si>
    <t>Supply</t>
  </si>
  <si>
    <t>Score</t>
  </si>
  <si>
    <t>Mobilization</t>
  </si>
  <si>
    <t>Mechanized Mining</t>
  </si>
  <si>
    <t>Distribution Channels</t>
  </si>
  <si>
    <t>Tractors</t>
  </si>
  <si>
    <t>RGO Size</t>
  </si>
  <si>
    <t>Type</t>
  </si>
  <si>
    <t>Mine</t>
  </si>
  <si>
    <t>Farm</t>
  </si>
  <si>
    <t>Sulfur</t>
  </si>
  <si>
    <t>Strength</t>
  </si>
  <si>
    <t>Dice</t>
  </si>
  <si>
    <t>Str Damage</t>
  </si>
  <si>
    <t>Org Damage</t>
  </si>
  <si>
    <t>Hull</t>
  </si>
  <si>
    <t>Experience</t>
  </si>
  <si>
    <t>Evasion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</si>
</sst>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#"/>
    <numFmt numFmtId="165" formatCode="0.0%"/>
    <numFmt numFmtId="166" formatCode="[$-415]#,##0"/>
    <numFmt numFmtId="167" formatCode="0.000"/>
    <numFmt numFmtId="168" formatCode="[$£-809]#,##0.00;[Red]\-[$£-809]#,##0.00"/>
    <numFmt numFmtId="169" formatCode="0.0"/>
    <numFmt numFmtId="170" formatCode="[$-415]General"/>
    <numFmt numFmtId="172" formatCode="[$-415]0.00%"/>
    <numFmt numFmtId="173" formatCode="_-* #,##0.00_-;\-* #,##0.00_-;_-* \-??_-;_-@_-"/>
    <numFmt numFmtId="174" formatCode="_-* #,##0_-;\-* #,##0_-;_-* \-??_-;_-@_-"/>
    <numFmt numFmtId="175" formatCode="0.0000000"/>
    <numFmt numFmtId="176" formatCode="0.0000E+00"/>
  </numFmts>
  <fonts count="9">
    <font>
      <sz val="11"/>
      <color theme="1"/>
      <name val="Aptos Narrow"/>
      <family val="2"/>
      <charset val="238"/>
    </font>
    <font>
      <sz val="10"/>
      <name val="Arial"/>
      <charset val="238"/>
    </font>
    <font>
      <sz val="11"/>
      <color theme="1"/>
      <name val="Times New Roman"/>
      <family val="1"/>
      <charset val="1"/>
    </font>
    <font>
      <b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238"/>
    </font>
    <font>
      <sz val="11"/>
      <color theme="1"/>
      <name val="Apatros Narrow"/>
      <charset val="1"/>
    </font>
    <font>
      <sz val="11"/>
      <color theme="1"/>
      <name val="Aptos Narrow"/>
      <family val="2"/>
      <charset val="238"/>
    </font>
    <font>
      <sz val="11"/>
      <color rgb="FF92D050"/>
      <name val="Aptos Narrow"/>
      <family val="2"/>
      <charset val="238"/>
    </font>
    <font>
      <sz val="11"/>
      <color rgb="FFFF0000"/>
      <name val="Aptos Narrow"/>
      <family val="2"/>
      <charset val="238"/>
    </font>
  </fonts>
  <fills count="8">
    <fill>
      <patternFill patternType="none"/>
    </fill>
    <fill>
      <patternFill patternType="gray125"/>
    </fill>
    <fill>
      <patternFill patternType="solid">
        <fgColor rgb="FFF7F13D"/>
        <bgColor rgb="FFFFFF00"/>
      </patternFill>
    </fill>
    <fill>
      <patternFill patternType="solid">
        <fgColor rgb="FF00A933"/>
        <bgColor rgb="FF008000"/>
      </patternFill>
    </fill>
    <fill>
      <patternFill patternType="solid">
        <fgColor rgb="FF2A6099"/>
        <bgColor rgb="FF0070C0"/>
      </patternFill>
    </fill>
    <fill>
      <patternFill patternType="solid">
        <fgColor rgb="FF5983B0"/>
        <bgColor rgb="FF808080"/>
      </patternFill>
    </fill>
    <fill>
      <patternFill patternType="solid">
        <fgColor rgb="FFB4C7DC"/>
        <bgColor rgb="FFCCCCFF"/>
      </patternFill>
    </fill>
    <fill>
      <patternFill patternType="solid">
        <fgColor rgb="FF0070C0"/>
        <bgColor rgb="FF00808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73" fontId="1" fillId="0" borderId="0" applyBorder="0" applyProtection="0"/>
    <xf numFmtId="9" fontId="6" fillId="0" borderId="0" applyBorder="0" applyProtection="0"/>
  </cellStyleXfs>
  <cellXfs count="81">
    <xf numFmtId="0" fontId="0" fillId="0" borderId="0" xfId="0"/>
    <xf numFmtId="1" fontId="0" fillId="0" borderId="1" xfId="0" applyNumberFormat="1" applyBorder="1" applyAlignment="1">
      <alignment horizontal="center" vertical="center"/>
    </xf>
    <xf numFmtId="1" fontId="6" fillId="0" borderId="1" xfId="2" applyNumberFormat="1" applyBorder="1" applyAlignment="1" applyProtection="1">
      <alignment horizontal="center" vertical="center"/>
    </xf>
    <xf numFmtId="9" fontId="6" fillId="0" borderId="1" xfId="2" applyBorder="1" applyAlignment="1" applyProtection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9" fontId="2" fillId="0" borderId="0" xfId="2" applyFont="1" applyBorder="1" applyAlignment="1" applyProtection="1">
      <alignment horizontal="center" vertical="center"/>
    </xf>
    <xf numFmtId="3" fontId="2" fillId="0" borderId="0" xfId="0" applyNumberFormat="1" applyFont="1"/>
    <xf numFmtId="164" fontId="2" fillId="0" borderId="0" xfId="0" applyNumberFormat="1" applyFont="1"/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0" fontId="2" fillId="0" borderId="0" xfId="2" applyNumberFormat="1" applyFont="1" applyBorder="1" applyAlignment="1" applyProtection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0" fontId="2" fillId="0" borderId="0" xfId="0" applyNumberFormat="1" applyFont="1"/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0" xfId="0" applyNumberFormat="1" applyFont="1"/>
    <xf numFmtId="0" fontId="3" fillId="0" borderId="0" xfId="0" applyFont="1" applyAlignment="1">
      <alignment horizontal="center" vertical="center"/>
    </xf>
    <xf numFmtId="3" fontId="2" fillId="0" borderId="0" xfId="2" applyNumberFormat="1" applyFont="1" applyBorder="1" applyAlignment="1" applyProtection="1">
      <alignment horizontal="center" vertical="center"/>
    </xf>
    <xf numFmtId="10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2" fillId="0" borderId="0" xfId="2" applyNumberFormat="1" applyFont="1" applyBorder="1" applyAlignment="1" applyProtection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8" fontId="2" fillId="0" borderId="0" xfId="0" applyNumberFormat="1" applyFont="1" applyAlignment="1">
      <alignment horizontal="right"/>
    </xf>
    <xf numFmtId="0" fontId="2" fillId="3" borderId="0" xfId="0" applyFont="1" applyFill="1" applyAlignment="1">
      <alignment horizontal="center" vertical="center"/>
    </xf>
    <xf numFmtId="2" fontId="2" fillId="0" borderId="0" xfId="2" applyNumberFormat="1" applyFont="1" applyBorder="1" applyProtection="1"/>
    <xf numFmtId="9" fontId="2" fillId="0" borderId="0" xfId="2" applyFont="1" applyBorder="1" applyProtection="1"/>
    <xf numFmtId="1" fontId="2" fillId="0" borderId="0" xfId="2" applyNumberFormat="1" applyFont="1" applyBorder="1" applyAlignment="1" applyProtection="1">
      <alignment horizontal="center" vertical="center"/>
    </xf>
    <xf numFmtId="168" fontId="2" fillId="0" borderId="0" xfId="0" applyNumberFormat="1" applyFont="1"/>
    <xf numFmtId="0" fontId="2" fillId="0" borderId="0" xfId="0" applyFont="1" applyAlignment="1">
      <alignment horizontal="center"/>
    </xf>
    <xf numFmtId="4" fontId="2" fillId="0" borderId="0" xfId="0" applyNumberFormat="1" applyFont="1"/>
    <xf numFmtId="169" fontId="2" fillId="0" borderId="0" xfId="0" applyNumberFormat="1" applyFont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6" fillId="0" borderId="1" xfId="2" applyBorder="1" applyAlignment="1" applyProtection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6" fillId="0" borderId="0" xfId="2" applyBorder="1" applyAlignment="1" applyProtection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/>
    </xf>
    <xf numFmtId="0" fontId="0" fillId="5" borderId="0" xfId="0" applyFill="1"/>
    <xf numFmtId="166" fontId="0" fillId="5" borderId="0" xfId="0" applyNumberFormat="1" applyFill="1"/>
    <xf numFmtId="172" fontId="0" fillId="5" borderId="0" xfId="0" applyNumberFormat="1" applyFill="1"/>
    <xf numFmtId="168" fontId="0" fillId="5" borderId="0" xfId="0" applyNumberFormat="1" applyFill="1"/>
    <xf numFmtId="0" fontId="0" fillId="6" borderId="0" xfId="0" applyFill="1"/>
    <xf numFmtId="166" fontId="0" fillId="6" borderId="0" xfId="0" applyNumberFormat="1" applyFill="1"/>
    <xf numFmtId="10" fontId="0" fillId="6" borderId="0" xfId="0" applyNumberFormat="1" applyFill="1"/>
    <xf numFmtId="0" fontId="0" fillId="6" borderId="0" xfId="0" applyFill="1" applyAlignment="1">
      <alignment horizontal="center"/>
    </xf>
    <xf numFmtId="168" fontId="0" fillId="6" borderId="0" xfId="0" applyNumberFormat="1" applyFill="1"/>
    <xf numFmtId="168" fontId="0" fillId="0" borderId="0" xfId="0" applyNumberFormat="1"/>
    <xf numFmtId="9" fontId="6" fillId="0" borderId="0" xfId="2" applyBorder="1" applyProtection="1"/>
    <xf numFmtId="10" fontId="0" fillId="0" borderId="0" xfId="0" applyNumberFormat="1"/>
    <xf numFmtId="10" fontId="6" fillId="0" borderId="0" xfId="2" applyNumberFormat="1" applyBorder="1" applyProtection="1"/>
    <xf numFmtId="1" fontId="0" fillId="0" borderId="0" xfId="0" applyNumberFormat="1"/>
    <xf numFmtId="165" fontId="6" fillId="0" borderId="0" xfId="2" applyNumberFormat="1" applyBorder="1" applyProtection="1"/>
    <xf numFmtId="0" fontId="6" fillId="7" borderId="0" xfId="2" applyNumberFormat="1" applyFill="1" applyBorder="1" applyProtection="1"/>
    <xf numFmtId="0" fontId="6" fillId="0" borderId="0" xfId="2" applyNumberFormat="1" applyBorder="1" applyProtection="1"/>
    <xf numFmtId="0" fontId="1" fillId="0" borderId="0" xfId="1" applyNumberFormat="1" applyBorder="1" applyProtection="1"/>
    <xf numFmtId="174" fontId="1" fillId="0" borderId="0" xfId="1" applyNumberFormat="1" applyBorder="1" applyProtection="1"/>
    <xf numFmtId="1" fontId="6" fillId="0" borderId="0" xfId="2" applyNumberFormat="1" applyBorder="1" applyProtection="1"/>
    <xf numFmtId="9" fontId="0" fillId="0" borderId="0" xfId="0" applyNumberFormat="1"/>
    <xf numFmtId="10" fontId="0" fillId="0" borderId="0" xfId="0" applyNumberFormat="1" applyAlignment="1">
      <alignment horizontal="center" vertical="center"/>
    </xf>
    <xf numFmtId="175" fontId="0" fillId="0" borderId="0" xfId="0" applyNumberFormat="1"/>
    <xf numFmtId="166" fontId="0" fillId="0" borderId="0" xfId="0" applyNumberFormat="1" applyAlignment="1">
      <alignment horizontal="center" vertical="center"/>
    </xf>
    <xf numFmtId="10" fontId="6" fillId="0" borderId="0" xfId="2" applyNumberFormat="1" applyBorder="1" applyAlignment="1" applyProtection="1">
      <alignment horizontal="center" vertical="center"/>
    </xf>
    <xf numFmtId="176" fontId="0" fillId="0" borderId="0" xfId="0" applyNumberFormat="1"/>
    <xf numFmtId="0" fontId="0" fillId="0" borderId="0" xfId="0" applyAlignment="1">
      <alignment horizontal="center" vertical="top"/>
    </xf>
    <xf numFmtId="9" fontId="6" fillId="0" borderId="0" xfId="2" applyBorder="1" applyAlignment="1" applyProtection="1">
      <alignment horizontal="center" vertical="top"/>
    </xf>
    <xf numFmtId="0" fontId="5" fillId="0" borderId="0" xfId="0" applyFont="1" applyAlignment="1">
      <alignment horizontal="center"/>
    </xf>
    <xf numFmtId="9" fontId="6" fillId="0" borderId="0" xfId="2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</cellXfs>
  <cellStyles count="3">
    <cellStyle name="Dziesiętny" xfId="1" builtinId="3"/>
    <cellStyle name="Normalny" xfId="0" builtinId="0"/>
    <cellStyle name="Procentowy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F13D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6099"/>
      <rgbColor rgb="FF33CCCC"/>
      <rgbColor rgb="FF99CC00"/>
      <rgbColor rgb="FFFFCC00"/>
      <rgbColor rgb="FFFF9900"/>
      <rgbColor rgb="FFFF6600"/>
      <rgbColor rgb="FF5983B0"/>
      <rgbColor rgb="FFB3B3B3"/>
      <rgbColor rgb="FF00458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'Tech Graph'!$M$1</c:f>
              <c:strCache>
                <c:ptCount val="1"/>
                <c:pt idx="0">
                  <c:v>Leftover Tech Cost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'Tech Graph'!$L$2:$L$108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'Tech Graph'!$M$2:$M$108</c:f>
              <c:numCache>
                <c:formatCode>#,##0</c:formatCode>
                <c:ptCount val="107"/>
                <c:pt idx="0">
                  <c:v>243103.66250000001</c:v>
                </c:pt>
                <c:pt idx="1">
                  <c:v>239922.76424744001</c:v>
                </c:pt>
                <c:pt idx="2">
                  <c:v>236680.9978182567</c:v>
                </c:pt>
                <c:pt idx="3">
                  <c:v>233377.33246684316</c:v>
                </c:pt>
                <c:pt idx="4">
                  <c:v>230010.73567097812</c:v>
                </c:pt>
                <c:pt idx="5">
                  <c:v>226580.17314248558</c:v>
                </c:pt>
                <c:pt idx="6">
                  <c:v>223084.60883783066</c:v>
                </c:pt>
                <c:pt idx="7">
                  <c:v>219523.00496865169</c:v>
                </c:pt>
                <c:pt idx="8">
                  <c:v>215894.32201222912</c:v>
                </c:pt>
                <c:pt idx="9">
                  <c:v>212197.51872189174</c:v>
                </c:pt>
                <c:pt idx="10">
                  <c:v>239751.09237236038</c:v>
                </c:pt>
                <c:pt idx="11">
                  <c:v>234814.87033361956</c:v>
                </c:pt>
                <c:pt idx="12">
                  <c:v>229787.79938334582</c:v>
                </c:pt>
                <c:pt idx="13">
                  <c:v>223704.18024646174</c:v>
                </c:pt>
                <c:pt idx="14">
                  <c:v>217559.28253459246</c:v>
                </c:pt>
                <c:pt idx="15">
                  <c:v>211404.2285940233</c:v>
                </c:pt>
                <c:pt idx="16">
                  <c:v>205238.13377615932</c:v>
                </c:pt>
                <c:pt idx="17">
                  <c:v>199060.10942582419</c:v>
                </c:pt>
                <c:pt idx="18">
                  <c:v>203604.46290529965</c:v>
                </c:pt>
                <c:pt idx="19">
                  <c:v>197335.4864182208</c:v>
                </c:pt>
                <c:pt idx="20">
                  <c:v>448697.077100528</c:v>
                </c:pt>
                <c:pt idx="21">
                  <c:v>440852.859390873</c:v>
                </c:pt>
                <c:pt idx="22">
                  <c:v>432999.91185481544</c:v>
                </c:pt>
                <c:pt idx="23">
                  <c:v>425137.19630729989</c:v>
                </c:pt>
                <c:pt idx="24">
                  <c:v>417261.5722385163</c:v>
                </c:pt>
                <c:pt idx="25">
                  <c:v>430842.32494546118</c:v>
                </c:pt>
                <c:pt idx="26">
                  <c:v>422807.5910078907</c:v>
                </c:pt>
                <c:pt idx="27">
                  <c:v>414749.25428526063</c:v>
                </c:pt>
                <c:pt idx="28">
                  <c:v>406665.93836959865</c:v>
                </c:pt>
                <c:pt idx="29">
                  <c:v>398556.26141830895</c:v>
                </c:pt>
                <c:pt idx="30">
                  <c:v>401154.03618677991</c:v>
                </c:pt>
                <c:pt idx="31">
                  <c:v>391816.10502611619</c:v>
                </c:pt>
                <c:pt idx="32">
                  <c:v>382444.07703576447</c:v>
                </c:pt>
                <c:pt idx="33">
                  <c:v>373036.35635242349</c:v>
                </c:pt>
                <c:pt idx="34">
                  <c:v>363587.95966518507</c:v>
                </c:pt>
                <c:pt idx="35">
                  <c:v>354097.20143040887</c:v>
                </c:pt>
                <c:pt idx="36">
                  <c:v>344562.39172853617</c:v>
                </c:pt>
                <c:pt idx="37">
                  <c:v>334981.83629034547</c:v>
                </c:pt>
                <c:pt idx="38">
                  <c:v>325353.83652305033</c:v>
                </c:pt>
                <c:pt idx="39">
                  <c:v>315676.689536241</c:v>
                </c:pt>
                <c:pt idx="40">
                  <c:v>635161.48816766997</c:v>
                </c:pt>
                <c:pt idx="41">
                  <c:v>620948.86696448305</c:v>
                </c:pt>
                <c:pt idx="42">
                  <c:v>620992.73487324151</c:v>
                </c:pt>
                <c:pt idx="43">
                  <c:v>606577.78815103252</c:v>
                </c:pt>
                <c:pt idx="44">
                  <c:v>592101.79999016621</c:v>
                </c:pt>
                <c:pt idx="45">
                  <c:v>591876.14205656445</c:v>
                </c:pt>
                <c:pt idx="46">
                  <c:v>577185.50289891881</c:v>
                </c:pt>
                <c:pt idx="47">
                  <c:v>562427.64804739435</c:v>
                </c:pt>
                <c:pt idx="48">
                  <c:v>547600.3415517403</c:v>
                </c:pt>
                <c:pt idx="49">
                  <c:v>532701.34599017329</c:v>
                </c:pt>
                <c:pt idx="50">
                  <c:v>567826.02247820562</c:v>
                </c:pt>
                <c:pt idx="51">
                  <c:v>549727.09985046205</c:v>
                </c:pt>
                <c:pt idx="52">
                  <c:v>531536.05924436531</c:v>
                </c:pt>
                <c:pt idx="53">
                  <c:v>513250.27446111885</c:v>
                </c:pt>
                <c:pt idx="54">
                  <c:v>494854.48114857549</c:v>
                </c:pt>
                <c:pt idx="55">
                  <c:v>476345.87950444885</c:v>
                </c:pt>
                <c:pt idx="56">
                  <c:v>457721.67044386844</c:v>
                </c:pt>
                <c:pt idx="57">
                  <c:v>438979.0555950753</c:v>
                </c:pt>
                <c:pt idx="58">
                  <c:v>420115.23729514325</c:v>
                </c:pt>
                <c:pt idx="59">
                  <c:v>401127.41858572589</c:v>
                </c:pt>
                <c:pt idx="60">
                  <c:v>435688.80320882914</c:v>
                </c:pt>
                <c:pt idx="61">
                  <c:v>416122.53960260912</c:v>
                </c:pt>
                <c:pt idx="62">
                  <c:v>396428.56579174631</c:v>
                </c:pt>
                <c:pt idx="63">
                  <c:v>376606.82017277309</c:v>
                </c:pt>
                <c:pt idx="64">
                  <c:v>356657.2415118427</c:v>
                </c:pt>
                <c:pt idx="65">
                  <c:v>354471.76894251141</c:v>
                </c:pt>
                <c:pt idx="66">
                  <c:v>334172.20649577637</c:v>
                </c:pt>
                <c:pt idx="67">
                  <c:v>313781.00755692169</c:v>
                </c:pt>
                <c:pt idx="68">
                  <c:v>311190.72194490017</c:v>
                </c:pt>
                <c:pt idx="69">
                  <c:v>290576.27788823075</c:v>
                </c:pt>
                <c:pt idx="70">
                  <c:v>524131.96594590141</c:v>
                </c:pt>
                <c:pt idx="71">
                  <c:v>498784.10917522595</c:v>
                </c:pt>
                <c:pt idx="72">
                  <c:v>473564.75689517462</c:v>
                </c:pt>
                <c:pt idx="73">
                  <c:v>448473.1380788036</c:v>
                </c:pt>
                <c:pt idx="74">
                  <c:v>423508.48632533074</c:v>
                </c:pt>
                <c:pt idx="75">
                  <c:v>420140.43983237876</c:v>
                </c:pt>
                <c:pt idx="76">
                  <c:v>395298.61896838446</c:v>
                </c:pt>
                <c:pt idx="77">
                  <c:v>370582.26637957414</c:v>
                </c:pt>
                <c:pt idx="78">
                  <c:v>345990.62925629673</c:v>
                </c:pt>
                <c:pt idx="79">
                  <c:v>321522.95930575894</c:v>
                </c:pt>
                <c:pt idx="80">
                  <c:v>318648.91272492439</c:v>
                </c:pt>
                <c:pt idx="81">
                  <c:v>294298.12777357484</c:v>
                </c:pt>
                <c:pt idx="82">
                  <c:v>270069.86488193338</c:v>
                </c:pt>
                <c:pt idx="83">
                  <c:v>245963.38891764177</c:v>
                </c:pt>
                <c:pt idx="84">
                  <c:v>264918.76915913593</c:v>
                </c:pt>
                <c:pt idx="85">
                  <c:v>262266.43446918111</c:v>
                </c:pt>
                <c:pt idx="86">
                  <c:v>238136.03113736602</c:v>
                </c:pt>
                <c:pt idx="87">
                  <c:v>214126.82757554183</c:v>
                </c:pt>
                <c:pt idx="88">
                  <c:v>190238.09658508858</c:v>
                </c:pt>
                <c:pt idx="89">
                  <c:v>359702.71533057804</c:v>
                </c:pt>
                <c:pt idx="90">
                  <c:v>334893.36371359456</c:v>
                </c:pt>
                <c:pt idx="91">
                  <c:v>310209.28555631294</c:v>
                </c:pt>
                <c:pt idx="92">
                  <c:v>285649.72921797505</c:v>
                </c:pt>
                <c:pt idx="93">
                  <c:v>261213.94756766723</c:v>
                </c:pt>
                <c:pt idx="94">
                  <c:v>236901.1979572612</c:v>
                </c:pt>
                <c:pt idx="95">
                  <c:v>212710.74219451763</c:v>
                </c:pt>
                <c:pt idx="96">
                  <c:v>188641.84651635052</c:v>
                </c:pt>
                <c:pt idx="97">
                  <c:v>164693.78156225241</c:v>
                </c:pt>
                <c:pt idx="98">
                  <c:v>140865.82234787889</c:v>
                </c:pt>
                <c:pt idx="99">
                  <c:v>117157.24823879161</c:v>
                </c:pt>
                <c:pt idx="100">
                  <c:v>93567.342924358862</c:v>
                </c:pt>
                <c:pt idx="101">
                  <c:v>70095.394391812704</c:v>
                </c:pt>
                <c:pt idx="102">
                  <c:v>46740.694900461829</c:v>
                </c:pt>
                <c:pt idx="103">
                  <c:v>23502.54095605906</c:v>
                </c:pt>
                <c:pt idx="104">
                  <c:v>380.23328532270097</c:v>
                </c:pt>
                <c:pt idx="105">
                  <c:v>0</c:v>
                </c:pt>
                <c:pt idx="10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97-44A0-9044-9060678AF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2200359"/>
        <c:axId val="19561338"/>
      </c:lineChart>
      <c:catAx>
        <c:axId val="722003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19561338"/>
        <c:crosses val="autoZero"/>
        <c:auto val="1"/>
        <c:lblAlgn val="ctr"/>
        <c:lblOffset val="100"/>
        <c:noMultiLvlLbl val="0"/>
      </c:catAx>
      <c:valAx>
        <c:axId val="1956133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7220035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title>
      <c:tx>
        <c:rich>
          <a:bodyPr rot="0"/>
          <a:lstStyle/>
          <a:p>
            <a:pPr>
              <a:defRPr lang="pl-PL" sz="1300" b="0" strike="noStrike" spc="-1">
                <a:solidFill>
                  <a:srgbClr val="000000"/>
                </a:solidFill>
                <a:latin typeface="Arial"/>
              </a:defRPr>
            </a:pPr>
            <a:r>
              <a:rPr lang="pl-PL" sz="1300" b="0" strike="noStrike" spc="-1">
                <a:solidFill>
                  <a:srgbClr val="000000"/>
                </a:solidFill>
                <a:latin typeface="Arial"/>
              </a:rPr>
              <a:t>Total Tech Cost through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'Tech Cost'!$B$1</c:f>
              <c:strCache>
                <c:ptCount val="1"/>
                <c:pt idx="0">
                  <c:v>Total Tech Cost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'Tech Cost'!$A$2:$A$108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'Tech Cost'!$B$2:$B$108</c:f>
              <c:numCache>
                <c:formatCode>#\ ###</c:formatCode>
                <c:ptCount val="107"/>
                <c:pt idx="0">
                  <c:v>244800</c:v>
                </c:pt>
                <c:pt idx="1">
                  <c:v>243168</c:v>
                </c:pt>
                <c:pt idx="2">
                  <c:v>241536</c:v>
                </c:pt>
                <c:pt idx="3">
                  <c:v>239904</c:v>
                </c:pt>
                <c:pt idx="4">
                  <c:v>238272</c:v>
                </c:pt>
                <c:pt idx="5">
                  <c:v>236640</c:v>
                </c:pt>
                <c:pt idx="6">
                  <c:v>235008</c:v>
                </c:pt>
                <c:pt idx="7">
                  <c:v>233376</c:v>
                </c:pt>
                <c:pt idx="8">
                  <c:v>231744</c:v>
                </c:pt>
                <c:pt idx="9">
                  <c:v>230112</c:v>
                </c:pt>
                <c:pt idx="10">
                  <c:v>260880</c:v>
                </c:pt>
                <c:pt idx="11">
                  <c:v>259032</c:v>
                </c:pt>
                <c:pt idx="12">
                  <c:v>257184</c:v>
                </c:pt>
                <c:pt idx="13">
                  <c:v>255336</c:v>
                </c:pt>
                <c:pt idx="14">
                  <c:v>253488</c:v>
                </c:pt>
                <c:pt idx="15">
                  <c:v>251640</c:v>
                </c:pt>
                <c:pt idx="16">
                  <c:v>249792</c:v>
                </c:pt>
                <c:pt idx="17">
                  <c:v>247944</c:v>
                </c:pt>
                <c:pt idx="18">
                  <c:v>256896</c:v>
                </c:pt>
                <c:pt idx="19">
                  <c:v>254976</c:v>
                </c:pt>
                <c:pt idx="20">
                  <c:v>512256</c:v>
                </c:pt>
                <c:pt idx="21">
                  <c:v>508608</c:v>
                </c:pt>
                <c:pt idx="22">
                  <c:v>504960</c:v>
                </c:pt>
                <c:pt idx="23">
                  <c:v>501312</c:v>
                </c:pt>
                <c:pt idx="24">
                  <c:v>497664</c:v>
                </c:pt>
                <c:pt idx="25">
                  <c:v>515616</c:v>
                </c:pt>
                <c:pt idx="26">
                  <c:v>511824</c:v>
                </c:pt>
                <c:pt idx="27">
                  <c:v>508032</c:v>
                </c:pt>
                <c:pt idx="28">
                  <c:v>504240</c:v>
                </c:pt>
                <c:pt idx="29">
                  <c:v>500448</c:v>
                </c:pt>
                <c:pt idx="30">
                  <c:v>741456</c:v>
                </c:pt>
                <c:pt idx="31">
                  <c:v>736032</c:v>
                </c:pt>
                <c:pt idx="32">
                  <c:v>730608</c:v>
                </c:pt>
                <c:pt idx="33">
                  <c:v>725184</c:v>
                </c:pt>
                <c:pt idx="34">
                  <c:v>719760</c:v>
                </c:pt>
                <c:pt idx="35">
                  <c:v>714336</c:v>
                </c:pt>
                <c:pt idx="36">
                  <c:v>708912</c:v>
                </c:pt>
                <c:pt idx="37">
                  <c:v>703488</c:v>
                </c:pt>
                <c:pt idx="38">
                  <c:v>698064</c:v>
                </c:pt>
                <c:pt idx="39">
                  <c:v>692640</c:v>
                </c:pt>
                <c:pt idx="40">
                  <c:v>800016</c:v>
                </c:pt>
                <c:pt idx="41">
                  <c:v>793944</c:v>
                </c:pt>
                <c:pt idx="42">
                  <c:v>802272</c:v>
                </c:pt>
                <c:pt idx="43">
                  <c:v>796104</c:v>
                </c:pt>
                <c:pt idx="44">
                  <c:v>789936</c:v>
                </c:pt>
                <c:pt idx="45">
                  <c:v>798168</c:v>
                </c:pt>
                <c:pt idx="46">
                  <c:v>791904</c:v>
                </c:pt>
                <c:pt idx="47">
                  <c:v>785640</c:v>
                </c:pt>
                <c:pt idx="48">
                  <c:v>779376</c:v>
                </c:pt>
                <c:pt idx="49">
                  <c:v>773112</c:v>
                </c:pt>
                <c:pt idx="50">
                  <c:v>817248</c:v>
                </c:pt>
                <c:pt idx="51">
                  <c:v>810648</c:v>
                </c:pt>
                <c:pt idx="52">
                  <c:v>804048</c:v>
                </c:pt>
                <c:pt idx="53">
                  <c:v>797448</c:v>
                </c:pt>
                <c:pt idx="54">
                  <c:v>790848</c:v>
                </c:pt>
                <c:pt idx="55">
                  <c:v>784248</c:v>
                </c:pt>
                <c:pt idx="56">
                  <c:v>777648</c:v>
                </c:pt>
                <c:pt idx="57">
                  <c:v>771048</c:v>
                </c:pt>
                <c:pt idx="58">
                  <c:v>764448</c:v>
                </c:pt>
                <c:pt idx="59">
                  <c:v>757848</c:v>
                </c:pt>
                <c:pt idx="60">
                  <c:v>805248</c:v>
                </c:pt>
                <c:pt idx="61">
                  <c:v>798288</c:v>
                </c:pt>
                <c:pt idx="62">
                  <c:v>791328</c:v>
                </c:pt>
                <c:pt idx="63">
                  <c:v>784368</c:v>
                </c:pt>
                <c:pt idx="64">
                  <c:v>777408</c:v>
                </c:pt>
                <c:pt idx="65">
                  <c:v>788448</c:v>
                </c:pt>
                <c:pt idx="66">
                  <c:v>781368</c:v>
                </c:pt>
                <c:pt idx="67">
                  <c:v>774288</c:v>
                </c:pt>
                <c:pt idx="68">
                  <c:v>785208</c:v>
                </c:pt>
                <c:pt idx="69">
                  <c:v>778008</c:v>
                </c:pt>
                <c:pt idx="70">
                  <c:v>1026408</c:v>
                </c:pt>
                <c:pt idx="71">
                  <c:v>1017504</c:v>
                </c:pt>
                <c:pt idx="72">
                  <c:v>1008600</c:v>
                </c:pt>
                <c:pt idx="73">
                  <c:v>999696</c:v>
                </c:pt>
                <c:pt idx="74">
                  <c:v>990792</c:v>
                </c:pt>
                <c:pt idx="75">
                  <c:v>1003488</c:v>
                </c:pt>
                <c:pt idx="76">
                  <c:v>994440</c:v>
                </c:pt>
                <c:pt idx="77">
                  <c:v>985392</c:v>
                </c:pt>
                <c:pt idx="78">
                  <c:v>976344</c:v>
                </c:pt>
                <c:pt idx="79">
                  <c:v>967296</c:v>
                </c:pt>
                <c:pt idx="80">
                  <c:v>979848</c:v>
                </c:pt>
                <c:pt idx="81">
                  <c:v>970656</c:v>
                </c:pt>
                <c:pt idx="82">
                  <c:v>961464</c:v>
                </c:pt>
                <c:pt idx="83">
                  <c:v>952272</c:v>
                </c:pt>
                <c:pt idx="84">
                  <c:v>986280</c:v>
                </c:pt>
                <c:pt idx="85">
                  <c:v>998400</c:v>
                </c:pt>
                <c:pt idx="86">
                  <c:v>988776</c:v>
                </c:pt>
                <c:pt idx="87">
                  <c:v>979152</c:v>
                </c:pt>
                <c:pt idx="88">
                  <c:v>969528</c:v>
                </c:pt>
                <c:pt idx="89">
                  <c:v>1154304</c:v>
                </c:pt>
                <c:pt idx="90">
                  <c:v>1143384</c:v>
                </c:pt>
                <c:pt idx="91">
                  <c:v>1132464</c:v>
                </c:pt>
                <c:pt idx="92">
                  <c:v>1121544</c:v>
                </c:pt>
                <c:pt idx="93">
                  <c:v>1110624</c:v>
                </c:pt>
                <c:pt idx="94">
                  <c:v>1099704</c:v>
                </c:pt>
                <c:pt idx="95">
                  <c:v>1088784</c:v>
                </c:pt>
                <c:pt idx="96">
                  <c:v>1077864</c:v>
                </c:pt>
                <c:pt idx="97">
                  <c:v>1066944</c:v>
                </c:pt>
                <c:pt idx="98">
                  <c:v>1056024</c:v>
                </c:pt>
                <c:pt idx="99">
                  <c:v>1045104</c:v>
                </c:pt>
                <c:pt idx="100">
                  <c:v>1034184</c:v>
                </c:pt>
                <c:pt idx="101">
                  <c:v>1023264</c:v>
                </c:pt>
                <c:pt idx="102">
                  <c:v>1012344</c:v>
                </c:pt>
                <c:pt idx="103">
                  <c:v>1001424</c:v>
                </c:pt>
                <c:pt idx="104">
                  <c:v>990504</c:v>
                </c:pt>
                <c:pt idx="105">
                  <c:v>979584</c:v>
                </c:pt>
                <c:pt idx="106">
                  <c:v>968664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AC-44F9-A9C8-6229E90DBC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4646268"/>
        <c:axId val="94986634"/>
      </c:lineChart>
      <c:catAx>
        <c:axId val="246462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94986634"/>
        <c:crosses val="autoZero"/>
        <c:auto val="1"/>
        <c:lblAlgn val="ctr"/>
        <c:lblOffset val="100"/>
        <c:noMultiLvlLbl val="0"/>
      </c:catAx>
      <c:valAx>
        <c:axId val="949866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#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2464626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'POP Growth'!$B$1</c:f>
              <c:strCache>
                <c:ptCount val="1"/>
                <c:pt idx="0">
                  <c:v>POP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'POP Growth'!$A$2:$A$108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'POP Growth'!$B$2:$B$108</c:f>
              <c:numCache>
                <c:formatCode>[$-415]#\ ##0</c:formatCode>
                <c:ptCount val="107"/>
                <c:pt idx="0">
                  <c:v>452530</c:v>
                </c:pt>
                <c:pt idx="1">
                  <c:v>452575.25299999997</c:v>
                </c:pt>
                <c:pt idx="2">
                  <c:v>452620.51052529993</c:v>
                </c:pt>
                <c:pt idx="3">
                  <c:v>452665.77257635246</c:v>
                </c:pt>
                <c:pt idx="4">
                  <c:v>452711.03915361012</c:v>
                </c:pt>
                <c:pt idx="5">
                  <c:v>452801.58136144083</c:v>
                </c:pt>
                <c:pt idx="6">
                  <c:v>452892.14167771308</c:v>
                </c:pt>
                <c:pt idx="7">
                  <c:v>453028.00932021637</c:v>
                </c:pt>
                <c:pt idx="8">
                  <c:v>453209.22052394442</c:v>
                </c:pt>
                <c:pt idx="9">
                  <c:v>453435.82513420639</c:v>
                </c:pt>
                <c:pt idx="10">
                  <c:v>453662.54304677347</c:v>
                </c:pt>
                <c:pt idx="11">
                  <c:v>453934.7405726015</c:v>
                </c:pt>
                <c:pt idx="12">
                  <c:v>454207.10141694505</c:v>
                </c:pt>
                <c:pt idx="13">
                  <c:v>454479.62567779521</c:v>
                </c:pt>
                <c:pt idx="14">
                  <c:v>454752.31345320184</c:v>
                </c:pt>
                <c:pt idx="15">
                  <c:v>455025.16484127374</c:v>
                </c:pt>
                <c:pt idx="16">
                  <c:v>455298.17994017847</c:v>
                </c:pt>
                <c:pt idx="17">
                  <c:v>455571.35884814255</c:v>
                </c:pt>
                <c:pt idx="18">
                  <c:v>455844.70166345139</c:v>
                </c:pt>
                <c:pt idx="19">
                  <c:v>456118.20848444942</c:v>
                </c:pt>
                <c:pt idx="20">
                  <c:v>456391.87940954004</c:v>
                </c:pt>
                <c:pt idx="21">
                  <c:v>456665.71453718573</c:v>
                </c:pt>
                <c:pt idx="22">
                  <c:v>456939.71396590804</c:v>
                </c:pt>
                <c:pt idx="23">
                  <c:v>457213.87779428757</c:v>
                </c:pt>
                <c:pt idx="24">
                  <c:v>457488.20612096414</c:v>
                </c:pt>
                <c:pt idx="25">
                  <c:v>457762.69904463668</c:v>
                </c:pt>
                <c:pt idx="26">
                  <c:v>458037.35666406341</c:v>
                </c:pt>
                <c:pt idx="27">
                  <c:v>458312.17907806183</c:v>
                </c:pt>
                <c:pt idx="28">
                  <c:v>458587.16638550867</c:v>
                </c:pt>
                <c:pt idx="29">
                  <c:v>458862.31868533994</c:v>
                </c:pt>
                <c:pt idx="30">
                  <c:v>459137.63607655111</c:v>
                </c:pt>
                <c:pt idx="31">
                  <c:v>459413.118658197</c:v>
                </c:pt>
                <c:pt idx="32">
                  <c:v>459688.76652939187</c:v>
                </c:pt>
                <c:pt idx="33">
                  <c:v>459964.57978930947</c:v>
                </c:pt>
                <c:pt idx="34">
                  <c:v>460240.55853718304</c:v>
                </c:pt>
                <c:pt idx="35">
                  <c:v>460516.70287230529</c:v>
                </c:pt>
                <c:pt idx="36">
                  <c:v>460793.01289402862</c:v>
                </c:pt>
                <c:pt idx="37">
                  <c:v>461069.48870176502</c:v>
                </c:pt>
                <c:pt idx="38">
                  <c:v>461346.13039498607</c:v>
                </c:pt>
                <c:pt idx="39">
                  <c:v>461622.93807322305</c:v>
                </c:pt>
                <c:pt idx="40">
                  <c:v>461899.91183606692</c:v>
                </c:pt>
                <c:pt idx="41">
                  <c:v>462177.05178316851</c:v>
                </c:pt>
                <c:pt idx="42">
                  <c:v>462454.35801423836</c:v>
                </c:pt>
                <c:pt idx="43">
                  <c:v>462731.83062904689</c:v>
                </c:pt>
                <c:pt idx="44">
                  <c:v>463009.46972742426</c:v>
                </c:pt>
                <c:pt idx="45">
                  <c:v>463333.57635623345</c:v>
                </c:pt>
                <c:pt idx="46">
                  <c:v>463657.90985968278</c:v>
                </c:pt>
                <c:pt idx="47">
                  <c:v>463982.47039658454</c:v>
                </c:pt>
                <c:pt idx="48">
                  <c:v>464307.25812586211</c:v>
                </c:pt>
                <c:pt idx="49">
                  <c:v>464632.27320655016</c:v>
                </c:pt>
                <c:pt idx="50">
                  <c:v>464957.51579779474</c:v>
                </c:pt>
                <c:pt idx="51">
                  <c:v>465282.98605885316</c:v>
                </c:pt>
                <c:pt idx="52">
                  <c:v>465608.68414909433</c:v>
                </c:pt>
                <c:pt idx="53">
                  <c:v>465934.61022799864</c:v>
                </c:pt>
                <c:pt idx="54">
                  <c:v>466260.76445515821</c:v>
                </c:pt>
                <c:pt idx="55">
                  <c:v>466587.14699027676</c:v>
                </c:pt>
                <c:pt idx="56">
                  <c:v>466913.75799316989</c:v>
                </c:pt>
                <c:pt idx="57">
                  <c:v>467240.59762376506</c:v>
                </c:pt>
                <c:pt idx="58">
                  <c:v>467567.66604210169</c:v>
                </c:pt>
                <c:pt idx="59">
                  <c:v>467894.9634083311</c:v>
                </c:pt>
                <c:pt idx="60">
                  <c:v>468222.48988271691</c:v>
                </c:pt>
                <c:pt idx="61">
                  <c:v>468550.24562563479</c:v>
                </c:pt>
                <c:pt idx="62">
                  <c:v>468878.2307975727</c:v>
                </c:pt>
                <c:pt idx="63">
                  <c:v>469206.44555913098</c:v>
                </c:pt>
                <c:pt idx="64">
                  <c:v>469534.89007102232</c:v>
                </c:pt>
                <c:pt idx="65">
                  <c:v>469863.56449407199</c:v>
                </c:pt>
                <c:pt idx="66">
                  <c:v>470192.46898921783</c:v>
                </c:pt>
                <c:pt idx="67">
                  <c:v>470521.60371751024</c:v>
                </c:pt>
                <c:pt idx="68">
                  <c:v>470850.96884011244</c:v>
                </c:pt>
                <c:pt idx="69">
                  <c:v>471180.56451830047</c:v>
                </c:pt>
                <c:pt idx="70">
                  <c:v>471510.39091346326</c:v>
                </c:pt>
                <c:pt idx="71">
                  <c:v>471840.44818710262</c:v>
                </c:pt>
                <c:pt idx="72">
                  <c:v>472170.73650083353</c:v>
                </c:pt>
                <c:pt idx="73">
                  <c:v>472501.25601638405</c:v>
                </c:pt>
                <c:pt idx="74">
                  <c:v>472832.00689559546</c:v>
                </c:pt>
                <c:pt idx="75">
                  <c:v>473162.98930042237</c:v>
                </c:pt>
                <c:pt idx="76">
                  <c:v>473494.20339293266</c:v>
                </c:pt>
                <c:pt idx="77">
                  <c:v>473825.64933530765</c:v>
                </c:pt>
                <c:pt idx="78">
                  <c:v>474157.3272898423</c:v>
                </c:pt>
                <c:pt idx="79">
                  <c:v>474536.65315167414</c:v>
                </c:pt>
                <c:pt idx="80">
                  <c:v>474916.28247419541</c:v>
                </c:pt>
                <c:pt idx="81">
                  <c:v>475296.21550017473</c:v>
                </c:pt>
                <c:pt idx="82">
                  <c:v>475676.45247257483</c:v>
                </c:pt>
                <c:pt idx="83">
                  <c:v>476104.56127980008</c:v>
                </c:pt>
                <c:pt idx="84">
                  <c:v>476533.05538495188</c:v>
                </c:pt>
                <c:pt idx="85">
                  <c:v>476961.93513479829</c:v>
                </c:pt>
                <c:pt idx="86">
                  <c:v>477391.20087641955</c:v>
                </c:pt>
                <c:pt idx="87">
                  <c:v>477820.85295720829</c:v>
                </c:pt>
                <c:pt idx="88">
                  <c:v>478250.89172486973</c:v>
                </c:pt>
                <c:pt idx="89">
                  <c:v>478681.31752742204</c:v>
                </c:pt>
                <c:pt idx="90">
                  <c:v>479112.13071319665</c:v>
                </c:pt>
                <c:pt idx="91">
                  <c:v>479543.33163083845</c:v>
                </c:pt>
                <c:pt idx="92">
                  <c:v>479974.92062930617</c:v>
                </c:pt>
                <c:pt idx="93">
                  <c:v>480406.89805787249</c:v>
                </c:pt>
                <c:pt idx="94">
                  <c:v>480839.26426612452</c:v>
                </c:pt>
                <c:pt idx="95">
                  <c:v>481272.019603964</c:v>
                </c:pt>
                <c:pt idx="96">
                  <c:v>481705.16442160751</c:v>
                </c:pt>
                <c:pt idx="97">
                  <c:v>482138.69906958693</c:v>
                </c:pt>
                <c:pt idx="98">
                  <c:v>482572.62389874953</c:v>
                </c:pt>
                <c:pt idx="99">
                  <c:v>483006.93926025834</c:v>
                </c:pt>
                <c:pt idx="100">
                  <c:v>483441.64550559252</c:v>
                </c:pt>
                <c:pt idx="101">
                  <c:v>483876.74298654753</c:v>
                </c:pt>
                <c:pt idx="102">
                  <c:v>484312.23205523536</c:v>
                </c:pt>
                <c:pt idx="103">
                  <c:v>484748.11306408502</c:v>
                </c:pt>
                <c:pt idx="104">
                  <c:v>485184.38636584266</c:v>
                </c:pt>
                <c:pt idx="105">
                  <c:v>485621.05231357185</c:v>
                </c:pt>
                <c:pt idx="106">
                  <c:v>486058.111260654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51-4E13-99AA-2F6296D59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6388089"/>
        <c:axId val="16618071"/>
      </c:lineChart>
      <c:catAx>
        <c:axId val="7638808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16618071"/>
        <c:crosses val="autoZero"/>
        <c:auto val="1"/>
        <c:lblAlgn val="ctr"/>
        <c:lblOffset val="100"/>
        <c:noMultiLvlLbl val="0"/>
      </c:catAx>
      <c:valAx>
        <c:axId val="166180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15]#\ 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7638808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10800</xdr:colOff>
      <xdr:row>109</xdr:row>
      <xdr:rowOff>0</xdr:rowOff>
    </xdr:from>
    <xdr:to>
      <xdr:col>19</xdr:col>
      <xdr:colOff>219960</xdr:colOff>
      <xdr:row>141</xdr:row>
      <xdr:rowOff>21600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58680</xdr:colOff>
      <xdr:row>0</xdr:row>
      <xdr:rowOff>0</xdr:rowOff>
    </xdr:from>
    <xdr:to>
      <xdr:col>25</xdr:col>
      <xdr:colOff>474120</xdr:colOff>
      <xdr:row>26</xdr:row>
      <xdr:rowOff>138240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26280</xdr:colOff>
      <xdr:row>3</xdr:row>
      <xdr:rowOff>32040</xdr:rowOff>
    </xdr:from>
    <xdr:to>
      <xdr:col>13</xdr:col>
      <xdr:colOff>790920</xdr:colOff>
      <xdr:row>31</xdr:row>
      <xdr:rowOff>49320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5400</xdr:colOff>
      <xdr:row>1</xdr:row>
      <xdr:rowOff>360</xdr:rowOff>
    </xdr:from>
    <xdr:to>
      <xdr:col>6</xdr:col>
      <xdr:colOff>223200</xdr:colOff>
      <xdr:row>1</xdr:row>
      <xdr:rowOff>168120</xdr:rowOff>
    </xdr:to>
    <xdr:pic>
      <xdr:nvPicPr>
        <xdr:cNvPr id="3" name="Obraz 1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863240" y="190800"/>
          <a:ext cx="217800" cy="167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9</xdr:row>
      <xdr:rowOff>0</xdr:rowOff>
    </xdr:from>
    <xdr:to>
      <xdr:col>6</xdr:col>
      <xdr:colOff>246240</xdr:colOff>
      <xdr:row>9</xdr:row>
      <xdr:rowOff>173880</xdr:rowOff>
    </xdr:to>
    <xdr:pic>
      <xdr:nvPicPr>
        <xdr:cNvPr id="4" name="Obraz 2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857840" y="1714680"/>
          <a:ext cx="246240" cy="173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8</xdr:row>
      <xdr:rowOff>0</xdr:rowOff>
    </xdr:from>
    <xdr:to>
      <xdr:col>6</xdr:col>
      <xdr:colOff>176760</xdr:colOff>
      <xdr:row>9</xdr:row>
      <xdr:rowOff>56880</xdr:rowOff>
    </xdr:to>
    <xdr:pic>
      <xdr:nvPicPr>
        <xdr:cNvPr id="5" name="Obraz 3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4857840" y="1523880"/>
          <a:ext cx="176760" cy="247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256320</xdr:colOff>
      <xdr:row>6</xdr:row>
      <xdr:rowOff>56880</xdr:rowOff>
    </xdr:to>
    <xdr:pic>
      <xdr:nvPicPr>
        <xdr:cNvPr id="6" name="Obraz 4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4857840" y="952560"/>
          <a:ext cx="256320" cy="24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22</xdr:row>
      <xdr:rowOff>0</xdr:rowOff>
    </xdr:from>
    <xdr:to>
      <xdr:col>6</xdr:col>
      <xdr:colOff>226440</xdr:colOff>
      <xdr:row>23</xdr:row>
      <xdr:rowOff>56880</xdr:rowOff>
    </xdr:to>
    <xdr:pic>
      <xdr:nvPicPr>
        <xdr:cNvPr id="7" name="Obraz 5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4857840" y="4191120"/>
          <a:ext cx="226440" cy="2473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9"/>
  <sheetViews>
    <sheetView zoomScale="120" zoomScaleNormal="120" workbookViewId="0">
      <selection activeCell="I20" sqref="I20"/>
    </sheetView>
  </sheetViews>
  <sheetFormatPr defaultColWidth="8.85546875" defaultRowHeight="15"/>
  <cols>
    <col min="1" max="1" width="6.7109375" style="6" customWidth="1"/>
    <col min="2" max="2" width="15.85546875" style="6" customWidth="1"/>
    <col min="3" max="3" width="8" style="6" customWidth="1"/>
    <col min="4" max="4" width="10.5703125" style="6" customWidth="1"/>
    <col min="5" max="5" width="13.85546875" style="6" customWidth="1"/>
    <col min="6" max="6" width="22.5703125" style="6" customWidth="1"/>
    <col min="7" max="7" width="10.28515625" style="6" customWidth="1"/>
    <col min="8" max="8" width="15.85546875" style="7" customWidth="1"/>
    <col min="9" max="9" width="23.140625" style="6" customWidth="1"/>
    <col min="10" max="10" width="24.5703125" style="8" customWidth="1"/>
    <col min="11" max="11" width="16.85546875" style="9" customWidth="1"/>
    <col min="12" max="12" width="6.42578125" style="6" customWidth="1"/>
    <col min="13" max="13" width="19.85546875" style="6" customWidth="1"/>
    <col min="14" max="14" width="13" customWidth="1"/>
    <col min="15" max="26" width="8.85546875" style="6"/>
    <col min="27" max="27" width="11.140625" style="6" customWidth="1"/>
    <col min="28" max="28" width="9.42578125" style="6" customWidth="1"/>
    <col min="29" max="16384" width="8.85546875" style="6"/>
  </cols>
  <sheetData>
    <row r="1" spans="1:1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7" t="s">
        <v>7</v>
      </c>
      <c r="I1" s="10" t="s">
        <v>8</v>
      </c>
      <c r="J1" s="11" t="s">
        <v>9</v>
      </c>
      <c r="K1" s="12" t="s">
        <v>10</v>
      </c>
      <c r="L1" s="10" t="s">
        <v>0</v>
      </c>
      <c r="M1" s="8" t="s">
        <v>11</v>
      </c>
    </row>
    <row r="2" spans="1:13">
      <c r="A2" s="10">
        <v>1830</v>
      </c>
      <c r="B2" s="13">
        <v>9.7999999999999997E-3</v>
      </c>
      <c r="C2" s="13">
        <v>4.1000000000000003E-3</v>
      </c>
      <c r="D2" s="13">
        <v>0.1</v>
      </c>
      <c r="E2" s="10" t="s">
        <v>12</v>
      </c>
      <c r="F2" s="14">
        <f t="shared" ref="F2:F33" si="0">(MIN(B2,0.02)*150)+(MIN(C2,0.04)*50)+(MIN(D2,1)*4)+(IF(E2="Great Power",1.5,IF(E2="Secondary Power",1.25,IF(E2="Westernized Nation",1,0))))</f>
        <v>3.5750000000000002</v>
      </c>
      <c r="G2" s="7">
        <v>0.3</v>
      </c>
      <c r="H2" s="7">
        <v>0</v>
      </c>
      <c r="I2" s="14">
        <f t="shared" ref="I2:I33" si="1">F2*(1+H2+G2)</f>
        <v>4.6475</v>
      </c>
      <c r="J2" s="11">
        <f t="shared" ref="J2:J33" si="2">I2*365</f>
        <v>1696.3375000000001</v>
      </c>
      <c r="K2" s="12">
        <v>244800</v>
      </c>
      <c r="L2" s="10">
        <v>1830</v>
      </c>
      <c r="M2" s="11">
        <f>MAX(K2-J2,0)</f>
        <v>243103.66250000001</v>
      </c>
    </row>
    <row r="3" spans="1:13">
      <c r="A3" s="10">
        <v>1831</v>
      </c>
      <c r="B3" s="13">
        <v>0.01</v>
      </c>
      <c r="C3" s="13">
        <v>4.3E-3</v>
      </c>
      <c r="D3" s="13">
        <v>0.10171428571428601</v>
      </c>
      <c r="E3" s="10" t="s">
        <v>12</v>
      </c>
      <c r="F3" s="14">
        <f t="shared" si="0"/>
        <v>3.6218571428571442</v>
      </c>
      <c r="G3" s="7">
        <f t="shared" ref="G3:G34" si="3">MIN(G2+(4*2/90/100*12),1)</f>
        <v>0.31066666666666665</v>
      </c>
      <c r="H3" s="7">
        <v>0</v>
      </c>
      <c r="I3" s="14">
        <f t="shared" si="1"/>
        <v>4.7470474285714301</v>
      </c>
      <c r="J3" s="11">
        <f t="shared" si="2"/>
        <v>1732.6723114285719</v>
      </c>
      <c r="K3" s="12"/>
      <c r="L3" s="10">
        <v>1831</v>
      </c>
      <c r="M3" s="11">
        <f t="shared" ref="M3:M34" si="4">MAX((M2+K3-J3)*0.994,0)</f>
        <v>239922.76424744001</v>
      </c>
    </row>
    <row r="4" spans="1:13">
      <c r="A4" s="10">
        <v>1832</v>
      </c>
      <c r="B4" s="13">
        <v>1.0800000000000001E-2</v>
      </c>
      <c r="C4" s="13">
        <v>4.4999999999999997E-3</v>
      </c>
      <c r="D4" s="13">
        <v>0.1036</v>
      </c>
      <c r="E4" s="10" t="s">
        <v>12</v>
      </c>
      <c r="F4" s="14">
        <f t="shared" si="0"/>
        <v>3.7594000000000003</v>
      </c>
      <c r="G4" s="7">
        <f t="shared" si="3"/>
        <v>0.3213333333333333</v>
      </c>
      <c r="H4" s="7">
        <v>0</v>
      </c>
      <c r="I4" s="14">
        <f t="shared" si="1"/>
        <v>4.9674205333333337</v>
      </c>
      <c r="J4" s="11">
        <f t="shared" si="2"/>
        <v>1813.1084946666667</v>
      </c>
      <c r="K4" s="12"/>
      <c r="L4" s="10">
        <v>1832</v>
      </c>
      <c r="M4" s="11">
        <f t="shared" si="4"/>
        <v>236680.9978182567</v>
      </c>
    </row>
    <row r="5" spans="1:13">
      <c r="A5" s="10">
        <v>1833</v>
      </c>
      <c r="B5" s="13">
        <v>1.1599999999999999E-2</v>
      </c>
      <c r="C5" s="13">
        <v>4.7000000000000002E-3</v>
      </c>
      <c r="D5" s="13">
        <v>0.105657142857143</v>
      </c>
      <c r="E5" s="10" t="s">
        <v>12</v>
      </c>
      <c r="F5" s="14">
        <f t="shared" si="0"/>
        <v>3.8976285714285721</v>
      </c>
      <c r="G5" s="7">
        <f t="shared" si="3"/>
        <v>0.33199999999999996</v>
      </c>
      <c r="H5" s="7">
        <v>0</v>
      </c>
      <c r="I5" s="14">
        <f t="shared" si="1"/>
        <v>5.1916412571428578</v>
      </c>
      <c r="J5" s="11">
        <f t="shared" si="2"/>
        <v>1894.9490588571432</v>
      </c>
      <c r="K5" s="12"/>
      <c r="L5" s="10">
        <v>1833</v>
      </c>
      <c r="M5" s="11">
        <f t="shared" si="4"/>
        <v>233377.33246684316</v>
      </c>
    </row>
    <row r="6" spans="1:13">
      <c r="A6" s="10">
        <v>1834</v>
      </c>
      <c r="B6" s="13">
        <v>1.24E-2</v>
      </c>
      <c r="C6" s="13">
        <v>4.8999999999999998E-3</v>
      </c>
      <c r="D6" s="13">
        <v>0.107885714285714</v>
      </c>
      <c r="E6" s="10" t="s">
        <v>12</v>
      </c>
      <c r="F6" s="14">
        <f t="shared" si="0"/>
        <v>4.0365428571428561</v>
      </c>
      <c r="G6" s="7">
        <f t="shared" si="3"/>
        <v>0.34266666666666662</v>
      </c>
      <c r="H6" s="7">
        <v>0</v>
      </c>
      <c r="I6" s="14">
        <f t="shared" si="1"/>
        <v>5.4197315428571411</v>
      </c>
      <c r="J6" s="11">
        <f t="shared" si="2"/>
        <v>1978.2020131428565</v>
      </c>
      <c r="K6" s="12"/>
      <c r="L6" s="10">
        <v>1834</v>
      </c>
      <c r="M6" s="11">
        <f t="shared" si="4"/>
        <v>230010.73567097812</v>
      </c>
    </row>
    <row r="7" spans="1:13">
      <c r="A7" s="10">
        <v>1835</v>
      </c>
      <c r="B7" s="13">
        <v>1.32E-2</v>
      </c>
      <c r="C7" s="13">
        <v>5.1000000000000004E-3</v>
      </c>
      <c r="D7" s="13">
        <v>0.110285714285714</v>
      </c>
      <c r="E7" s="10" t="s">
        <v>12</v>
      </c>
      <c r="F7" s="14">
        <f t="shared" si="0"/>
        <v>4.1761428571428558</v>
      </c>
      <c r="G7" s="7">
        <f t="shared" si="3"/>
        <v>0.35333333333333328</v>
      </c>
      <c r="H7" s="7">
        <v>0</v>
      </c>
      <c r="I7" s="14">
        <f t="shared" si="1"/>
        <v>5.6517133333333316</v>
      </c>
      <c r="J7" s="11">
        <f t="shared" si="2"/>
        <v>2062.8753666666662</v>
      </c>
      <c r="K7" s="12"/>
      <c r="L7" s="10">
        <v>1835</v>
      </c>
      <c r="M7" s="11">
        <f t="shared" si="4"/>
        <v>226580.17314248558</v>
      </c>
    </row>
    <row r="8" spans="1:13">
      <c r="A8" s="10">
        <v>1836</v>
      </c>
      <c r="B8" s="13">
        <v>1.4E-2</v>
      </c>
      <c r="C8" s="13">
        <v>5.3E-3</v>
      </c>
      <c r="D8" s="13">
        <v>0.112857142857143</v>
      </c>
      <c r="E8" s="10" t="s">
        <v>12</v>
      </c>
      <c r="F8" s="14">
        <f t="shared" si="0"/>
        <v>4.3164285714285722</v>
      </c>
      <c r="G8" s="7">
        <f t="shared" si="3"/>
        <v>0.36399999999999993</v>
      </c>
      <c r="H8" s="7">
        <v>0</v>
      </c>
      <c r="I8" s="14">
        <f t="shared" si="1"/>
        <v>5.8876085714285722</v>
      </c>
      <c r="J8" s="11">
        <f t="shared" si="2"/>
        <v>2148.9771285714287</v>
      </c>
      <c r="K8" s="12"/>
      <c r="L8" s="10">
        <v>1836</v>
      </c>
      <c r="M8" s="11">
        <f t="shared" si="4"/>
        <v>223084.60883783066</v>
      </c>
    </row>
    <row r="9" spans="1:13">
      <c r="A9" s="10">
        <v>1837</v>
      </c>
      <c r="B9" s="13">
        <v>1.4800000000000001E-2</v>
      </c>
      <c r="C9" s="13">
        <v>5.4999999999999997E-3</v>
      </c>
      <c r="D9" s="13">
        <v>0.11559999999999999</v>
      </c>
      <c r="E9" s="10" t="s">
        <v>12</v>
      </c>
      <c r="F9" s="14">
        <f t="shared" si="0"/>
        <v>4.4573999999999998</v>
      </c>
      <c r="G9" s="7">
        <f t="shared" si="3"/>
        <v>0.37466666666666659</v>
      </c>
      <c r="H9" s="7">
        <v>0</v>
      </c>
      <c r="I9" s="14">
        <f t="shared" si="1"/>
        <v>6.1274391999999995</v>
      </c>
      <c r="J9" s="11">
        <f t="shared" si="2"/>
        <v>2236.515308</v>
      </c>
      <c r="K9" s="12"/>
      <c r="L9" s="10">
        <v>1837</v>
      </c>
      <c r="M9" s="11">
        <f t="shared" si="4"/>
        <v>219523.00496865169</v>
      </c>
    </row>
    <row r="10" spans="1:13">
      <c r="A10" s="10">
        <v>1838</v>
      </c>
      <c r="B10" s="13">
        <v>1.5599999999999999E-2</v>
      </c>
      <c r="C10" s="13">
        <v>5.7000000000000002E-3</v>
      </c>
      <c r="D10" s="13">
        <v>0.118514285714286</v>
      </c>
      <c r="E10" s="10" t="s">
        <v>12</v>
      </c>
      <c r="F10" s="14">
        <f t="shared" si="0"/>
        <v>4.5990571428571441</v>
      </c>
      <c r="G10" s="7">
        <f t="shared" si="3"/>
        <v>0.38533333333333325</v>
      </c>
      <c r="H10" s="7">
        <v>0</v>
      </c>
      <c r="I10" s="14">
        <f t="shared" si="1"/>
        <v>6.3712271619047636</v>
      </c>
      <c r="J10" s="11">
        <f t="shared" si="2"/>
        <v>2325.4979140952387</v>
      </c>
      <c r="K10" s="12"/>
      <c r="L10" s="10">
        <v>1838</v>
      </c>
      <c r="M10" s="11">
        <f t="shared" si="4"/>
        <v>215894.32201222912</v>
      </c>
    </row>
    <row r="11" spans="1:13">
      <c r="A11" s="10">
        <v>1839</v>
      </c>
      <c r="B11" s="13">
        <v>1.6400000000000001E-2</v>
      </c>
      <c r="C11" s="13">
        <v>5.8999999999999999E-3</v>
      </c>
      <c r="D11" s="13">
        <v>0.1216</v>
      </c>
      <c r="E11" s="10" t="s">
        <v>12</v>
      </c>
      <c r="F11" s="14">
        <f t="shared" si="0"/>
        <v>4.7414000000000005</v>
      </c>
      <c r="G11" s="7">
        <f t="shared" si="3"/>
        <v>0.39599999999999991</v>
      </c>
      <c r="H11" s="7">
        <v>0</v>
      </c>
      <c r="I11" s="14">
        <f t="shared" si="1"/>
        <v>6.6189944000000001</v>
      </c>
      <c r="J11" s="11">
        <f t="shared" si="2"/>
        <v>2415.9329560000001</v>
      </c>
      <c r="K11" s="12"/>
      <c r="L11" s="10">
        <v>1839</v>
      </c>
      <c r="M11" s="11">
        <f t="shared" si="4"/>
        <v>212197.51872189174</v>
      </c>
    </row>
    <row r="12" spans="1:13">
      <c r="A12" s="10">
        <v>1840</v>
      </c>
      <c r="B12" s="13">
        <v>1.72E-2</v>
      </c>
      <c r="C12" s="13">
        <v>6.1000000000000004E-3</v>
      </c>
      <c r="D12" s="13">
        <v>0.124857142857143</v>
      </c>
      <c r="E12" s="10" t="s">
        <v>12</v>
      </c>
      <c r="F12" s="14">
        <f t="shared" si="0"/>
        <v>4.8844285714285718</v>
      </c>
      <c r="G12" s="7">
        <f t="shared" si="3"/>
        <v>0.40666666666666657</v>
      </c>
      <c r="H12" s="7">
        <v>0.5</v>
      </c>
      <c r="I12" s="14">
        <f t="shared" si="1"/>
        <v>9.3129771428571431</v>
      </c>
      <c r="J12" s="11">
        <f t="shared" si="2"/>
        <v>3399.2366571428574</v>
      </c>
      <c r="K12" s="12">
        <v>32400</v>
      </c>
      <c r="L12" s="10">
        <v>1840</v>
      </c>
      <c r="M12" s="11">
        <f t="shared" si="4"/>
        <v>239751.09237236038</v>
      </c>
    </row>
    <row r="13" spans="1:13">
      <c r="A13" s="10">
        <v>1841</v>
      </c>
      <c r="B13" s="13">
        <v>1.7999999999999999E-2</v>
      </c>
      <c r="C13" s="13">
        <v>6.3E-3</v>
      </c>
      <c r="D13" s="13">
        <v>0.128285714285714</v>
      </c>
      <c r="E13" s="10" t="s">
        <v>12</v>
      </c>
      <c r="F13" s="14">
        <f t="shared" si="0"/>
        <v>5.0281428571428552</v>
      </c>
      <c r="G13" s="7">
        <f t="shared" si="3"/>
        <v>0.41733333333333322</v>
      </c>
      <c r="H13" s="7">
        <v>0.5</v>
      </c>
      <c r="I13" s="14">
        <f t="shared" si="1"/>
        <v>9.6406259047618992</v>
      </c>
      <c r="J13" s="11">
        <f t="shared" si="2"/>
        <v>3518.8284552380933</v>
      </c>
      <c r="K13" s="12"/>
      <c r="L13" s="10">
        <v>1841</v>
      </c>
      <c r="M13" s="11">
        <f t="shared" si="4"/>
        <v>234814.87033361956</v>
      </c>
    </row>
    <row r="14" spans="1:13">
      <c r="A14" s="10">
        <v>1842</v>
      </c>
      <c r="B14" s="13">
        <v>1.8800000000000001E-2</v>
      </c>
      <c r="C14" s="13">
        <v>6.4999999999999997E-3</v>
      </c>
      <c r="D14" s="13">
        <v>0.131885714285714</v>
      </c>
      <c r="E14" s="10" t="s">
        <v>12</v>
      </c>
      <c r="F14" s="14">
        <f t="shared" si="0"/>
        <v>5.1725428571428562</v>
      </c>
      <c r="G14" s="7">
        <f t="shared" si="3"/>
        <v>0.42799999999999988</v>
      </c>
      <c r="H14" s="7">
        <v>0.5</v>
      </c>
      <c r="I14" s="14">
        <f t="shared" si="1"/>
        <v>9.9726626285714257</v>
      </c>
      <c r="J14" s="11">
        <f t="shared" si="2"/>
        <v>3640.0218594285702</v>
      </c>
      <c r="K14" s="12"/>
      <c r="L14" s="10">
        <v>1842</v>
      </c>
      <c r="M14" s="11">
        <f t="shared" si="4"/>
        <v>229787.79938334582</v>
      </c>
    </row>
    <row r="15" spans="1:13">
      <c r="A15" s="10">
        <v>1843</v>
      </c>
      <c r="B15" s="13">
        <v>1.9599999999999999E-2</v>
      </c>
      <c r="C15" s="13">
        <v>6.7000000000000002E-3</v>
      </c>
      <c r="D15" s="13">
        <v>0.135657142857143</v>
      </c>
      <c r="E15" s="10" t="s">
        <v>12</v>
      </c>
      <c r="F15" s="14">
        <f t="shared" si="0"/>
        <v>5.317628571428572</v>
      </c>
      <c r="G15" s="7">
        <f t="shared" si="3"/>
        <v>0.43866666666666654</v>
      </c>
      <c r="H15" s="7">
        <v>1</v>
      </c>
      <c r="I15" s="14">
        <f t="shared" si="1"/>
        <v>12.967923542857143</v>
      </c>
      <c r="J15" s="11">
        <f t="shared" si="2"/>
        <v>4733.2920931428571</v>
      </c>
      <c r="K15" s="12"/>
      <c r="L15" s="10">
        <v>1843</v>
      </c>
      <c r="M15" s="11">
        <f t="shared" si="4"/>
        <v>223704.18024646174</v>
      </c>
    </row>
    <row r="16" spans="1:13">
      <c r="A16" s="10">
        <v>1844</v>
      </c>
      <c r="B16" s="13">
        <v>2.0400000000000001E-2</v>
      </c>
      <c r="C16" s="13">
        <v>6.8999999999999999E-3</v>
      </c>
      <c r="D16" s="13">
        <v>0.139876</v>
      </c>
      <c r="E16" s="10" t="s">
        <v>12</v>
      </c>
      <c r="F16" s="14">
        <f t="shared" si="0"/>
        <v>5.4045039999999993</v>
      </c>
      <c r="G16" s="7">
        <f t="shared" si="3"/>
        <v>0.4493333333333332</v>
      </c>
      <c r="H16" s="7">
        <v>1</v>
      </c>
      <c r="I16" s="14">
        <f t="shared" si="1"/>
        <v>13.237431797333331</v>
      </c>
      <c r="J16" s="11">
        <f t="shared" si="2"/>
        <v>4831.6626060266653</v>
      </c>
      <c r="K16" s="12"/>
      <c r="L16" s="10">
        <v>1844</v>
      </c>
      <c r="M16" s="11">
        <f t="shared" si="4"/>
        <v>217559.28253459246</v>
      </c>
    </row>
    <row r="17" spans="1:13">
      <c r="A17" s="10">
        <v>1845</v>
      </c>
      <c r="B17" s="13">
        <v>2.12E-2</v>
      </c>
      <c r="C17" s="13">
        <v>7.1000000000000004E-3</v>
      </c>
      <c r="D17" s="13">
        <v>0.14468971428571401</v>
      </c>
      <c r="E17" s="10" t="s">
        <v>12</v>
      </c>
      <c r="F17" s="14">
        <f t="shared" si="0"/>
        <v>5.4337588571428554</v>
      </c>
      <c r="G17" s="7">
        <f t="shared" si="3"/>
        <v>0.45999999999999985</v>
      </c>
      <c r="H17" s="7">
        <v>1</v>
      </c>
      <c r="I17" s="14">
        <f t="shared" si="1"/>
        <v>13.367046788571423</v>
      </c>
      <c r="J17" s="11">
        <f t="shared" si="2"/>
        <v>4878.9720778285691</v>
      </c>
      <c r="K17" s="12"/>
      <c r="L17" s="10">
        <v>1845</v>
      </c>
      <c r="M17" s="11">
        <f t="shared" si="4"/>
        <v>211404.2285940233</v>
      </c>
    </row>
    <row r="18" spans="1:13">
      <c r="A18" s="10">
        <v>1846</v>
      </c>
      <c r="B18" s="13">
        <v>2.1999999999999999E-2</v>
      </c>
      <c r="C18" s="13">
        <v>7.3000000000000001E-3</v>
      </c>
      <c r="D18" s="13">
        <v>0.149704</v>
      </c>
      <c r="E18" s="10" t="s">
        <v>12</v>
      </c>
      <c r="F18" s="14">
        <f t="shared" si="0"/>
        <v>5.4638160000000005</v>
      </c>
      <c r="G18" s="7">
        <f t="shared" si="3"/>
        <v>0.47066666666666651</v>
      </c>
      <c r="H18" s="7">
        <v>1</v>
      </c>
      <c r="I18" s="14">
        <f t="shared" si="1"/>
        <v>13.499268063999999</v>
      </c>
      <c r="J18" s="11">
        <f t="shared" si="2"/>
        <v>4927.2328433599996</v>
      </c>
      <c r="K18" s="12"/>
      <c r="L18" s="10">
        <v>1846</v>
      </c>
      <c r="M18" s="11">
        <f t="shared" si="4"/>
        <v>205238.13377615932</v>
      </c>
    </row>
    <row r="19" spans="1:13">
      <c r="A19" s="10">
        <v>1847</v>
      </c>
      <c r="B19" s="13">
        <v>2.2800000000000001E-2</v>
      </c>
      <c r="C19" s="13">
        <v>7.4999999999999997E-3</v>
      </c>
      <c r="D19" s="13">
        <v>0.154918857142857</v>
      </c>
      <c r="E19" s="10" t="s">
        <v>12</v>
      </c>
      <c r="F19" s="14">
        <f t="shared" si="0"/>
        <v>5.4946754285714281</v>
      </c>
      <c r="G19" s="7">
        <f t="shared" si="3"/>
        <v>0.48133333333333317</v>
      </c>
      <c r="H19" s="7">
        <v>1</v>
      </c>
      <c r="I19" s="14">
        <f t="shared" si="1"/>
        <v>13.634121296761903</v>
      </c>
      <c r="J19" s="11">
        <f t="shared" si="2"/>
        <v>4976.4542733180942</v>
      </c>
      <c r="K19" s="12"/>
      <c r="L19" s="10">
        <v>1847</v>
      </c>
      <c r="M19" s="11">
        <f t="shared" si="4"/>
        <v>199060.10942582419</v>
      </c>
    </row>
    <row r="20" spans="1:13">
      <c r="A20" s="10">
        <v>1848</v>
      </c>
      <c r="B20" s="13">
        <v>2.3599999999999999E-2</v>
      </c>
      <c r="C20" s="13">
        <v>7.7000000000000002E-3</v>
      </c>
      <c r="D20" s="13">
        <v>0.16033428571428601</v>
      </c>
      <c r="E20" s="10" t="s">
        <v>12</v>
      </c>
      <c r="F20" s="14">
        <f t="shared" si="0"/>
        <v>5.5263371428571437</v>
      </c>
      <c r="G20" s="7">
        <f t="shared" si="3"/>
        <v>0.49199999999999983</v>
      </c>
      <c r="H20" s="7">
        <v>1</v>
      </c>
      <c r="I20" s="14">
        <f t="shared" si="1"/>
        <v>13.771632160000003</v>
      </c>
      <c r="J20" s="11">
        <f t="shared" si="2"/>
        <v>5026.6457384000014</v>
      </c>
      <c r="K20" s="12">
        <v>10800</v>
      </c>
      <c r="L20" s="10">
        <v>1848</v>
      </c>
      <c r="M20" s="11">
        <f t="shared" si="4"/>
        <v>203604.46290529965</v>
      </c>
    </row>
    <row r="21" spans="1:13">
      <c r="A21" s="10">
        <v>1849</v>
      </c>
      <c r="B21" s="13">
        <v>2.4400000000000002E-2</v>
      </c>
      <c r="C21" s="13">
        <v>7.9000000000000008E-3</v>
      </c>
      <c r="D21" s="13">
        <v>0.16595028571428599</v>
      </c>
      <c r="E21" s="10" t="s">
        <v>12</v>
      </c>
      <c r="F21" s="14">
        <f t="shared" si="0"/>
        <v>5.5588011428571438</v>
      </c>
      <c r="G21" s="7">
        <f t="shared" si="3"/>
        <v>0.50266666666666648</v>
      </c>
      <c r="H21" s="7">
        <v>1</v>
      </c>
      <c r="I21" s="14">
        <f t="shared" si="1"/>
        <v>13.911826326857144</v>
      </c>
      <c r="J21" s="11">
        <f t="shared" si="2"/>
        <v>5077.8166093028576</v>
      </c>
      <c r="K21" s="12"/>
      <c r="L21" s="10">
        <v>1849</v>
      </c>
      <c r="M21" s="11">
        <f t="shared" si="4"/>
        <v>197335.4864182208</v>
      </c>
    </row>
    <row r="22" spans="1:13">
      <c r="A22" s="10">
        <v>1850</v>
      </c>
      <c r="B22" s="13">
        <v>2.52E-2</v>
      </c>
      <c r="C22" s="13">
        <v>8.0999999999999996E-3</v>
      </c>
      <c r="D22" s="13">
        <v>0.171766857142857</v>
      </c>
      <c r="E22" s="10" t="s">
        <v>12</v>
      </c>
      <c r="F22" s="14">
        <f t="shared" si="0"/>
        <v>5.5920674285714274</v>
      </c>
      <c r="G22" s="7">
        <f t="shared" si="3"/>
        <v>0.5133333333333332</v>
      </c>
      <c r="H22" s="7">
        <v>1</v>
      </c>
      <c r="I22" s="14">
        <f t="shared" si="1"/>
        <v>14.054729470476186</v>
      </c>
      <c r="J22" s="11">
        <f t="shared" si="2"/>
        <v>5129.9762567238076</v>
      </c>
      <c r="K22" s="12">
        <v>259200</v>
      </c>
      <c r="L22" s="10">
        <v>1850</v>
      </c>
      <c r="M22" s="11">
        <f t="shared" si="4"/>
        <v>448697.077100528</v>
      </c>
    </row>
    <row r="23" spans="1:13">
      <c r="A23" s="10">
        <v>1851</v>
      </c>
      <c r="B23" s="13">
        <v>2.5999999999999999E-2</v>
      </c>
      <c r="C23" s="13">
        <v>8.3000000000000001E-3</v>
      </c>
      <c r="D23" s="13">
        <v>0.177784</v>
      </c>
      <c r="E23" s="10" t="s">
        <v>12</v>
      </c>
      <c r="F23" s="14">
        <f t="shared" si="0"/>
        <v>5.6261359999999998</v>
      </c>
      <c r="G23" s="7">
        <f t="shared" si="3"/>
        <v>0.52399999999999991</v>
      </c>
      <c r="H23" s="7">
        <v>1</v>
      </c>
      <c r="I23" s="14">
        <f t="shared" si="1"/>
        <v>14.200367264</v>
      </c>
      <c r="J23" s="11">
        <f t="shared" si="2"/>
        <v>5183.1340513599998</v>
      </c>
      <c r="K23" s="12"/>
      <c r="L23" s="10">
        <v>1851</v>
      </c>
      <c r="M23" s="11">
        <f t="shared" si="4"/>
        <v>440852.859390873</v>
      </c>
    </row>
    <row r="24" spans="1:13">
      <c r="A24" s="10">
        <v>1852</v>
      </c>
      <c r="B24" s="13">
        <v>2.6800000000000001E-2</v>
      </c>
      <c r="C24" s="13">
        <v>8.5000000000000006E-3</v>
      </c>
      <c r="D24" s="13">
        <v>0.18453314285714301</v>
      </c>
      <c r="E24" s="10" t="s">
        <v>12</v>
      </c>
      <c r="F24" s="14">
        <f t="shared" si="0"/>
        <v>5.6631325714285721</v>
      </c>
      <c r="G24" s="7">
        <f t="shared" si="3"/>
        <v>0.53466666666666662</v>
      </c>
      <c r="H24" s="7">
        <v>1</v>
      </c>
      <c r="I24" s="14">
        <f t="shared" si="1"/>
        <v>14.354153357714285</v>
      </c>
      <c r="J24" s="11">
        <f t="shared" si="2"/>
        <v>5239.2659755657141</v>
      </c>
      <c r="K24" s="12"/>
      <c r="L24" s="10">
        <v>1852</v>
      </c>
      <c r="M24" s="11">
        <f t="shared" si="4"/>
        <v>432999.91185481544</v>
      </c>
    </row>
    <row r="25" spans="1:13">
      <c r="A25" s="10">
        <v>1853</v>
      </c>
      <c r="B25" s="13">
        <v>2.76E-2</v>
      </c>
      <c r="C25" s="13">
        <v>8.6999999999999994E-3</v>
      </c>
      <c r="D25" s="13">
        <v>0.1915</v>
      </c>
      <c r="E25" s="10" t="s">
        <v>12</v>
      </c>
      <c r="F25" s="14">
        <f t="shared" si="0"/>
        <v>5.7010000000000005</v>
      </c>
      <c r="G25" s="7">
        <f t="shared" si="3"/>
        <v>0.54533333333333334</v>
      </c>
      <c r="H25" s="7">
        <v>1</v>
      </c>
      <c r="I25" s="14">
        <f t="shared" si="1"/>
        <v>14.510945333333334</v>
      </c>
      <c r="J25" s="11">
        <f t="shared" si="2"/>
        <v>5296.4950466666669</v>
      </c>
      <c r="K25" s="12"/>
      <c r="L25" s="10">
        <v>1853</v>
      </c>
      <c r="M25" s="11">
        <f t="shared" si="4"/>
        <v>425137.19630729989</v>
      </c>
    </row>
    <row r="26" spans="1:13">
      <c r="A26" s="10">
        <v>1854</v>
      </c>
      <c r="B26" s="13">
        <v>2.8400000000000002E-2</v>
      </c>
      <c r="C26" s="13">
        <v>8.8999999999999999E-3</v>
      </c>
      <c r="D26" s="13">
        <v>0.19925028571428599</v>
      </c>
      <c r="E26" s="10" t="s">
        <v>12</v>
      </c>
      <c r="F26" s="14">
        <f t="shared" si="0"/>
        <v>5.742001142857144</v>
      </c>
      <c r="G26" s="7">
        <f t="shared" si="3"/>
        <v>0.55600000000000005</v>
      </c>
      <c r="H26" s="7">
        <v>1</v>
      </c>
      <c r="I26" s="14">
        <f t="shared" si="1"/>
        <v>14.676554921142861</v>
      </c>
      <c r="J26" s="11">
        <f t="shared" si="2"/>
        <v>5356.9425462171439</v>
      </c>
      <c r="K26" s="12"/>
      <c r="L26" s="10">
        <v>1854</v>
      </c>
      <c r="M26" s="11">
        <f t="shared" si="4"/>
        <v>417261.5722385163</v>
      </c>
    </row>
    <row r="27" spans="1:13">
      <c r="A27" s="10">
        <v>1855</v>
      </c>
      <c r="B27" s="13">
        <v>2.92E-2</v>
      </c>
      <c r="C27" s="13">
        <v>9.1000000000000004E-3</v>
      </c>
      <c r="D27" s="13">
        <v>0.20723542857142899</v>
      </c>
      <c r="E27" s="10" t="s">
        <v>12</v>
      </c>
      <c r="F27" s="14">
        <f t="shared" si="0"/>
        <v>5.7839417142857164</v>
      </c>
      <c r="G27" s="7">
        <f t="shared" si="3"/>
        <v>0.56666666666666676</v>
      </c>
      <c r="H27" s="7">
        <v>1</v>
      </c>
      <c r="I27" s="14">
        <f t="shared" si="1"/>
        <v>14.845450400000006</v>
      </c>
      <c r="J27" s="11">
        <f t="shared" si="2"/>
        <v>5418.5893960000021</v>
      </c>
      <c r="K27" s="12">
        <v>21600</v>
      </c>
      <c r="L27" s="10">
        <v>1855</v>
      </c>
      <c r="M27" s="11">
        <f t="shared" si="4"/>
        <v>430842.32494546118</v>
      </c>
    </row>
    <row r="28" spans="1:13">
      <c r="A28" s="10">
        <v>1856</v>
      </c>
      <c r="B28" s="13">
        <v>0.03</v>
      </c>
      <c r="C28" s="13">
        <v>9.2999999999999992E-3</v>
      </c>
      <c r="D28" s="13">
        <v>0.21575542857142899</v>
      </c>
      <c r="E28" s="10" t="s">
        <v>12</v>
      </c>
      <c r="F28" s="14">
        <f t="shared" si="0"/>
        <v>5.8280217142857156</v>
      </c>
      <c r="G28" s="7">
        <f t="shared" si="3"/>
        <v>0.57733333333333348</v>
      </c>
      <c r="H28" s="7">
        <v>1</v>
      </c>
      <c r="I28" s="14">
        <f t="shared" si="1"/>
        <v>15.020754631619052</v>
      </c>
      <c r="J28" s="11">
        <f t="shared" si="2"/>
        <v>5482.5754405409543</v>
      </c>
      <c r="K28" s="12"/>
      <c r="L28" s="10">
        <v>1856</v>
      </c>
      <c r="M28" s="11">
        <f t="shared" si="4"/>
        <v>422807.5910078907</v>
      </c>
    </row>
    <row r="29" spans="1:13">
      <c r="A29" s="10">
        <v>1857</v>
      </c>
      <c r="B29" s="13">
        <v>3.0800000000000001E-2</v>
      </c>
      <c r="C29" s="13">
        <v>9.4999999999999998E-3</v>
      </c>
      <c r="D29" s="13">
        <v>0.226370285714286</v>
      </c>
      <c r="E29" s="10" t="s">
        <v>12</v>
      </c>
      <c r="F29" s="14">
        <f t="shared" si="0"/>
        <v>5.8804811428571444</v>
      </c>
      <c r="G29" s="7">
        <f t="shared" si="3"/>
        <v>0.58800000000000019</v>
      </c>
      <c r="H29" s="7">
        <v>1</v>
      </c>
      <c r="I29" s="14">
        <f t="shared" si="1"/>
        <v>15.21868519771429</v>
      </c>
      <c r="J29" s="11">
        <f t="shared" si="2"/>
        <v>5554.8200971657161</v>
      </c>
      <c r="K29" s="12"/>
      <c r="L29" s="10">
        <v>1857</v>
      </c>
      <c r="M29" s="11">
        <f t="shared" si="4"/>
        <v>414749.25428526063</v>
      </c>
    </row>
    <row r="30" spans="1:13">
      <c r="A30" s="10">
        <v>1858</v>
      </c>
      <c r="B30" s="13">
        <v>3.1600000000000003E-2</v>
      </c>
      <c r="C30" s="13">
        <v>9.7000000000000003E-3</v>
      </c>
      <c r="D30" s="13">
        <v>0.23727999999999999</v>
      </c>
      <c r="E30" s="10" t="s">
        <v>12</v>
      </c>
      <c r="F30" s="14">
        <f t="shared" si="0"/>
        <v>5.9341200000000001</v>
      </c>
      <c r="G30" s="7">
        <f t="shared" si="3"/>
        <v>0.5986666666666669</v>
      </c>
      <c r="H30" s="7">
        <v>1</v>
      </c>
      <c r="I30" s="14">
        <f t="shared" si="1"/>
        <v>15.420799840000001</v>
      </c>
      <c r="J30" s="11">
        <f t="shared" si="2"/>
        <v>5628.5919416000006</v>
      </c>
      <c r="K30" s="12"/>
      <c r="L30" s="10">
        <v>1858</v>
      </c>
      <c r="M30" s="11">
        <f t="shared" si="4"/>
        <v>406665.93836959865</v>
      </c>
    </row>
    <row r="31" spans="1:13">
      <c r="A31" s="10">
        <v>1859</v>
      </c>
      <c r="B31" s="13">
        <v>3.2399999999999998E-2</v>
      </c>
      <c r="C31" s="13">
        <v>9.9000000000000008E-3</v>
      </c>
      <c r="D31" s="13">
        <v>0.248484571428571</v>
      </c>
      <c r="E31" s="10" t="s">
        <v>12</v>
      </c>
      <c r="F31" s="14">
        <f t="shared" si="0"/>
        <v>5.9889382857142843</v>
      </c>
      <c r="G31" s="7">
        <f t="shared" si="3"/>
        <v>0.60933333333333362</v>
      </c>
      <c r="H31" s="7">
        <v>1</v>
      </c>
      <c r="I31" s="14">
        <f t="shared" si="1"/>
        <v>15.627136300190475</v>
      </c>
      <c r="J31" s="11">
        <f t="shared" si="2"/>
        <v>5703.9047495695231</v>
      </c>
      <c r="K31" s="12"/>
      <c r="L31" s="10">
        <v>1859</v>
      </c>
      <c r="M31" s="11">
        <f t="shared" si="4"/>
        <v>398556.26141830895</v>
      </c>
    </row>
    <row r="32" spans="1:13">
      <c r="A32" s="10">
        <v>1860</v>
      </c>
      <c r="B32" s="13">
        <v>3.32E-2</v>
      </c>
      <c r="C32" s="13">
        <v>1.01E-2</v>
      </c>
      <c r="D32" s="13">
        <v>0.25998399999999999</v>
      </c>
      <c r="E32" s="10" t="s">
        <v>12</v>
      </c>
      <c r="F32" s="14">
        <f t="shared" si="0"/>
        <v>6.0449359999999999</v>
      </c>
      <c r="G32" s="7">
        <f t="shared" si="3"/>
        <v>0.62000000000000033</v>
      </c>
      <c r="H32" s="7">
        <v>1</v>
      </c>
      <c r="I32" s="14">
        <f t="shared" si="1"/>
        <v>15.837732320000001</v>
      </c>
      <c r="J32" s="11">
        <f t="shared" si="2"/>
        <v>5780.7722967999998</v>
      </c>
      <c r="K32" s="12">
        <v>10800</v>
      </c>
      <c r="L32" s="10">
        <v>1860</v>
      </c>
      <c r="M32" s="11">
        <f t="shared" si="4"/>
        <v>401154.03618677991</v>
      </c>
    </row>
    <row r="33" spans="1:13">
      <c r="A33" s="10">
        <v>1861</v>
      </c>
      <c r="B33" s="13">
        <v>3.4000000000000002E-2</v>
      </c>
      <c r="C33" s="13">
        <v>1.03E-2</v>
      </c>
      <c r="D33" s="13">
        <v>0.27177828571428603</v>
      </c>
      <c r="E33" s="10" t="s">
        <v>12</v>
      </c>
      <c r="F33" s="14">
        <f t="shared" si="0"/>
        <v>6.102113142857144</v>
      </c>
      <c r="G33" s="7">
        <f t="shared" si="3"/>
        <v>0.63066666666666704</v>
      </c>
      <c r="H33" s="7">
        <v>1.5</v>
      </c>
      <c r="I33" s="14">
        <f t="shared" si="1"/>
        <v>19.103682212571435</v>
      </c>
      <c r="J33" s="11">
        <f t="shared" si="2"/>
        <v>6972.8440075885737</v>
      </c>
      <c r="K33" s="12"/>
      <c r="L33" s="10">
        <v>1861</v>
      </c>
      <c r="M33" s="11">
        <f t="shared" si="4"/>
        <v>391816.10502611619</v>
      </c>
    </row>
    <row r="34" spans="1:13">
      <c r="A34" s="10">
        <v>1862</v>
      </c>
      <c r="B34" s="13">
        <v>3.4799999999999998E-2</v>
      </c>
      <c r="C34" s="13">
        <v>1.0500000000000001E-2</v>
      </c>
      <c r="D34" s="13">
        <v>0.28386742857142899</v>
      </c>
      <c r="E34" s="10" t="s">
        <v>12</v>
      </c>
      <c r="F34" s="14">
        <f t="shared" ref="F34:F65" si="5">(MIN(B34,0.02)*150)+(MIN(C34,0.04)*50)+(MIN(D34,1)*4)+(IF(E34="Great Power",1.5,IF(E34="Secondary Power",1.25,IF(E34="Westernized Nation",1,0))))</f>
        <v>6.1604697142857159</v>
      </c>
      <c r="G34" s="7">
        <f t="shared" si="3"/>
        <v>0.64133333333333375</v>
      </c>
      <c r="H34" s="7">
        <v>1.5</v>
      </c>
      <c r="I34" s="14">
        <f t="shared" ref="I34:I65" si="6">F34*(1+H34+G34)</f>
        <v>19.352088862476197</v>
      </c>
      <c r="J34" s="11">
        <f t="shared" ref="J34:J65" si="7">I34*365</f>
        <v>7063.5124348038116</v>
      </c>
      <c r="K34" s="12"/>
      <c r="L34" s="10">
        <v>1862</v>
      </c>
      <c r="M34" s="11">
        <f t="shared" si="4"/>
        <v>382444.07703576447</v>
      </c>
    </row>
    <row r="35" spans="1:13">
      <c r="A35" s="10">
        <v>1863</v>
      </c>
      <c r="B35" s="13">
        <v>3.56E-2</v>
      </c>
      <c r="C35" s="13">
        <v>1.0699999999999999E-2</v>
      </c>
      <c r="D35" s="13">
        <v>0.296251428571429</v>
      </c>
      <c r="E35" s="10" t="s">
        <v>12</v>
      </c>
      <c r="F35" s="14">
        <f t="shared" si="5"/>
        <v>6.2200057142857164</v>
      </c>
      <c r="G35" s="7">
        <f t="shared" ref="G35:G66" si="8">MIN(G34+(4*2/90/100*12),1)</f>
        <v>0.65200000000000047</v>
      </c>
      <c r="H35" s="7">
        <v>1.5</v>
      </c>
      <c r="I35" s="14">
        <f t="shared" si="6"/>
        <v>19.605458011428581</v>
      </c>
      <c r="J35" s="11">
        <f t="shared" si="7"/>
        <v>7155.9921741714325</v>
      </c>
      <c r="K35" s="12"/>
      <c r="L35" s="10">
        <v>1863</v>
      </c>
      <c r="M35" s="11">
        <f t="shared" ref="M35:M66" si="9">MAX((M34+K35-J35)*0.994,0)</f>
        <v>373036.35635242349</v>
      </c>
    </row>
    <row r="36" spans="1:13">
      <c r="A36" s="10">
        <v>1864</v>
      </c>
      <c r="B36" s="13">
        <v>3.6400000000000002E-2</v>
      </c>
      <c r="C36" s="13">
        <v>1.09E-2</v>
      </c>
      <c r="D36" s="13">
        <v>0.30966742857142898</v>
      </c>
      <c r="E36" s="10" t="s">
        <v>12</v>
      </c>
      <c r="F36" s="14">
        <f t="shared" si="5"/>
        <v>6.2836697142857156</v>
      </c>
      <c r="G36" s="7">
        <f t="shared" si="8"/>
        <v>0.66266666666666718</v>
      </c>
      <c r="H36" s="7">
        <v>1.5</v>
      </c>
      <c r="I36" s="14">
        <f t="shared" si="6"/>
        <v>19.873152749714293</v>
      </c>
      <c r="J36" s="11">
        <f t="shared" si="7"/>
        <v>7253.7007536457168</v>
      </c>
      <c r="K36" s="12"/>
      <c r="L36" s="10">
        <v>1864</v>
      </c>
      <c r="M36" s="11">
        <f t="shared" si="9"/>
        <v>363587.95966518507</v>
      </c>
    </row>
    <row r="37" spans="1:13">
      <c r="A37" s="10">
        <v>1865</v>
      </c>
      <c r="B37" s="13">
        <v>3.7199999999999997E-2</v>
      </c>
      <c r="C37" s="13">
        <v>1.11E-2</v>
      </c>
      <c r="D37" s="13">
        <v>0.323395428571429</v>
      </c>
      <c r="E37" s="10" t="s">
        <v>12</v>
      </c>
      <c r="F37" s="14">
        <f t="shared" si="5"/>
        <v>6.3485817142857162</v>
      </c>
      <c r="G37" s="7">
        <f t="shared" si="8"/>
        <v>0.67333333333333389</v>
      </c>
      <c r="H37" s="7">
        <v>1.5</v>
      </c>
      <c r="I37" s="14">
        <f t="shared" si="6"/>
        <v>20.146165973333343</v>
      </c>
      <c r="J37" s="11">
        <f t="shared" si="7"/>
        <v>7353.3505802666705</v>
      </c>
      <c r="K37" s="12"/>
      <c r="L37" s="10">
        <v>1865</v>
      </c>
      <c r="M37" s="11">
        <f t="shared" si="9"/>
        <v>354097.20143040887</v>
      </c>
    </row>
    <row r="38" spans="1:13">
      <c r="A38" s="10">
        <v>1866</v>
      </c>
      <c r="B38" s="13">
        <v>3.7999999999999999E-2</v>
      </c>
      <c r="C38" s="13">
        <v>1.1299999999999999E-2</v>
      </c>
      <c r="D38" s="13">
        <v>0.337435428571429</v>
      </c>
      <c r="E38" s="10" t="s">
        <v>12</v>
      </c>
      <c r="F38" s="14">
        <f t="shared" si="5"/>
        <v>6.4147417142857162</v>
      </c>
      <c r="G38" s="7">
        <f t="shared" si="8"/>
        <v>0.68400000000000061</v>
      </c>
      <c r="H38" s="7">
        <v>1.5</v>
      </c>
      <c r="I38" s="14">
        <f t="shared" si="6"/>
        <v>20.424537618285726</v>
      </c>
      <c r="J38" s="11">
        <f t="shared" si="7"/>
        <v>7454.9562306742901</v>
      </c>
      <c r="K38" s="12"/>
      <c r="L38" s="10">
        <v>1866</v>
      </c>
      <c r="M38" s="11">
        <f t="shared" si="9"/>
        <v>344562.39172853617</v>
      </c>
    </row>
    <row r="39" spans="1:13">
      <c r="A39" s="10">
        <v>1867</v>
      </c>
      <c r="B39" s="13">
        <v>3.8800000000000001E-2</v>
      </c>
      <c r="C39" s="13">
        <v>1.15E-2</v>
      </c>
      <c r="D39" s="13">
        <v>0.35178742857142897</v>
      </c>
      <c r="E39" s="10" t="s">
        <v>12</v>
      </c>
      <c r="F39" s="14">
        <f t="shared" si="5"/>
        <v>6.4821497142857165</v>
      </c>
      <c r="G39" s="7">
        <f t="shared" si="8"/>
        <v>0.69466666666666732</v>
      </c>
      <c r="H39" s="7">
        <v>1.5</v>
      </c>
      <c r="I39" s="14">
        <f t="shared" si="6"/>
        <v>20.708307620571439</v>
      </c>
      <c r="J39" s="11">
        <f t="shared" si="7"/>
        <v>7558.5322815085756</v>
      </c>
      <c r="K39" s="12"/>
      <c r="L39" s="10">
        <v>1867</v>
      </c>
      <c r="M39" s="11">
        <f t="shared" si="9"/>
        <v>334981.83629034547</v>
      </c>
    </row>
    <row r="40" spans="1:13">
      <c r="A40" s="10">
        <v>1868</v>
      </c>
      <c r="B40" s="13">
        <v>3.9600000000000003E-2</v>
      </c>
      <c r="C40" s="13">
        <v>1.17E-2</v>
      </c>
      <c r="D40" s="13">
        <v>0.36645142857142898</v>
      </c>
      <c r="E40" s="10" t="s">
        <v>12</v>
      </c>
      <c r="F40" s="14">
        <f t="shared" si="5"/>
        <v>6.5508057142857155</v>
      </c>
      <c r="G40" s="7">
        <f t="shared" si="8"/>
        <v>0.70533333333333403</v>
      </c>
      <c r="H40" s="7">
        <v>1.5</v>
      </c>
      <c r="I40" s="14">
        <f t="shared" si="6"/>
        <v>20.997515916190483</v>
      </c>
      <c r="J40" s="11">
        <f t="shared" si="7"/>
        <v>7664.0933094095262</v>
      </c>
      <c r="K40" s="12"/>
      <c r="L40" s="10">
        <v>1868</v>
      </c>
      <c r="M40" s="11">
        <f t="shared" si="9"/>
        <v>325353.83652305033</v>
      </c>
    </row>
    <row r="41" spans="1:13">
      <c r="A41" s="10">
        <v>1869</v>
      </c>
      <c r="B41" s="13">
        <v>4.0399999999999998E-2</v>
      </c>
      <c r="C41" s="13">
        <v>1.1900000000000001E-2</v>
      </c>
      <c r="D41" s="13">
        <v>0.38142742857142897</v>
      </c>
      <c r="E41" s="10" t="s">
        <v>12</v>
      </c>
      <c r="F41" s="14">
        <f t="shared" si="5"/>
        <v>6.6207097142857165</v>
      </c>
      <c r="G41" s="7">
        <f t="shared" si="8"/>
        <v>0.71600000000000075</v>
      </c>
      <c r="H41" s="7">
        <v>1.5</v>
      </c>
      <c r="I41" s="14">
        <f t="shared" si="6"/>
        <v>21.292202441142869</v>
      </c>
      <c r="J41" s="11">
        <f t="shared" si="7"/>
        <v>7771.6538910171475</v>
      </c>
      <c r="K41" s="12"/>
      <c r="L41" s="10">
        <v>1869</v>
      </c>
      <c r="M41" s="11">
        <f t="shared" si="9"/>
        <v>315676.689536241</v>
      </c>
    </row>
    <row r="42" spans="1:13">
      <c r="A42" s="10">
        <v>1870</v>
      </c>
      <c r="B42" s="13">
        <v>4.0999999999999898E-2</v>
      </c>
      <c r="C42" s="13">
        <v>1.21E-2</v>
      </c>
      <c r="D42" s="13">
        <v>0.396715428571429</v>
      </c>
      <c r="E42" s="10" t="s">
        <v>12</v>
      </c>
      <c r="F42" s="14">
        <f t="shared" si="5"/>
        <v>6.6918617142857162</v>
      </c>
      <c r="G42" s="7">
        <f t="shared" si="8"/>
        <v>0.72666666666666746</v>
      </c>
      <c r="H42" s="7">
        <v>1.5</v>
      </c>
      <c r="I42" s="14">
        <f t="shared" si="6"/>
        <v>21.592407131428583</v>
      </c>
      <c r="J42" s="11">
        <f t="shared" si="7"/>
        <v>7881.2286029714332</v>
      </c>
      <c r="K42" s="12">
        <v>331200</v>
      </c>
      <c r="L42" s="10">
        <v>1870</v>
      </c>
      <c r="M42" s="11">
        <f t="shared" si="9"/>
        <v>635161.48816766997</v>
      </c>
    </row>
    <row r="43" spans="1:13">
      <c r="A43" s="10">
        <v>1871</v>
      </c>
      <c r="B43" s="13">
        <v>4.0999999999999898E-2</v>
      </c>
      <c r="C43" s="13">
        <v>1.23E-2</v>
      </c>
      <c r="D43" s="13">
        <v>0.412744</v>
      </c>
      <c r="E43" s="10" t="s">
        <v>12</v>
      </c>
      <c r="F43" s="14">
        <f t="shared" si="5"/>
        <v>6.7659760000000002</v>
      </c>
      <c r="G43" s="7">
        <f t="shared" si="8"/>
        <v>0.73733333333333417</v>
      </c>
      <c r="H43" s="7">
        <v>2.5</v>
      </c>
      <c r="I43" s="14">
        <f t="shared" si="6"/>
        <v>28.669695637333337</v>
      </c>
      <c r="J43" s="11">
        <f t="shared" si="7"/>
        <v>10464.438907626669</v>
      </c>
      <c r="K43" s="12"/>
      <c r="L43" s="10">
        <v>1871</v>
      </c>
      <c r="M43" s="11">
        <f t="shared" si="9"/>
        <v>620948.86696448305</v>
      </c>
    </row>
    <row r="44" spans="1:13">
      <c r="A44" s="10">
        <v>1872</v>
      </c>
      <c r="B44" s="13">
        <v>4.0999999999999898E-2</v>
      </c>
      <c r="C44" s="13">
        <v>1.2500000000000001E-2</v>
      </c>
      <c r="D44" s="13">
        <v>0.42909314285714301</v>
      </c>
      <c r="E44" s="10" t="s">
        <v>12</v>
      </c>
      <c r="F44" s="14">
        <f t="shared" si="5"/>
        <v>6.8413725714285718</v>
      </c>
      <c r="G44" s="7">
        <f t="shared" si="8"/>
        <v>0.74800000000000089</v>
      </c>
      <c r="H44" s="7">
        <v>2.5</v>
      </c>
      <c r="I44" s="14">
        <f t="shared" si="6"/>
        <v>29.06215068342858</v>
      </c>
      <c r="J44" s="11">
        <f t="shared" si="7"/>
        <v>10607.684999451432</v>
      </c>
      <c r="K44" s="12">
        <v>14400</v>
      </c>
      <c r="L44" s="10">
        <v>1872</v>
      </c>
      <c r="M44" s="11">
        <f t="shared" si="9"/>
        <v>620992.73487324151</v>
      </c>
    </row>
    <row r="45" spans="1:13">
      <c r="A45" s="10">
        <v>1873</v>
      </c>
      <c r="B45" s="13">
        <v>4.0999999999999898E-2</v>
      </c>
      <c r="C45" s="13">
        <v>1.2699999999999999E-2</v>
      </c>
      <c r="D45" s="13">
        <v>0.44576285714285702</v>
      </c>
      <c r="E45" s="10" t="s">
        <v>12</v>
      </c>
      <c r="F45" s="14">
        <f t="shared" si="5"/>
        <v>6.9180514285714274</v>
      </c>
      <c r="G45" s="7">
        <f t="shared" si="8"/>
        <v>0.7586666666666676</v>
      </c>
      <c r="H45" s="7">
        <v>2.5</v>
      </c>
      <c r="I45" s="14">
        <f t="shared" si="6"/>
        <v>29.461675017142859</v>
      </c>
      <c r="J45" s="11">
        <f t="shared" si="7"/>
        <v>10753.511381257144</v>
      </c>
      <c r="K45" s="12"/>
      <c r="L45" s="10">
        <v>1873</v>
      </c>
      <c r="M45" s="11">
        <f t="shared" si="9"/>
        <v>606577.78815103252</v>
      </c>
    </row>
    <row r="46" spans="1:13">
      <c r="A46" s="10">
        <v>1874</v>
      </c>
      <c r="B46" s="13">
        <v>4.0999999999999898E-2</v>
      </c>
      <c r="C46" s="13">
        <v>1.29E-2</v>
      </c>
      <c r="D46" s="13">
        <v>0.46275314285714297</v>
      </c>
      <c r="E46" s="10" t="s">
        <v>12</v>
      </c>
      <c r="F46" s="14">
        <f t="shared" si="5"/>
        <v>6.9960125714285724</v>
      </c>
      <c r="G46" s="7">
        <f t="shared" si="8"/>
        <v>0.76933333333333431</v>
      </c>
      <c r="H46" s="7">
        <v>2.5</v>
      </c>
      <c r="I46" s="14">
        <f t="shared" si="6"/>
        <v>29.868309671619055</v>
      </c>
      <c r="J46" s="11">
        <f t="shared" si="7"/>
        <v>10901.933030140955</v>
      </c>
      <c r="K46" s="12"/>
      <c r="L46" s="10">
        <v>1874</v>
      </c>
      <c r="M46" s="11">
        <f t="shared" si="9"/>
        <v>592101.79999016621</v>
      </c>
    </row>
    <row r="47" spans="1:13">
      <c r="A47" s="10">
        <v>1875</v>
      </c>
      <c r="B47" s="13">
        <v>4.0999999999999898E-2</v>
      </c>
      <c r="C47" s="13">
        <v>1.3100000000000001E-2</v>
      </c>
      <c r="D47" s="13">
        <v>0.48006399999999999</v>
      </c>
      <c r="E47" s="10" t="s">
        <v>12</v>
      </c>
      <c r="F47" s="14">
        <f t="shared" si="5"/>
        <v>7.0752560000000004</v>
      </c>
      <c r="G47" s="7">
        <f t="shared" si="8"/>
        <v>0.78000000000000103</v>
      </c>
      <c r="H47" s="7">
        <v>2.5</v>
      </c>
      <c r="I47" s="14">
        <f t="shared" si="6"/>
        <v>30.282095680000008</v>
      </c>
      <c r="J47" s="11">
        <f t="shared" si="7"/>
        <v>11052.964923200003</v>
      </c>
      <c r="K47" s="12">
        <v>14400</v>
      </c>
      <c r="L47" s="10">
        <v>1875</v>
      </c>
      <c r="M47" s="11">
        <f t="shared" si="9"/>
        <v>591876.14205656445</v>
      </c>
    </row>
    <row r="48" spans="1:13">
      <c r="A48" s="10">
        <v>1876</v>
      </c>
      <c r="B48" s="13">
        <v>4.0999999999999898E-2</v>
      </c>
      <c r="C48" s="13">
        <v>1.3299999999999999E-2</v>
      </c>
      <c r="D48" s="13">
        <v>0.49769542857142901</v>
      </c>
      <c r="E48" s="10" t="s">
        <v>12</v>
      </c>
      <c r="F48" s="14">
        <f t="shared" si="5"/>
        <v>7.1557817142857161</v>
      </c>
      <c r="G48" s="7">
        <f t="shared" si="8"/>
        <v>0.79066666666666774</v>
      </c>
      <c r="H48" s="7">
        <v>2.5</v>
      </c>
      <c r="I48" s="14">
        <f t="shared" si="6"/>
        <v>30.703074075428585</v>
      </c>
      <c r="J48" s="11">
        <f t="shared" si="7"/>
        <v>11206.622037531433</v>
      </c>
      <c r="K48" s="12"/>
      <c r="L48" s="10">
        <v>1876</v>
      </c>
      <c r="M48" s="11">
        <f t="shared" si="9"/>
        <v>577185.50289891881</v>
      </c>
    </row>
    <row r="49" spans="1:13">
      <c r="A49" s="10">
        <v>1877</v>
      </c>
      <c r="B49" s="13">
        <v>4.0999999999999898E-2</v>
      </c>
      <c r="C49" s="13">
        <v>1.35E-2</v>
      </c>
      <c r="D49" s="13">
        <v>0.51564742857142898</v>
      </c>
      <c r="E49" s="10" t="s">
        <v>12</v>
      </c>
      <c r="F49" s="14">
        <f t="shared" si="5"/>
        <v>7.2375897142857157</v>
      </c>
      <c r="G49" s="7">
        <f t="shared" si="8"/>
        <v>0.80133333333333445</v>
      </c>
      <c r="H49" s="7">
        <v>2.5</v>
      </c>
      <c r="I49" s="14">
        <f t="shared" si="6"/>
        <v>31.131285891047636</v>
      </c>
      <c r="J49" s="11">
        <f t="shared" si="7"/>
        <v>11362.919350232387</v>
      </c>
      <c r="K49" s="12"/>
      <c r="L49" s="10">
        <v>1877</v>
      </c>
      <c r="M49" s="11">
        <f t="shared" si="9"/>
        <v>562427.64804739435</v>
      </c>
    </row>
    <row r="50" spans="1:13">
      <c r="A50" s="10">
        <v>1878</v>
      </c>
      <c r="B50" s="13">
        <v>4.09999999999998E-2</v>
      </c>
      <c r="C50" s="13">
        <v>1.37E-2</v>
      </c>
      <c r="D50" s="13">
        <v>0.53391999999999995</v>
      </c>
      <c r="E50" s="10" t="s">
        <v>12</v>
      </c>
      <c r="F50" s="14">
        <f t="shared" si="5"/>
        <v>7.3206799999999994</v>
      </c>
      <c r="G50" s="7">
        <f t="shared" si="8"/>
        <v>0.81200000000000117</v>
      </c>
      <c r="H50" s="7">
        <v>2.5</v>
      </c>
      <c r="I50" s="14">
        <f t="shared" si="6"/>
        <v>31.566772160000006</v>
      </c>
      <c r="J50" s="11">
        <f t="shared" si="7"/>
        <v>11521.871838400002</v>
      </c>
      <c r="K50" s="12"/>
      <c r="L50" s="10">
        <v>1878</v>
      </c>
      <c r="M50" s="11">
        <f t="shared" si="9"/>
        <v>547600.3415517403</v>
      </c>
    </row>
    <row r="51" spans="1:13">
      <c r="A51" s="10">
        <v>1879</v>
      </c>
      <c r="B51" s="13">
        <v>4.09999999999998E-2</v>
      </c>
      <c r="C51" s="13">
        <v>1.3899999999999999E-2</v>
      </c>
      <c r="D51" s="13">
        <v>0.55251314285714304</v>
      </c>
      <c r="E51" s="10" t="s">
        <v>12</v>
      </c>
      <c r="F51" s="14">
        <f t="shared" si="5"/>
        <v>7.4050525714285715</v>
      </c>
      <c r="G51" s="7">
        <f t="shared" si="8"/>
        <v>0.82266666666666788</v>
      </c>
      <c r="H51" s="7">
        <v>2.5</v>
      </c>
      <c r="I51" s="14">
        <f t="shared" si="6"/>
        <v>32.009573915428575</v>
      </c>
      <c r="J51" s="11">
        <f t="shared" si="7"/>
        <v>11683.49447913143</v>
      </c>
      <c r="K51" s="12"/>
      <c r="L51" s="10">
        <v>1879</v>
      </c>
      <c r="M51" s="11">
        <f t="shared" si="9"/>
        <v>532701.34599017329</v>
      </c>
    </row>
    <row r="52" spans="1:13">
      <c r="A52" s="10">
        <v>1880</v>
      </c>
      <c r="B52" s="13">
        <v>4.09999999999998E-2</v>
      </c>
      <c r="C52" s="13">
        <v>1.41E-2</v>
      </c>
      <c r="D52" s="13">
        <v>0.57142685714285701</v>
      </c>
      <c r="E52" s="10" t="s">
        <v>12</v>
      </c>
      <c r="F52" s="14">
        <f t="shared" si="5"/>
        <v>7.4907074285714277</v>
      </c>
      <c r="G52" s="7">
        <f t="shared" si="8"/>
        <v>0.83333333333333459</v>
      </c>
      <c r="H52" s="7">
        <v>2.5</v>
      </c>
      <c r="I52" s="14">
        <f t="shared" si="6"/>
        <v>32.459732190476196</v>
      </c>
      <c r="J52" s="11">
        <f t="shared" si="7"/>
        <v>11847.802249523811</v>
      </c>
      <c r="K52" s="12">
        <v>50400</v>
      </c>
      <c r="L52" s="10">
        <v>1880</v>
      </c>
      <c r="M52" s="11">
        <f t="shared" si="9"/>
        <v>567826.02247820562</v>
      </c>
    </row>
    <row r="53" spans="1:13">
      <c r="A53" s="10">
        <v>1881</v>
      </c>
      <c r="B53" s="13">
        <v>4.09999999999998E-2</v>
      </c>
      <c r="C53" s="13">
        <v>1.43E-2</v>
      </c>
      <c r="D53" s="13">
        <v>0.590661142857143</v>
      </c>
      <c r="E53" s="10" t="s">
        <v>12</v>
      </c>
      <c r="F53" s="14">
        <f t="shared" si="5"/>
        <v>7.5776445714285714</v>
      </c>
      <c r="G53" s="7">
        <f t="shared" si="8"/>
        <v>0.8440000000000013</v>
      </c>
      <c r="H53" s="7">
        <v>3.5</v>
      </c>
      <c r="I53" s="14">
        <f t="shared" si="6"/>
        <v>40.494932589714296</v>
      </c>
      <c r="J53" s="11">
        <f t="shared" si="7"/>
        <v>14780.650395245719</v>
      </c>
      <c r="K53" s="12"/>
      <c r="L53" s="10">
        <v>1881</v>
      </c>
      <c r="M53" s="11">
        <f t="shared" si="9"/>
        <v>549727.09985046205</v>
      </c>
    </row>
    <row r="54" spans="1:13">
      <c r="A54" s="10">
        <v>1882</v>
      </c>
      <c r="B54" s="13">
        <v>4.09999999999998E-2</v>
      </c>
      <c r="C54" s="13">
        <v>1.4500000000000001E-2</v>
      </c>
      <c r="D54" s="13">
        <v>0.61021599999999998</v>
      </c>
      <c r="E54" s="10" t="s">
        <v>12</v>
      </c>
      <c r="F54" s="14">
        <f t="shared" si="5"/>
        <v>7.665864</v>
      </c>
      <c r="G54" s="7">
        <f t="shared" si="8"/>
        <v>0.85466666666666802</v>
      </c>
      <c r="H54" s="7">
        <v>3.5</v>
      </c>
      <c r="I54" s="14">
        <f t="shared" si="6"/>
        <v>41.048146432000017</v>
      </c>
      <c r="J54" s="11">
        <f t="shared" si="7"/>
        <v>14982.573447680006</v>
      </c>
      <c r="K54" s="12"/>
      <c r="L54" s="10">
        <v>1882</v>
      </c>
      <c r="M54" s="11">
        <f t="shared" si="9"/>
        <v>531536.05924436531</v>
      </c>
    </row>
    <row r="55" spans="1:13">
      <c r="A55" s="10">
        <v>1883</v>
      </c>
      <c r="B55" s="13">
        <v>4.09999999999998E-2</v>
      </c>
      <c r="C55" s="13">
        <v>1.47E-2</v>
      </c>
      <c r="D55" s="13">
        <v>0.63009142857142897</v>
      </c>
      <c r="E55" s="10" t="s">
        <v>12</v>
      </c>
      <c r="F55" s="14">
        <f t="shared" si="5"/>
        <v>7.7553657142857162</v>
      </c>
      <c r="G55" s="7">
        <f t="shared" si="8"/>
        <v>0.86533333333333473</v>
      </c>
      <c r="H55" s="7">
        <v>3.5</v>
      </c>
      <c r="I55" s="14">
        <f t="shared" si="6"/>
        <v>41.610122179047643</v>
      </c>
      <c r="J55" s="11">
        <f t="shared" si="7"/>
        <v>15187.69459535239</v>
      </c>
      <c r="K55" s="12"/>
      <c r="L55" s="10">
        <v>1883</v>
      </c>
      <c r="M55" s="11">
        <f t="shared" si="9"/>
        <v>513250.27446111885</v>
      </c>
    </row>
    <row r="56" spans="1:13">
      <c r="A56" s="10">
        <v>1884</v>
      </c>
      <c r="B56" s="13">
        <v>4.09999999999998E-2</v>
      </c>
      <c r="C56" s="13">
        <v>1.49E-2</v>
      </c>
      <c r="D56" s="13">
        <v>0.65190742857142903</v>
      </c>
      <c r="E56" s="10" t="s">
        <v>12</v>
      </c>
      <c r="F56" s="14">
        <f t="shared" si="5"/>
        <v>7.8526297142857162</v>
      </c>
      <c r="G56" s="7">
        <f t="shared" si="8"/>
        <v>0.87600000000000144</v>
      </c>
      <c r="H56" s="7">
        <v>3.5</v>
      </c>
      <c r="I56" s="14">
        <f t="shared" si="6"/>
        <v>42.215737344000019</v>
      </c>
      <c r="J56" s="11">
        <f t="shared" si="7"/>
        <v>15408.744130560006</v>
      </c>
      <c r="K56" s="12"/>
      <c r="L56" s="10">
        <v>1884</v>
      </c>
      <c r="M56" s="11">
        <f t="shared" si="9"/>
        <v>494854.48114857549</v>
      </c>
    </row>
    <row r="57" spans="1:13">
      <c r="A57" s="10">
        <v>1885</v>
      </c>
      <c r="B57" s="13">
        <v>4.09999999999998E-2</v>
      </c>
      <c r="C57" s="13">
        <v>1.5100000000000001E-2</v>
      </c>
      <c r="D57" s="13">
        <v>0.67406971428571405</v>
      </c>
      <c r="E57" s="10" t="s">
        <v>12</v>
      </c>
      <c r="F57" s="14">
        <f t="shared" si="5"/>
        <v>7.9512788571428565</v>
      </c>
      <c r="G57" s="7">
        <f t="shared" si="8"/>
        <v>0.88666666666666816</v>
      </c>
      <c r="H57" s="7">
        <v>3.5</v>
      </c>
      <c r="I57" s="14">
        <f t="shared" si="6"/>
        <v>42.830888777142867</v>
      </c>
      <c r="J57" s="11">
        <f t="shared" si="7"/>
        <v>15633.274403657146</v>
      </c>
      <c r="K57" s="12"/>
      <c r="L57" s="10">
        <v>1885</v>
      </c>
      <c r="M57" s="11">
        <f t="shared" si="9"/>
        <v>476345.87950444885</v>
      </c>
    </row>
    <row r="58" spans="1:13">
      <c r="A58" s="10">
        <v>1886</v>
      </c>
      <c r="B58" s="13">
        <v>4.09999999999998E-2</v>
      </c>
      <c r="C58" s="13">
        <v>1.5299999999999999E-2</v>
      </c>
      <c r="D58" s="13">
        <v>0.69657828571428604</v>
      </c>
      <c r="E58" s="10" t="s">
        <v>12</v>
      </c>
      <c r="F58" s="14">
        <f t="shared" si="5"/>
        <v>8.0513131428571434</v>
      </c>
      <c r="G58" s="7">
        <f t="shared" si="8"/>
        <v>0.89733333333333487</v>
      </c>
      <c r="H58" s="7">
        <v>3.5</v>
      </c>
      <c r="I58" s="14">
        <f t="shared" si="6"/>
        <v>43.455620803047637</v>
      </c>
      <c r="J58" s="11">
        <f t="shared" si="7"/>
        <v>15861.301593112388</v>
      </c>
      <c r="K58" s="12"/>
      <c r="L58" s="10">
        <v>1886</v>
      </c>
      <c r="M58" s="11">
        <f t="shared" si="9"/>
        <v>457721.67044386844</v>
      </c>
    </row>
    <row r="59" spans="1:13">
      <c r="A59" s="10">
        <v>1887</v>
      </c>
      <c r="B59" s="13">
        <v>4.09999999999998E-2</v>
      </c>
      <c r="C59" s="13">
        <v>1.55E-2</v>
      </c>
      <c r="D59" s="13">
        <v>0.71943314285714299</v>
      </c>
      <c r="E59" s="10" t="s">
        <v>12</v>
      </c>
      <c r="F59" s="14">
        <f t="shared" si="5"/>
        <v>8.1527325714285723</v>
      </c>
      <c r="G59" s="7">
        <f t="shared" si="8"/>
        <v>0.90800000000000158</v>
      </c>
      <c r="H59" s="7">
        <v>3.5</v>
      </c>
      <c r="I59" s="14">
        <f t="shared" si="6"/>
        <v>44.089977746285726</v>
      </c>
      <c r="J59" s="11">
        <f t="shared" si="7"/>
        <v>16092.84187739429</v>
      </c>
      <c r="K59" s="12"/>
      <c r="L59" s="10">
        <v>1887</v>
      </c>
      <c r="M59" s="11">
        <f t="shared" si="9"/>
        <v>438979.0555950753</v>
      </c>
    </row>
    <row r="60" spans="1:13">
      <c r="A60" s="10">
        <v>1888</v>
      </c>
      <c r="B60" s="13">
        <v>4.0999999999999703E-2</v>
      </c>
      <c r="C60" s="13">
        <v>1.5699999999999999E-2</v>
      </c>
      <c r="D60" s="13">
        <v>0.74263428571428602</v>
      </c>
      <c r="E60" s="10" t="s">
        <v>12</v>
      </c>
      <c r="F60" s="14">
        <f t="shared" si="5"/>
        <v>8.2555371428571434</v>
      </c>
      <c r="G60" s="7">
        <f t="shared" si="8"/>
        <v>0.9186666666666683</v>
      </c>
      <c r="H60" s="7">
        <v>3.5</v>
      </c>
      <c r="I60" s="14">
        <f t="shared" si="6"/>
        <v>44.734003931428589</v>
      </c>
      <c r="J60" s="11">
        <f t="shared" si="7"/>
        <v>16327.911434971435</v>
      </c>
      <c r="K60" s="12"/>
      <c r="L60" s="10">
        <v>1888</v>
      </c>
      <c r="M60" s="11">
        <f t="shared" si="9"/>
        <v>420115.23729514325</v>
      </c>
    </row>
    <row r="61" spans="1:13">
      <c r="A61" s="10">
        <v>1889</v>
      </c>
      <c r="B61" s="13">
        <v>4.0999999999999703E-2</v>
      </c>
      <c r="C61" s="13">
        <v>1.5900000000000001E-2</v>
      </c>
      <c r="D61" s="13">
        <v>0.76618171428571402</v>
      </c>
      <c r="E61" s="10" t="s">
        <v>12</v>
      </c>
      <c r="F61" s="14">
        <f t="shared" si="5"/>
        <v>8.3597268571428565</v>
      </c>
      <c r="G61" s="7">
        <f t="shared" si="8"/>
        <v>0.92933333333333501</v>
      </c>
      <c r="H61" s="7">
        <v>3.5</v>
      </c>
      <c r="I61" s="14">
        <f t="shared" si="6"/>
        <v>45.387743683047631</v>
      </c>
      <c r="J61" s="11">
        <f t="shared" si="7"/>
        <v>16566.526444312385</v>
      </c>
      <c r="K61" s="12"/>
      <c r="L61" s="10">
        <v>1889</v>
      </c>
      <c r="M61" s="11">
        <f t="shared" si="9"/>
        <v>401127.41858572589</v>
      </c>
    </row>
    <row r="62" spans="1:13">
      <c r="A62" s="10">
        <v>1890</v>
      </c>
      <c r="B62" s="13">
        <v>4.0999999999999703E-2</v>
      </c>
      <c r="C62" s="13">
        <v>1.61E-2</v>
      </c>
      <c r="D62" s="13">
        <v>0.79007542857142798</v>
      </c>
      <c r="E62" s="10" t="s">
        <v>12</v>
      </c>
      <c r="F62" s="14">
        <f t="shared" si="5"/>
        <v>8.4653017142857117</v>
      </c>
      <c r="G62" s="7">
        <f t="shared" si="8"/>
        <v>0.94000000000000172</v>
      </c>
      <c r="H62" s="7">
        <v>3.5</v>
      </c>
      <c r="I62" s="14">
        <f t="shared" si="6"/>
        <v>46.05124132571428</v>
      </c>
      <c r="J62" s="11">
        <f t="shared" si="7"/>
        <v>16808.703083885714</v>
      </c>
      <c r="K62" s="12">
        <v>54000</v>
      </c>
      <c r="L62" s="10">
        <v>1890</v>
      </c>
      <c r="M62" s="11">
        <f t="shared" si="9"/>
        <v>435688.80320882914</v>
      </c>
    </row>
    <row r="63" spans="1:13">
      <c r="A63" s="10">
        <v>1891</v>
      </c>
      <c r="B63" s="13">
        <v>4.0999999999999703E-2</v>
      </c>
      <c r="C63" s="13">
        <v>1.6299999999999999E-2</v>
      </c>
      <c r="D63" s="13">
        <v>0.81431542857142902</v>
      </c>
      <c r="E63" s="10" t="s">
        <v>12</v>
      </c>
      <c r="F63" s="14">
        <f t="shared" si="5"/>
        <v>8.572261714285716</v>
      </c>
      <c r="G63" s="7">
        <f t="shared" si="8"/>
        <v>0.95066666666666844</v>
      </c>
      <c r="H63" s="7">
        <v>3.5</v>
      </c>
      <c r="I63" s="14">
        <f t="shared" si="6"/>
        <v>46.724541184000024</v>
      </c>
      <c r="J63" s="11">
        <f t="shared" si="7"/>
        <v>17054.45753216001</v>
      </c>
      <c r="K63" s="12"/>
      <c r="L63" s="10">
        <v>1891</v>
      </c>
      <c r="M63" s="11">
        <f t="shared" si="9"/>
        <v>416122.53960260912</v>
      </c>
    </row>
    <row r="64" spans="1:13">
      <c r="A64" s="10">
        <v>1892</v>
      </c>
      <c r="B64" s="13">
        <v>4.0999999999999703E-2</v>
      </c>
      <c r="C64" s="13">
        <v>1.6500000000000001E-2</v>
      </c>
      <c r="D64" s="13">
        <v>0.83855542857142895</v>
      </c>
      <c r="E64" s="10" t="s">
        <v>12</v>
      </c>
      <c r="F64" s="14">
        <f t="shared" si="5"/>
        <v>8.6792217142857169</v>
      </c>
      <c r="G64" s="7">
        <f t="shared" si="8"/>
        <v>0.96133333333333515</v>
      </c>
      <c r="H64" s="7">
        <v>3.5</v>
      </c>
      <c r="I64" s="14">
        <f t="shared" si="6"/>
        <v>47.400122855619074</v>
      </c>
      <c r="J64" s="11">
        <f t="shared" si="7"/>
        <v>17301.044842300962</v>
      </c>
      <c r="K64" s="12"/>
      <c r="L64" s="10">
        <v>1892</v>
      </c>
      <c r="M64" s="11">
        <f t="shared" si="9"/>
        <v>396428.56579174631</v>
      </c>
    </row>
    <row r="65" spans="1:13">
      <c r="A65" s="10">
        <v>1893</v>
      </c>
      <c r="B65" s="13">
        <v>4.0999999999999703E-2</v>
      </c>
      <c r="C65" s="13">
        <v>1.67E-2</v>
      </c>
      <c r="D65" s="13">
        <v>0.86279542857142899</v>
      </c>
      <c r="E65" s="10" t="s">
        <v>12</v>
      </c>
      <c r="F65" s="14">
        <f t="shared" si="5"/>
        <v>8.7861817142857159</v>
      </c>
      <c r="G65" s="7">
        <f t="shared" si="8"/>
        <v>0.97200000000000186</v>
      </c>
      <c r="H65" s="7">
        <v>3.5</v>
      </c>
      <c r="I65" s="14">
        <f t="shared" si="6"/>
        <v>48.077986340571456</v>
      </c>
      <c r="J65" s="11">
        <f t="shared" si="7"/>
        <v>17548.465014308582</v>
      </c>
      <c r="K65" s="12"/>
      <c r="L65" s="10">
        <v>1893</v>
      </c>
      <c r="M65" s="11">
        <f t="shared" si="9"/>
        <v>376606.82017277309</v>
      </c>
    </row>
    <row r="66" spans="1:13">
      <c r="A66" s="10">
        <v>1894</v>
      </c>
      <c r="B66" s="13">
        <v>4.0999999999999703E-2</v>
      </c>
      <c r="C66" s="13">
        <v>1.6899999999999998E-2</v>
      </c>
      <c r="D66" s="13">
        <v>0.88703542857142903</v>
      </c>
      <c r="E66" s="10" t="s">
        <v>12</v>
      </c>
      <c r="F66" s="14">
        <f t="shared" ref="F66:F97" si="10">(MIN(B66,0.02)*150)+(MIN(C66,0.04)*50)+(MIN(D66,1)*4)+(IF(E66="Great Power",1.5,IF(E66="Secondary Power",1.25,IF(E66="Westernized Nation",1,0))))</f>
        <v>8.893141714285715</v>
      </c>
      <c r="G66" s="7">
        <f t="shared" si="8"/>
        <v>0.98266666666666858</v>
      </c>
      <c r="H66" s="7">
        <v>3.5</v>
      </c>
      <c r="I66" s="14">
        <f t="shared" ref="I66:I97" si="11">F66*(1+H66+G66)</f>
        <v>48.758131638857165</v>
      </c>
      <c r="J66" s="11">
        <f t="shared" ref="J66:J97" si="12">I66*365</f>
        <v>17796.718048182865</v>
      </c>
      <c r="K66" s="12"/>
      <c r="L66" s="10">
        <v>1894</v>
      </c>
      <c r="M66" s="11">
        <f t="shared" si="9"/>
        <v>356657.2415118427</v>
      </c>
    </row>
    <row r="67" spans="1:13">
      <c r="A67" s="10">
        <v>1895</v>
      </c>
      <c r="B67" s="13">
        <v>4.0999999999999703E-2</v>
      </c>
      <c r="C67" s="13">
        <v>1.7100000000000001E-2</v>
      </c>
      <c r="D67" s="13">
        <v>0.91127542857142896</v>
      </c>
      <c r="E67" s="10" t="s">
        <v>12</v>
      </c>
      <c r="F67" s="14">
        <f t="shared" si="10"/>
        <v>9.0001017142857158</v>
      </c>
      <c r="G67" s="7">
        <f t="shared" ref="G67:G98" si="13">MIN(G66+(4*2/90/100*12),1)</f>
        <v>0.99333333333333529</v>
      </c>
      <c r="H67" s="7">
        <v>3.5</v>
      </c>
      <c r="I67" s="14">
        <f t="shared" si="11"/>
        <v>49.440558750476214</v>
      </c>
      <c r="J67" s="11">
        <f t="shared" si="12"/>
        <v>18045.803943923816</v>
      </c>
      <c r="K67" s="12">
        <v>18000</v>
      </c>
      <c r="L67" s="10">
        <v>1895</v>
      </c>
      <c r="M67" s="11">
        <f t="shared" ref="M67:M98" si="14">MAX((M66+K67-J67)*0.994,0)</f>
        <v>354471.76894251141</v>
      </c>
    </row>
    <row r="68" spans="1:13">
      <c r="A68" s="10">
        <v>1896</v>
      </c>
      <c r="B68" s="13">
        <v>4.0999999999999703E-2</v>
      </c>
      <c r="C68" s="13">
        <v>1.7299999999999999E-2</v>
      </c>
      <c r="D68" s="13">
        <v>0.935515428571429</v>
      </c>
      <c r="E68" s="10" t="s">
        <v>12</v>
      </c>
      <c r="F68" s="14">
        <f t="shared" si="10"/>
        <v>9.1070617142857166</v>
      </c>
      <c r="G68" s="7">
        <f t="shared" si="13"/>
        <v>1</v>
      </c>
      <c r="H68" s="7">
        <v>3.5</v>
      </c>
      <c r="I68" s="14">
        <f t="shared" si="11"/>
        <v>50.08883942857144</v>
      </c>
      <c r="J68" s="11">
        <f t="shared" si="12"/>
        <v>18282.426391428577</v>
      </c>
      <c r="K68" s="12"/>
      <c r="L68" s="10">
        <v>1896</v>
      </c>
      <c r="M68" s="11">
        <f t="shared" si="14"/>
        <v>334172.20649577637</v>
      </c>
    </row>
    <row r="69" spans="1:13">
      <c r="A69" s="10">
        <v>1897</v>
      </c>
      <c r="B69" s="13">
        <v>4.0999999999999703E-2</v>
      </c>
      <c r="C69" s="13">
        <v>1.7500000000000002E-2</v>
      </c>
      <c r="D69" s="13">
        <v>0.95975542857142904</v>
      </c>
      <c r="E69" s="10" t="s">
        <v>12</v>
      </c>
      <c r="F69" s="14">
        <f t="shared" si="10"/>
        <v>9.2140217142857157</v>
      </c>
      <c r="G69" s="7">
        <f t="shared" si="13"/>
        <v>1</v>
      </c>
      <c r="H69" s="7">
        <v>3.5</v>
      </c>
      <c r="I69" s="14">
        <f t="shared" si="11"/>
        <v>50.677119428571437</v>
      </c>
      <c r="J69" s="11">
        <f t="shared" si="12"/>
        <v>18497.148591428573</v>
      </c>
      <c r="K69" s="12"/>
      <c r="L69" s="10">
        <v>1897</v>
      </c>
      <c r="M69" s="11">
        <f t="shared" si="14"/>
        <v>313781.00755692169</v>
      </c>
    </row>
    <row r="70" spans="1:13">
      <c r="A70" s="10">
        <v>1898</v>
      </c>
      <c r="B70" s="13">
        <v>4.0999999999999599E-2</v>
      </c>
      <c r="C70" s="13">
        <v>1.77E-2</v>
      </c>
      <c r="D70" s="13">
        <v>0.98399542857142897</v>
      </c>
      <c r="E70" s="10" t="s">
        <v>12</v>
      </c>
      <c r="F70" s="14">
        <f t="shared" si="10"/>
        <v>9.3209817142857148</v>
      </c>
      <c r="G70" s="7">
        <f t="shared" si="13"/>
        <v>1</v>
      </c>
      <c r="H70" s="7">
        <v>3.5</v>
      </c>
      <c r="I70" s="14">
        <f t="shared" si="11"/>
        <v>51.265399428571428</v>
      </c>
      <c r="J70" s="11">
        <f t="shared" si="12"/>
        <v>18711.87079142857</v>
      </c>
      <c r="K70" s="12">
        <v>18000</v>
      </c>
      <c r="L70" s="10">
        <v>1898</v>
      </c>
      <c r="M70" s="11">
        <f t="shared" si="14"/>
        <v>311190.72194490017</v>
      </c>
    </row>
    <row r="71" spans="1:13">
      <c r="A71" s="10">
        <v>1899</v>
      </c>
      <c r="B71" s="13">
        <v>4.0999999999999599E-2</v>
      </c>
      <c r="C71" s="13">
        <v>1.7899999999999999E-2</v>
      </c>
      <c r="D71" s="13">
        <v>1</v>
      </c>
      <c r="E71" s="10" t="s">
        <v>12</v>
      </c>
      <c r="F71" s="14">
        <f t="shared" si="10"/>
        <v>9.3949999999999996</v>
      </c>
      <c r="G71" s="7">
        <f t="shared" si="13"/>
        <v>1</v>
      </c>
      <c r="H71" s="7">
        <v>3.5</v>
      </c>
      <c r="I71" s="14">
        <f t="shared" si="11"/>
        <v>51.672499999999999</v>
      </c>
      <c r="J71" s="11">
        <f t="shared" si="12"/>
        <v>18860.462500000001</v>
      </c>
      <c r="K71" s="12"/>
      <c r="L71" s="10">
        <v>1899</v>
      </c>
      <c r="M71" s="11">
        <f t="shared" si="14"/>
        <v>290576.27788823075</v>
      </c>
    </row>
    <row r="72" spans="1:13">
      <c r="A72" s="10">
        <v>1900</v>
      </c>
      <c r="B72" s="13">
        <v>4.0999999999999599E-2</v>
      </c>
      <c r="C72" s="13">
        <v>1.8100000000000002E-2</v>
      </c>
      <c r="D72" s="13">
        <v>1</v>
      </c>
      <c r="E72" s="10" t="s">
        <v>12</v>
      </c>
      <c r="F72" s="14">
        <f t="shared" si="10"/>
        <v>9.4050000000000011</v>
      </c>
      <c r="G72" s="7">
        <f t="shared" si="13"/>
        <v>1</v>
      </c>
      <c r="H72" s="7">
        <v>3.5</v>
      </c>
      <c r="I72" s="14">
        <f t="shared" si="11"/>
        <v>51.727500000000006</v>
      </c>
      <c r="J72" s="11">
        <f t="shared" si="12"/>
        <v>18880.537500000002</v>
      </c>
      <c r="K72" s="12">
        <v>255600</v>
      </c>
      <c r="L72" s="10">
        <v>1900</v>
      </c>
      <c r="M72" s="11">
        <f t="shared" si="14"/>
        <v>524131.96594590141</v>
      </c>
    </row>
    <row r="73" spans="1:13">
      <c r="A73" s="10">
        <v>1901</v>
      </c>
      <c r="B73" s="13">
        <v>4.0999999999999599E-2</v>
      </c>
      <c r="C73" s="13">
        <v>1.83E-2</v>
      </c>
      <c r="D73" s="13">
        <v>1</v>
      </c>
      <c r="E73" s="10" t="s">
        <v>12</v>
      </c>
      <c r="F73" s="14">
        <f t="shared" si="10"/>
        <v>9.4149999999999991</v>
      </c>
      <c r="G73" s="7">
        <f t="shared" si="13"/>
        <v>1</v>
      </c>
      <c r="H73" s="7">
        <v>4.5</v>
      </c>
      <c r="I73" s="14">
        <f t="shared" si="11"/>
        <v>61.197499999999991</v>
      </c>
      <c r="J73" s="11">
        <f t="shared" si="12"/>
        <v>22337.087499999998</v>
      </c>
      <c r="K73" s="12"/>
      <c r="L73" s="10">
        <v>1901</v>
      </c>
      <c r="M73" s="11">
        <f t="shared" si="14"/>
        <v>498784.10917522595</v>
      </c>
    </row>
    <row r="74" spans="1:13">
      <c r="A74" s="10">
        <v>1902</v>
      </c>
      <c r="B74" s="13">
        <v>4.0999999999999599E-2</v>
      </c>
      <c r="C74" s="13">
        <v>1.8499999999999999E-2</v>
      </c>
      <c r="D74" s="13">
        <v>1</v>
      </c>
      <c r="E74" s="10" t="s">
        <v>12</v>
      </c>
      <c r="F74" s="14">
        <f t="shared" si="10"/>
        <v>9.4250000000000007</v>
      </c>
      <c r="G74" s="7">
        <f t="shared" si="13"/>
        <v>1</v>
      </c>
      <c r="H74" s="7">
        <v>4.5</v>
      </c>
      <c r="I74" s="14">
        <f t="shared" si="11"/>
        <v>61.262500000000003</v>
      </c>
      <c r="J74" s="11">
        <f t="shared" si="12"/>
        <v>22360.8125</v>
      </c>
      <c r="K74" s="12"/>
      <c r="L74" s="10">
        <v>1902</v>
      </c>
      <c r="M74" s="11">
        <f t="shared" si="14"/>
        <v>473564.75689517462</v>
      </c>
    </row>
    <row r="75" spans="1:13">
      <c r="A75" s="10">
        <v>1903</v>
      </c>
      <c r="B75" s="13">
        <v>4.0999999999999599E-2</v>
      </c>
      <c r="C75" s="13">
        <v>1.8700000000000001E-2</v>
      </c>
      <c r="D75" s="13">
        <v>1</v>
      </c>
      <c r="E75" s="10" t="s">
        <v>12</v>
      </c>
      <c r="F75" s="14">
        <f t="shared" si="10"/>
        <v>9.4350000000000005</v>
      </c>
      <c r="G75" s="7">
        <f t="shared" si="13"/>
        <v>1</v>
      </c>
      <c r="H75" s="7">
        <v>4.5</v>
      </c>
      <c r="I75" s="14">
        <f t="shared" si="11"/>
        <v>61.327500000000001</v>
      </c>
      <c r="J75" s="11">
        <f t="shared" si="12"/>
        <v>22384.537499999999</v>
      </c>
      <c r="K75" s="12"/>
      <c r="L75" s="10">
        <v>1903</v>
      </c>
      <c r="M75" s="11">
        <f t="shared" si="14"/>
        <v>448473.1380788036</v>
      </c>
    </row>
    <row r="76" spans="1:13">
      <c r="A76" s="10">
        <v>1904</v>
      </c>
      <c r="B76" s="13">
        <v>4.0999999999999599E-2</v>
      </c>
      <c r="C76" s="13">
        <v>1.89E-2</v>
      </c>
      <c r="D76" s="13">
        <v>1</v>
      </c>
      <c r="E76" s="10" t="s">
        <v>12</v>
      </c>
      <c r="F76" s="14">
        <f t="shared" si="10"/>
        <v>9.4450000000000003</v>
      </c>
      <c r="G76" s="7">
        <f t="shared" si="13"/>
        <v>1</v>
      </c>
      <c r="H76" s="7">
        <v>4.5</v>
      </c>
      <c r="I76" s="14">
        <f t="shared" si="11"/>
        <v>61.392499999999998</v>
      </c>
      <c r="J76" s="11">
        <f t="shared" si="12"/>
        <v>22408.262500000001</v>
      </c>
      <c r="K76" s="12"/>
      <c r="L76" s="10">
        <v>1904</v>
      </c>
      <c r="M76" s="11">
        <f t="shared" si="14"/>
        <v>423508.48632533074</v>
      </c>
    </row>
    <row r="77" spans="1:13">
      <c r="A77" s="10">
        <v>1905</v>
      </c>
      <c r="B77" s="13">
        <v>4.0999999999999599E-2</v>
      </c>
      <c r="C77" s="13">
        <v>1.9099999999999999E-2</v>
      </c>
      <c r="D77" s="13">
        <v>1</v>
      </c>
      <c r="E77" s="10" t="s">
        <v>12</v>
      </c>
      <c r="F77" s="14">
        <f t="shared" si="10"/>
        <v>9.4550000000000001</v>
      </c>
      <c r="G77" s="7">
        <f t="shared" si="13"/>
        <v>1</v>
      </c>
      <c r="H77" s="7">
        <v>4.5</v>
      </c>
      <c r="I77" s="14">
        <f t="shared" si="11"/>
        <v>61.457500000000003</v>
      </c>
      <c r="J77" s="11">
        <f t="shared" si="12"/>
        <v>22431.987500000003</v>
      </c>
      <c r="K77" s="12">
        <v>21600</v>
      </c>
      <c r="L77" s="10">
        <v>1905</v>
      </c>
      <c r="M77" s="11">
        <f t="shared" si="14"/>
        <v>420140.43983237876</v>
      </c>
    </row>
    <row r="78" spans="1:13">
      <c r="A78" s="10">
        <v>1906</v>
      </c>
      <c r="B78" s="13">
        <v>4.0999999999999599E-2</v>
      </c>
      <c r="C78" s="13">
        <v>1.9300000000000001E-2</v>
      </c>
      <c r="D78" s="13">
        <v>1</v>
      </c>
      <c r="E78" s="10" t="s">
        <v>12</v>
      </c>
      <c r="F78" s="14">
        <f t="shared" si="10"/>
        <v>9.4649999999999999</v>
      </c>
      <c r="G78" s="7">
        <f t="shared" si="13"/>
        <v>1</v>
      </c>
      <c r="H78" s="7">
        <v>4.5</v>
      </c>
      <c r="I78" s="14">
        <f t="shared" si="11"/>
        <v>61.522500000000001</v>
      </c>
      <c r="J78" s="11">
        <f t="shared" si="12"/>
        <v>22455.712500000001</v>
      </c>
      <c r="K78" s="12"/>
      <c r="L78" s="10">
        <v>1906</v>
      </c>
      <c r="M78" s="11">
        <f t="shared" si="14"/>
        <v>395298.61896838446</v>
      </c>
    </row>
    <row r="79" spans="1:13">
      <c r="A79" s="10">
        <v>1907</v>
      </c>
      <c r="B79" s="13">
        <v>4.0999999999999599E-2</v>
      </c>
      <c r="C79" s="13">
        <v>1.95E-2</v>
      </c>
      <c r="D79" s="13">
        <v>1</v>
      </c>
      <c r="E79" s="10" t="s">
        <v>12</v>
      </c>
      <c r="F79" s="14">
        <f t="shared" si="10"/>
        <v>9.4749999999999996</v>
      </c>
      <c r="G79" s="7">
        <f t="shared" si="13"/>
        <v>1</v>
      </c>
      <c r="H79" s="7">
        <v>4.5</v>
      </c>
      <c r="I79" s="14">
        <f t="shared" si="11"/>
        <v>61.587499999999999</v>
      </c>
      <c r="J79" s="11">
        <f t="shared" si="12"/>
        <v>22479.4375</v>
      </c>
      <c r="K79" s="12"/>
      <c r="L79" s="10">
        <v>1907</v>
      </c>
      <c r="M79" s="11">
        <f t="shared" si="14"/>
        <v>370582.26637957414</v>
      </c>
    </row>
    <row r="80" spans="1:13">
      <c r="A80" s="10">
        <v>1908</v>
      </c>
      <c r="B80" s="13">
        <v>4.0999999999999502E-2</v>
      </c>
      <c r="C80" s="13">
        <v>1.9699999999999999E-2</v>
      </c>
      <c r="D80" s="13">
        <v>1</v>
      </c>
      <c r="E80" s="10" t="s">
        <v>12</v>
      </c>
      <c r="F80" s="14">
        <f t="shared" si="10"/>
        <v>9.4849999999999994</v>
      </c>
      <c r="G80" s="7">
        <f t="shared" si="13"/>
        <v>1</v>
      </c>
      <c r="H80" s="7">
        <v>4.5</v>
      </c>
      <c r="I80" s="14">
        <f t="shared" si="11"/>
        <v>61.652499999999996</v>
      </c>
      <c r="J80" s="11">
        <f t="shared" si="12"/>
        <v>22503.162499999999</v>
      </c>
      <c r="K80" s="12"/>
      <c r="L80" s="10">
        <v>1908</v>
      </c>
      <c r="M80" s="11">
        <f t="shared" si="14"/>
        <v>345990.62925629673</v>
      </c>
    </row>
    <row r="81" spans="1:13">
      <c r="A81" s="10">
        <v>1909</v>
      </c>
      <c r="B81" s="13">
        <v>4.0999999999999502E-2</v>
      </c>
      <c r="C81" s="13">
        <v>1.9900000000000001E-2</v>
      </c>
      <c r="D81" s="13">
        <v>1</v>
      </c>
      <c r="E81" s="10" t="s">
        <v>12</v>
      </c>
      <c r="F81" s="14">
        <f t="shared" si="10"/>
        <v>9.495000000000001</v>
      </c>
      <c r="G81" s="7">
        <f t="shared" si="13"/>
        <v>1</v>
      </c>
      <c r="H81" s="7">
        <v>4.5</v>
      </c>
      <c r="I81" s="14">
        <f t="shared" si="11"/>
        <v>61.717500000000008</v>
      </c>
      <c r="J81" s="11">
        <f t="shared" si="12"/>
        <v>22526.887500000004</v>
      </c>
      <c r="K81" s="12"/>
      <c r="L81" s="10">
        <v>1909</v>
      </c>
      <c r="M81" s="11">
        <f t="shared" si="14"/>
        <v>321522.95930575894</v>
      </c>
    </row>
    <row r="82" spans="1:13">
      <c r="A82" s="10">
        <v>1910</v>
      </c>
      <c r="B82" s="13">
        <v>4.0999999999999502E-2</v>
      </c>
      <c r="C82" s="13">
        <v>2.01E-2</v>
      </c>
      <c r="D82" s="13">
        <v>1</v>
      </c>
      <c r="E82" s="10" t="s">
        <v>12</v>
      </c>
      <c r="F82" s="14">
        <f t="shared" si="10"/>
        <v>9.504999999999999</v>
      </c>
      <c r="G82" s="7">
        <f t="shared" si="13"/>
        <v>1</v>
      </c>
      <c r="H82" s="7">
        <v>4.5</v>
      </c>
      <c r="I82" s="14">
        <f t="shared" si="11"/>
        <v>61.782499999999992</v>
      </c>
      <c r="J82" s="11">
        <f t="shared" si="12"/>
        <v>22550.612499999996</v>
      </c>
      <c r="K82" s="12">
        <v>21600</v>
      </c>
      <c r="L82" s="10">
        <v>1910</v>
      </c>
      <c r="M82" s="11">
        <f t="shared" si="14"/>
        <v>318648.91272492439</v>
      </c>
    </row>
    <row r="83" spans="1:13">
      <c r="A83" s="10">
        <v>1911</v>
      </c>
      <c r="B83" s="13">
        <v>4.0999999999999502E-2</v>
      </c>
      <c r="C83" s="13">
        <v>2.0299999999999999E-2</v>
      </c>
      <c r="D83" s="13">
        <v>1</v>
      </c>
      <c r="E83" s="10" t="s">
        <v>12</v>
      </c>
      <c r="F83" s="14">
        <f t="shared" si="10"/>
        <v>9.5150000000000006</v>
      </c>
      <c r="G83" s="7">
        <f t="shared" si="13"/>
        <v>1</v>
      </c>
      <c r="H83" s="7">
        <v>4.5</v>
      </c>
      <c r="I83" s="14">
        <f t="shared" si="11"/>
        <v>61.847500000000004</v>
      </c>
      <c r="J83" s="11">
        <f t="shared" si="12"/>
        <v>22574.337500000001</v>
      </c>
      <c r="K83" s="12"/>
      <c r="L83" s="10">
        <v>1911</v>
      </c>
      <c r="M83" s="11">
        <f t="shared" si="14"/>
        <v>294298.12777357484</v>
      </c>
    </row>
    <row r="84" spans="1:13">
      <c r="A84" s="10">
        <v>1912</v>
      </c>
      <c r="B84" s="13">
        <v>4.0999999999999502E-2</v>
      </c>
      <c r="C84" s="13">
        <v>2.0500000000000001E-2</v>
      </c>
      <c r="D84" s="13">
        <v>1</v>
      </c>
      <c r="E84" s="10" t="s">
        <v>12</v>
      </c>
      <c r="F84" s="14">
        <f t="shared" si="10"/>
        <v>9.5250000000000004</v>
      </c>
      <c r="G84" s="7">
        <f t="shared" si="13"/>
        <v>1</v>
      </c>
      <c r="H84" s="7">
        <v>4.5</v>
      </c>
      <c r="I84" s="14">
        <f t="shared" si="11"/>
        <v>61.912500000000001</v>
      </c>
      <c r="J84" s="11">
        <f t="shared" si="12"/>
        <v>22598.0625</v>
      </c>
      <c r="K84" s="12"/>
      <c r="L84" s="10">
        <v>1912</v>
      </c>
      <c r="M84" s="11">
        <f t="shared" si="14"/>
        <v>270069.86488193338</v>
      </c>
    </row>
    <row r="85" spans="1:13">
      <c r="A85" s="10">
        <v>1913</v>
      </c>
      <c r="B85" s="13">
        <v>4.0999999999999502E-2</v>
      </c>
      <c r="C85" s="13">
        <v>2.07E-2</v>
      </c>
      <c r="D85" s="13">
        <v>1</v>
      </c>
      <c r="E85" s="10" t="s">
        <v>12</v>
      </c>
      <c r="F85" s="14">
        <f t="shared" si="10"/>
        <v>9.5350000000000001</v>
      </c>
      <c r="G85" s="7">
        <f t="shared" si="13"/>
        <v>1</v>
      </c>
      <c r="H85" s="7">
        <v>4.5</v>
      </c>
      <c r="I85" s="14">
        <f t="shared" si="11"/>
        <v>61.977499999999999</v>
      </c>
      <c r="J85" s="11">
        <f t="shared" si="12"/>
        <v>22621.787499999999</v>
      </c>
      <c r="K85" s="12"/>
      <c r="L85" s="10">
        <v>1913</v>
      </c>
      <c r="M85" s="11">
        <f t="shared" si="14"/>
        <v>245963.38891764177</v>
      </c>
    </row>
    <row r="86" spans="1:13">
      <c r="A86" s="10">
        <v>1914</v>
      </c>
      <c r="B86" s="13">
        <v>4.0999999999999502E-2</v>
      </c>
      <c r="C86" s="13">
        <v>2.0899999999999998E-2</v>
      </c>
      <c r="D86" s="13">
        <v>1</v>
      </c>
      <c r="E86" s="10" t="s">
        <v>12</v>
      </c>
      <c r="F86" s="14">
        <f t="shared" si="10"/>
        <v>9.5449999999999999</v>
      </c>
      <c r="G86" s="7">
        <f t="shared" si="13"/>
        <v>1</v>
      </c>
      <c r="H86" s="7">
        <v>4.5</v>
      </c>
      <c r="I86" s="14">
        <f t="shared" si="11"/>
        <v>62.042499999999997</v>
      </c>
      <c r="J86" s="11">
        <f t="shared" si="12"/>
        <v>22645.512499999997</v>
      </c>
      <c r="K86" s="12">
        <v>43200</v>
      </c>
      <c r="L86" s="10">
        <v>1914</v>
      </c>
      <c r="M86" s="11">
        <f t="shared" si="14"/>
        <v>264918.76915913593</v>
      </c>
    </row>
    <row r="87" spans="1:13">
      <c r="A87" s="10">
        <v>1915</v>
      </c>
      <c r="B87" s="13">
        <v>4.0999999999999502E-2</v>
      </c>
      <c r="C87" s="13">
        <v>2.1100000000000001E-2</v>
      </c>
      <c r="D87" s="13">
        <v>1</v>
      </c>
      <c r="E87" s="10" t="s">
        <v>12</v>
      </c>
      <c r="F87" s="14">
        <f t="shared" si="10"/>
        <v>9.5549999999999997</v>
      </c>
      <c r="G87" s="7">
        <f t="shared" si="13"/>
        <v>1</v>
      </c>
      <c r="H87" s="7">
        <v>4.5</v>
      </c>
      <c r="I87" s="14">
        <f t="shared" si="11"/>
        <v>62.107500000000002</v>
      </c>
      <c r="J87" s="11">
        <f t="shared" si="12"/>
        <v>22669.237499999999</v>
      </c>
      <c r="K87" s="12">
        <v>21600</v>
      </c>
      <c r="L87" s="10">
        <v>1915</v>
      </c>
      <c r="M87" s="11">
        <f t="shared" si="14"/>
        <v>262266.43446918111</v>
      </c>
    </row>
    <row r="88" spans="1:13">
      <c r="A88" s="10">
        <v>1916</v>
      </c>
      <c r="B88" s="13">
        <v>4.0999999999999502E-2</v>
      </c>
      <c r="C88" s="13">
        <v>2.1299999999999999E-2</v>
      </c>
      <c r="D88" s="13">
        <v>1</v>
      </c>
      <c r="E88" s="10" t="s">
        <v>12</v>
      </c>
      <c r="F88" s="14">
        <f t="shared" si="10"/>
        <v>9.5649999999999995</v>
      </c>
      <c r="G88" s="7">
        <f t="shared" si="13"/>
        <v>1</v>
      </c>
      <c r="H88" s="7">
        <v>4.5</v>
      </c>
      <c r="I88" s="14">
        <f t="shared" si="11"/>
        <v>62.172499999999999</v>
      </c>
      <c r="J88" s="11">
        <f t="shared" si="12"/>
        <v>22692.962500000001</v>
      </c>
      <c r="K88" s="12"/>
      <c r="L88" s="10">
        <v>1916</v>
      </c>
      <c r="M88" s="11">
        <f t="shared" si="14"/>
        <v>238136.03113736602</v>
      </c>
    </row>
    <row r="89" spans="1:13">
      <c r="A89" s="10">
        <v>1917</v>
      </c>
      <c r="B89" s="13">
        <v>4.0999999999999502E-2</v>
      </c>
      <c r="C89" s="13">
        <v>2.1499999999999998E-2</v>
      </c>
      <c r="D89" s="13">
        <v>1</v>
      </c>
      <c r="E89" s="10" t="s">
        <v>12</v>
      </c>
      <c r="F89" s="14">
        <f t="shared" si="10"/>
        <v>9.5749999999999993</v>
      </c>
      <c r="G89" s="7">
        <f t="shared" si="13"/>
        <v>1</v>
      </c>
      <c r="H89" s="7">
        <v>4.5</v>
      </c>
      <c r="I89" s="14">
        <f t="shared" si="11"/>
        <v>62.237499999999997</v>
      </c>
      <c r="J89" s="11">
        <f t="shared" si="12"/>
        <v>22716.6875</v>
      </c>
      <c r="K89" s="12"/>
      <c r="L89" s="10">
        <v>1917</v>
      </c>
      <c r="M89" s="11">
        <f t="shared" si="14"/>
        <v>214126.82757554183</v>
      </c>
    </row>
    <row r="90" spans="1:13">
      <c r="A90" s="10">
        <v>1918</v>
      </c>
      <c r="B90" s="13">
        <v>4.0999999999999398E-2</v>
      </c>
      <c r="C90" s="13">
        <v>2.1700000000000001E-2</v>
      </c>
      <c r="D90" s="13">
        <v>1</v>
      </c>
      <c r="E90" s="10" t="s">
        <v>12</v>
      </c>
      <c r="F90" s="14">
        <f t="shared" si="10"/>
        <v>9.5850000000000009</v>
      </c>
      <c r="G90" s="7">
        <f t="shared" si="13"/>
        <v>1</v>
      </c>
      <c r="H90" s="7">
        <v>4.5</v>
      </c>
      <c r="I90" s="14">
        <f t="shared" si="11"/>
        <v>62.302500000000009</v>
      </c>
      <c r="J90" s="11">
        <f t="shared" si="12"/>
        <v>22740.412500000002</v>
      </c>
      <c r="K90" s="12"/>
      <c r="L90" s="10">
        <v>1918</v>
      </c>
      <c r="M90" s="11">
        <f t="shared" si="14"/>
        <v>190238.09658508858</v>
      </c>
    </row>
    <row r="91" spans="1:13">
      <c r="A91" s="10">
        <v>1919</v>
      </c>
      <c r="B91" s="13">
        <v>4.0999999999999398E-2</v>
      </c>
      <c r="C91" s="13">
        <v>2.1899999999999999E-2</v>
      </c>
      <c r="D91" s="13">
        <v>1</v>
      </c>
      <c r="E91" s="10" t="s">
        <v>12</v>
      </c>
      <c r="F91" s="14">
        <f t="shared" si="10"/>
        <v>9.5949999999999989</v>
      </c>
      <c r="G91" s="7">
        <f t="shared" si="13"/>
        <v>1</v>
      </c>
      <c r="H91" s="7">
        <v>4.5</v>
      </c>
      <c r="I91" s="14">
        <f t="shared" si="11"/>
        <v>62.367499999999993</v>
      </c>
      <c r="J91" s="11">
        <f t="shared" si="12"/>
        <v>22764.137499999997</v>
      </c>
      <c r="K91" s="12">
        <v>194400</v>
      </c>
      <c r="L91" s="10">
        <v>1919</v>
      </c>
      <c r="M91" s="11">
        <f t="shared" si="14"/>
        <v>359702.71533057804</v>
      </c>
    </row>
    <row r="92" spans="1:13">
      <c r="A92" s="10">
        <v>1920</v>
      </c>
      <c r="B92" s="13">
        <v>4.0999999999999398E-2</v>
      </c>
      <c r="C92" s="13">
        <v>2.2100000000000002E-2</v>
      </c>
      <c r="D92" s="13">
        <v>1</v>
      </c>
      <c r="E92" s="10" t="s">
        <v>12</v>
      </c>
      <c r="F92" s="14">
        <f t="shared" si="10"/>
        <v>9.6050000000000004</v>
      </c>
      <c r="G92" s="7">
        <f t="shared" si="13"/>
        <v>1</v>
      </c>
      <c r="H92" s="7">
        <v>4.5</v>
      </c>
      <c r="I92" s="14">
        <f t="shared" si="11"/>
        <v>62.432500000000005</v>
      </c>
      <c r="J92" s="11">
        <f t="shared" si="12"/>
        <v>22787.862500000003</v>
      </c>
      <c r="K92" s="12"/>
      <c r="L92" s="10">
        <v>1920</v>
      </c>
      <c r="M92" s="11">
        <f t="shared" si="14"/>
        <v>334893.36371359456</v>
      </c>
    </row>
    <row r="93" spans="1:13">
      <c r="A93" s="10">
        <v>1921</v>
      </c>
      <c r="B93" s="13">
        <v>4.0999999999999398E-2</v>
      </c>
      <c r="C93" s="13">
        <v>2.23E-2</v>
      </c>
      <c r="D93" s="13">
        <v>1</v>
      </c>
      <c r="E93" s="10" t="s">
        <v>12</v>
      </c>
      <c r="F93" s="14">
        <f t="shared" si="10"/>
        <v>9.6150000000000002</v>
      </c>
      <c r="G93" s="7">
        <f t="shared" si="13"/>
        <v>1</v>
      </c>
      <c r="H93" s="7">
        <v>4.5</v>
      </c>
      <c r="I93" s="14">
        <f t="shared" si="11"/>
        <v>62.497500000000002</v>
      </c>
      <c r="J93" s="11">
        <f t="shared" si="12"/>
        <v>22811.587500000001</v>
      </c>
      <c r="K93" s="12"/>
      <c r="L93" s="10">
        <v>1921</v>
      </c>
      <c r="M93" s="11">
        <f t="shared" si="14"/>
        <v>310209.28555631294</v>
      </c>
    </row>
    <row r="94" spans="1:13">
      <c r="A94" s="10">
        <v>1922</v>
      </c>
      <c r="B94" s="13">
        <v>4.0999999999999398E-2</v>
      </c>
      <c r="C94" s="13">
        <v>2.2499999999999999E-2</v>
      </c>
      <c r="D94" s="13">
        <v>1</v>
      </c>
      <c r="E94" s="10" t="s">
        <v>12</v>
      </c>
      <c r="F94" s="14">
        <f t="shared" si="10"/>
        <v>9.625</v>
      </c>
      <c r="G94" s="7">
        <f t="shared" si="13"/>
        <v>1</v>
      </c>
      <c r="H94" s="7">
        <v>4.5</v>
      </c>
      <c r="I94" s="14">
        <f t="shared" si="11"/>
        <v>62.5625</v>
      </c>
      <c r="J94" s="11">
        <f t="shared" si="12"/>
        <v>22835.3125</v>
      </c>
      <c r="K94" s="12"/>
      <c r="L94" s="10">
        <v>1922</v>
      </c>
      <c r="M94" s="11">
        <f t="shared" si="14"/>
        <v>285649.72921797505</v>
      </c>
    </row>
    <row r="95" spans="1:13">
      <c r="A95" s="10">
        <v>1923</v>
      </c>
      <c r="B95" s="13">
        <v>4.0999999999999398E-2</v>
      </c>
      <c r="C95" s="13">
        <v>2.2700000000000001E-2</v>
      </c>
      <c r="D95" s="13">
        <v>1</v>
      </c>
      <c r="E95" s="10" t="s">
        <v>12</v>
      </c>
      <c r="F95" s="14">
        <f t="shared" si="10"/>
        <v>9.6349999999999998</v>
      </c>
      <c r="G95" s="7">
        <f t="shared" si="13"/>
        <v>1</v>
      </c>
      <c r="H95" s="7">
        <v>4.5</v>
      </c>
      <c r="I95" s="14">
        <f t="shared" si="11"/>
        <v>62.627499999999998</v>
      </c>
      <c r="J95" s="11">
        <f t="shared" si="12"/>
        <v>22859.037499999999</v>
      </c>
      <c r="K95" s="12"/>
      <c r="L95" s="10">
        <v>1923</v>
      </c>
      <c r="M95" s="11">
        <f t="shared" si="14"/>
        <v>261213.94756766723</v>
      </c>
    </row>
    <row r="96" spans="1:13">
      <c r="A96" s="10">
        <v>1924</v>
      </c>
      <c r="B96" s="13">
        <v>4.0999999999999398E-2</v>
      </c>
      <c r="C96" s="13">
        <v>2.29E-2</v>
      </c>
      <c r="D96" s="13">
        <v>1</v>
      </c>
      <c r="E96" s="10" t="s">
        <v>12</v>
      </c>
      <c r="F96" s="14">
        <f t="shared" si="10"/>
        <v>9.6449999999999996</v>
      </c>
      <c r="G96" s="7">
        <f t="shared" si="13"/>
        <v>1</v>
      </c>
      <c r="H96" s="7">
        <v>4.5</v>
      </c>
      <c r="I96" s="14">
        <f t="shared" si="11"/>
        <v>62.692499999999995</v>
      </c>
      <c r="J96" s="11">
        <f t="shared" si="12"/>
        <v>22882.762499999997</v>
      </c>
      <c r="K96" s="12"/>
      <c r="L96" s="10">
        <v>1924</v>
      </c>
      <c r="M96" s="11">
        <f t="shared" si="14"/>
        <v>236901.1979572612</v>
      </c>
    </row>
    <row r="97" spans="1:13">
      <c r="A97" s="10">
        <v>1925</v>
      </c>
      <c r="B97" s="13">
        <v>4.0999999999999398E-2</v>
      </c>
      <c r="C97" s="13">
        <v>2.3099999999999999E-2</v>
      </c>
      <c r="D97" s="13">
        <v>1</v>
      </c>
      <c r="E97" s="10" t="s">
        <v>12</v>
      </c>
      <c r="F97" s="14">
        <f t="shared" si="10"/>
        <v>9.6550000000000011</v>
      </c>
      <c r="G97" s="7">
        <f t="shared" si="13"/>
        <v>1</v>
      </c>
      <c r="H97" s="7">
        <v>4.5</v>
      </c>
      <c r="I97" s="14">
        <f t="shared" si="11"/>
        <v>62.757500000000007</v>
      </c>
      <c r="J97" s="11">
        <f t="shared" si="12"/>
        <v>22906.487500000003</v>
      </c>
      <c r="K97" s="12"/>
      <c r="L97" s="10">
        <v>1925</v>
      </c>
      <c r="M97" s="11">
        <f t="shared" si="14"/>
        <v>212710.74219451763</v>
      </c>
    </row>
    <row r="98" spans="1:13">
      <c r="A98" s="10">
        <v>1926</v>
      </c>
      <c r="B98" s="13">
        <v>4.0999999999999398E-2</v>
      </c>
      <c r="C98" s="13">
        <v>2.3300000000000001E-2</v>
      </c>
      <c r="D98" s="13">
        <v>1</v>
      </c>
      <c r="E98" s="10" t="s">
        <v>12</v>
      </c>
      <c r="F98" s="14">
        <f t="shared" ref="F98:F129" si="15">(MIN(B98,0.02)*150)+(MIN(C98,0.04)*50)+(MIN(D98,1)*4)+(IF(E98="Great Power",1.5,IF(E98="Secondary Power",1.25,IF(E98="Westernized Nation",1,0))))</f>
        <v>9.6649999999999991</v>
      </c>
      <c r="G98" s="7">
        <f t="shared" si="13"/>
        <v>1</v>
      </c>
      <c r="H98" s="7">
        <v>4.5</v>
      </c>
      <c r="I98" s="14">
        <f t="shared" ref="I98:I129" si="16">F98*(1+H98+G98)</f>
        <v>62.822499999999991</v>
      </c>
      <c r="J98" s="11">
        <f t="shared" ref="J98:J129" si="17">I98*365</f>
        <v>22930.212499999998</v>
      </c>
      <c r="K98" s="12"/>
      <c r="L98" s="10">
        <v>1926</v>
      </c>
      <c r="M98" s="11">
        <f t="shared" si="14"/>
        <v>188641.84651635052</v>
      </c>
    </row>
    <row r="99" spans="1:13">
      <c r="A99" s="10">
        <v>1927</v>
      </c>
      <c r="B99" s="13">
        <v>4.0999999999999398E-2</v>
      </c>
      <c r="C99" s="13">
        <v>2.35E-2</v>
      </c>
      <c r="D99" s="13">
        <v>1</v>
      </c>
      <c r="E99" s="10" t="s">
        <v>12</v>
      </c>
      <c r="F99" s="14">
        <f t="shared" si="15"/>
        <v>9.6750000000000007</v>
      </c>
      <c r="G99" s="7">
        <f t="shared" ref="G99:G108" si="18">MIN(G98+(4*2/90/100*12),1)</f>
        <v>1</v>
      </c>
      <c r="H99" s="7">
        <v>4.5</v>
      </c>
      <c r="I99" s="14">
        <f t="shared" si="16"/>
        <v>62.887500000000003</v>
      </c>
      <c r="J99" s="11">
        <f t="shared" si="17"/>
        <v>22953.9375</v>
      </c>
      <c r="K99" s="12"/>
      <c r="L99" s="10">
        <v>1927</v>
      </c>
      <c r="M99" s="11">
        <f t="shared" ref="M99:M108" si="19">MAX((M98+K99-J99)*0.994,0)</f>
        <v>164693.78156225241</v>
      </c>
    </row>
    <row r="100" spans="1:13">
      <c r="A100" s="10">
        <v>1928</v>
      </c>
      <c r="B100" s="13">
        <v>4.0999999999999301E-2</v>
      </c>
      <c r="C100" s="13">
        <v>2.3699999999999999E-2</v>
      </c>
      <c r="D100" s="13">
        <v>1</v>
      </c>
      <c r="E100" s="10" t="s">
        <v>12</v>
      </c>
      <c r="F100" s="14">
        <f t="shared" si="15"/>
        <v>9.6850000000000005</v>
      </c>
      <c r="G100" s="7">
        <f t="shared" si="18"/>
        <v>1</v>
      </c>
      <c r="H100" s="7">
        <v>4.5</v>
      </c>
      <c r="I100" s="14">
        <f t="shared" si="16"/>
        <v>62.952500000000001</v>
      </c>
      <c r="J100" s="11">
        <f t="shared" si="17"/>
        <v>22977.662499999999</v>
      </c>
      <c r="K100" s="12"/>
      <c r="L100" s="10">
        <v>1928</v>
      </c>
      <c r="M100" s="11">
        <f t="shared" si="19"/>
        <v>140865.82234787889</v>
      </c>
    </row>
    <row r="101" spans="1:13">
      <c r="A101" s="10">
        <v>1929</v>
      </c>
      <c r="B101" s="13">
        <v>4.0999999999999301E-2</v>
      </c>
      <c r="C101" s="13">
        <v>2.3900000000000001E-2</v>
      </c>
      <c r="D101" s="13">
        <v>1</v>
      </c>
      <c r="E101" s="10" t="s">
        <v>12</v>
      </c>
      <c r="F101" s="14">
        <f t="shared" si="15"/>
        <v>9.6950000000000003</v>
      </c>
      <c r="G101" s="7">
        <f t="shared" si="18"/>
        <v>1</v>
      </c>
      <c r="H101" s="7">
        <v>4.5</v>
      </c>
      <c r="I101" s="14">
        <f t="shared" si="16"/>
        <v>63.017499999999998</v>
      </c>
      <c r="J101" s="11">
        <f t="shared" si="17"/>
        <v>23001.387500000001</v>
      </c>
      <c r="K101" s="12"/>
      <c r="L101" s="10">
        <v>1929</v>
      </c>
      <c r="M101" s="11">
        <f t="shared" si="19"/>
        <v>117157.24823879161</v>
      </c>
    </row>
    <row r="102" spans="1:13">
      <c r="A102" s="10">
        <v>1930</v>
      </c>
      <c r="B102" s="13">
        <v>4.0999999999999301E-2</v>
      </c>
      <c r="C102" s="13">
        <v>2.41E-2</v>
      </c>
      <c r="D102" s="13">
        <v>1</v>
      </c>
      <c r="E102" s="10" t="s">
        <v>12</v>
      </c>
      <c r="F102" s="14">
        <f t="shared" si="15"/>
        <v>9.7050000000000001</v>
      </c>
      <c r="G102" s="7">
        <f t="shared" si="18"/>
        <v>1</v>
      </c>
      <c r="H102" s="7">
        <v>4.5</v>
      </c>
      <c r="I102" s="14">
        <f t="shared" si="16"/>
        <v>63.082500000000003</v>
      </c>
      <c r="J102" s="11">
        <f t="shared" si="17"/>
        <v>23025.112500000003</v>
      </c>
      <c r="K102" s="12"/>
      <c r="L102" s="10">
        <v>1930</v>
      </c>
      <c r="M102" s="11">
        <f t="shared" si="19"/>
        <v>93567.342924358862</v>
      </c>
    </row>
    <row r="103" spans="1:13">
      <c r="A103" s="10">
        <v>1931</v>
      </c>
      <c r="B103" s="13">
        <v>4.0999999999999301E-2</v>
      </c>
      <c r="C103" s="13">
        <v>2.4299999999999999E-2</v>
      </c>
      <c r="D103" s="13">
        <v>1</v>
      </c>
      <c r="E103" s="10" t="s">
        <v>12</v>
      </c>
      <c r="F103" s="14">
        <f t="shared" si="15"/>
        <v>9.7149999999999999</v>
      </c>
      <c r="G103" s="7">
        <f t="shared" si="18"/>
        <v>1</v>
      </c>
      <c r="H103" s="7">
        <v>4.5</v>
      </c>
      <c r="I103" s="14">
        <f t="shared" si="16"/>
        <v>63.147500000000001</v>
      </c>
      <c r="J103" s="11">
        <f t="shared" si="17"/>
        <v>23048.837500000001</v>
      </c>
      <c r="K103" s="12"/>
      <c r="L103" s="10">
        <v>1931</v>
      </c>
      <c r="M103" s="11">
        <f t="shared" si="19"/>
        <v>70095.394391812704</v>
      </c>
    </row>
    <row r="104" spans="1:13">
      <c r="A104" s="10">
        <v>1932</v>
      </c>
      <c r="B104" s="13">
        <v>4.0999999999999301E-2</v>
      </c>
      <c r="C104" s="13">
        <v>2.4500000000000001E-2</v>
      </c>
      <c r="D104" s="13">
        <v>1</v>
      </c>
      <c r="E104" s="10" t="s">
        <v>12</v>
      </c>
      <c r="F104" s="14">
        <f t="shared" si="15"/>
        <v>9.7249999999999996</v>
      </c>
      <c r="G104" s="7">
        <f t="shared" si="18"/>
        <v>1</v>
      </c>
      <c r="H104" s="7">
        <v>4.5</v>
      </c>
      <c r="I104" s="14">
        <f t="shared" si="16"/>
        <v>63.212499999999999</v>
      </c>
      <c r="J104" s="11">
        <f t="shared" si="17"/>
        <v>23072.5625</v>
      </c>
      <c r="K104" s="12"/>
      <c r="L104" s="10">
        <v>1932</v>
      </c>
      <c r="M104" s="11">
        <f t="shared" si="19"/>
        <v>46740.694900461829</v>
      </c>
    </row>
    <row r="105" spans="1:13">
      <c r="A105" s="10">
        <v>1933</v>
      </c>
      <c r="B105" s="13">
        <v>4.0999999999999301E-2</v>
      </c>
      <c r="C105" s="13">
        <v>2.47E-2</v>
      </c>
      <c r="D105" s="13">
        <v>1</v>
      </c>
      <c r="E105" s="10" t="s">
        <v>12</v>
      </c>
      <c r="F105" s="14">
        <f t="shared" si="15"/>
        <v>9.7349999999999994</v>
      </c>
      <c r="G105" s="7">
        <f t="shared" si="18"/>
        <v>1</v>
      </c>
      <c r="H105" s="7">
        <v>4.5</v>
      </c>
      <c r="I105" s="14">
        <f t="shared" si="16"/>
        <v>63.277499999999996</v>
      </c>
      <c r="J105" s="11">
        <f t="shared" si="17"/>
        <v>23096.287499999999</v>
      </c>
      <c r="K105" s="12"/>
      <c r="L105" s="10">
        <v>1933</v>
      </c>
      <c r="M105" s="11">
        <f t="shared" si="19"/>
        <v>23502.54095605906</v>
      </c>
    </row>
    <row r="106" spans="1:13">
      <c r="A106" s="10">
        <v>1934</v>
      </c>
      <c r="B106" s="13">
        <v>4.0999999999999301E-2</v>
      </c>
      <c r="C106" s="13">
        <v>2.4899999999999999E-2</v>
      </c>
      <c r="D106" s="13">
        <v>1</v>
      </c>
      <c r="E106" s="10" t="s">
        <v>12</v>
      </c>
      <c r="F106" s="14">
        <f t="shared" si="15"/>
        <v>9.745000000000001</v>
      </c>
      <c r="G106" s="7">
        <f t="shared" si="18"/>
        <v>1</v>
      </c>
      <c r="H106" s="7">
        <v>4.5</v>
      </c>
      <c r="I106" s="14">
        <f t="shared" si="16"/>
        <v>63.342500000000008</v>
      </c>
      <c r="J106" s="11">
        <f t="shared" si="17"/>
        <v>23120.012500000004</v>
      </c>
      <c r="K106" s="12"/>
      <c r="L106" s="10">
        <v>1934</v>
      </c>
      <c r="M106" s="11">
        <f t="shared" si="19"/>
        <v>380.23328532270097</v>
      </c>
    </row>
    <row r="107" spans="1:13">
      <c r="A107" s="10">
        <v>1935</v>
      </c>
      <c r="B107" s="13">
        <v>4.0999999999999301E-2</v>
      </c>
      <c r="C107" s="13">
        <v>2.5100000000000001E-2</v>
      </c>
      <c r="D107" s="13">
        <v>1</v>
      </c>
      <c r="E107" s="10" t="s">
        <v>12</v>
      </c>
      <c r="F107" s="14">
        <f t="shared" si="15"/>
        <v>9.754999999999999</v>
      </c>
      <c r="G107" s="7">
        <f t="shared" si="18"/>
        <v>1</v>
      </c>
      <c r="H107" s="7">
        <v>4.5</v>
      </c>
      <c r="I107" s="14">
        <f t="shared" si="16"/>
        <v>63.407499999999992</v>
      </c>
      <c r="J107" s="11">
        <f t="shared" si="17"/>
        <v>23143.737499999996</v>
      </c>
      <c r="K107" s="12"/>
      <c r="L107" s="10">
        <v>1935</v>
      </c>
      <c r="M107" s="11">
        <f t="shared" si="19"/>
        <v>0</v>
      </c>
    </row>
    <row r="108" spans="1:13">
      <c r="A108" s="10">
        <v>1936</v>
      </c>
      <c r="B108" s="13">
        <v>4.0999999999999301E-2</v>
      </c>
      <c r="C108" s="13">
        <v>2.53E-2</v>
      </c>
      <c r="D108" s="13">
        <v>1</v>
      </c>
      <c r="E108" s="10" t="s">
        <v>12</v>
      </c>
      <c r="F108" s="14">
        <f t="shared" si="15"/>
        <v>9.7650000000000006</v>
      </c>
      <c r="G108" s="7">
        <f t="shared" si="18"/>
        <v>1</v>
      </c>
      <c r="H108" s="7">
        <v>4.5</v>
      </c>
      <c r="I108" s="14">
        <f t="shared" si="16"/>
        <v>63.472500000000004</v>
      </c>
      <c r="J108" s="11">
        <f t="shared" si="17"/>
        <v>23167.462500000001</v>
      </c>
      <c r="K108" s="12"/>
      <c r="L108" s="10">
        <v>1936</v>
      </c>
      <c r="M108" s="11">
        <f t="shared" si="19"/>
        <v>0</v>
      </c>
    </row>
    <row r="109" spans="1:13">
      <c r="G109" s="15"/>
      <c r="I109" s="14"/>
    </row>
  </sheetData>
  <dataValidations count="1">
    <dataValidation type="list" allowBlank="1" showInputMessage="1" showErrorMessage="1" sqref="E2:E108" xr:uid="{00000000-0002-0000-0000-000000000000}">
      <formula1>"Great Power,Secondary Power,Westernized Nation,Non-western Nation"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8"/>
  <sheetViews>
    <sheetView topLeftCell="A22" zoomScale="120" zoomScaleNormal="120" workbookViewId="0">
      <selection activeCell="F34" sqref="F34"/>
    </sheetView>
  </sheetViews>
  <sheetFormatPr defaultColWidth="8.85546875" defaultRowHeight="15"/>
  <cols>
    <col min="1" max="1" width="6.7109375" style="6" customWidth="1"/>
    <col min="2" max="2" width="17.42578125" style="9" customWidth="1"/>
    <col min="3" max="3" width="12" style="6" customWidth="1"/>
    <col min="4" max="4" width="17" style="6" customWidth="1"/>
    <col min="5" max="5" width="13" style="6" customWidth="1"/>
    <col min="6" max="6" width="24.5703125" style="6" customWidth="1"/>
    <col min="7" max="7" width="8.85546875" style="6"/>
    <col min="8" max="8" width="7" style="6" customWidth="1"/>
    <col min="9" max="9" width="24.5703125" style="6" customWidth="1"/>
    <col min="10" max="16384" width="8.85546875" style="6"/>
  </cols>
  <sheetData>
    <row r="1" spans="1:9">
      <c r="A1" s="10" t="s">
        <v>0</v>
      </c>
      <c r="B1" s="12" t="s">
        <v>13</v>
      </c>
      <c r="D1" s="10" t="s">
        <v>14</v>
      </c>
      <c r="E1" s="10" t="s">
        <v>15</v>
      </c>
      <c r="F1" s="10" t="s">
        <v>16</v>
      </c>
      <c r="H1" s="10" t="s">
        <v>0</v>
      </c>
      <c r="I1" s="10" t="s">
        <v>17</v>
      </c>
    </row>
    <row r="2" spans="1:9">
      <c r="A2" s="10">
        <v>1830</v>
      </c>
      <c r="B2" s="12">
        <f t="shared" ref="B2:B11" si="0">$I$2*(1-(A2-1830)*2/300)</f>
        <v>244800</v>
      </c>
      <c r="D2" s="10" t="s">
        <v>18</v>
      </c>
      <c r="E2" s="11" t="s">
        <v>19</v>
      </c>
      <c r="F2" s="11">
        <v>90000</v>
      </c>
      <c r="H2" s="16">
        <v>1830</v>
      </c>
      <c r="I2" s="11">
        <f>IF(H23="Yes",SUM(F2,F3,F4),SUM(F3,F4))</f>
        <v>244800</v>
      </c>
    </row>
    <row r="3" spans="1:9">
      <c r="A3" s="10">
        <v>1831</v>
      </c>
      <c r="B3" s="12">
        <f t="shared" si="0"/>
        <v>243168</v>
      </c>
      <c r="D3" s="10" t="s">
        <v>20</v>
      </c>
      <c r="E3" s="11" t="s">
        <v>21</v>
      </c>
      <c r="F3" s="11">
        <v>158400</v>
      </c>
      <c r="H3" s="16">
        <v>1840</v>
      </c>
      <c r="I3" s="11">
        <f>SUM(F5,F6)</f>
        <v>32400</v>
      </c>
    </row>
    <row r="4" spans="1:9">
      <c r="A4" s="10">
        <v>1832</v>
      </c>
      <c r="B4" s="12">
        <f t="shared" si="0"/>
        <v>241536</v>
      </c>
      <c r="D4" s="10" t="s">
        <v>22</v>
      </c>
      <c r="E4" s="11" t="s">
        <v>23</v>
      </c>
      <c r="F4" s="11">
        <v>86400</v>
      </c>
      <c r="H4" s="16">
        <v>1848</v>
      </c>
      <c r="I4" s="11">
        <f>SUM(F7)</f>
        <v>10800</v>
      </c>
    </row>
    <row r="5" spans="1:9">
      <c r="A5" s="10">
        <v>1833</v>
      </c>
      <c r="B5" s="12">
        <f t="shared" si="0"/>
        <v>239904</v>
      </c>
      <c r="D5" s="10" t="s">
        <v>24</v>
      </c>
      <c r="E5" s="11" t="s">
        <v>25</v>
      </c>
      <c r="F5" s="11">
        <v>21600</v>
      </c>
      <c r="H5" s="16">
        <v>1850</v>
      </c>
      <c r="I5" s="11">
        <f>SUM(F8,F9)</f>
        <v>259200</v>
      </c>
    </row>
    <row r="6" spans="1:9">
      <c r="A6" s="10">
        <v>1834</v>
      </c>
      <c r="B6" s="12">
        <f t="shared" si="0"/>
        <v>238272</v>
      </c>
      <c r="D6" s="10" t="s">
        <v>26</v>
      </c>
      <c r="E6" s="11" t="s">
        <v>27</v>
      </c>
      <c r="F6" s="11">
        <v>10800</v>
      </c>
      <c r="H6" s="16">
        <v>1855</v>
      </c>
      <c r="I6" s="11">
        <f>SUM(F10)</f>
        <v>21600</v>
      </c>
    </row>
    <row r="7" spans="1:9">
      <c r="A7" s="10">
        <v>1835</v>
      </c>
      <c r="B7" s="12">
        <f t="shared" si="0"/>
        <v>236640</v>
      </c>
      <c r="D7" s="10" t="s">
        <v>28</v>
      </c>
      <c r="E7" s="11" t="s">
        <v>27</v>
      </c>
      <c r="F7" s="11">
        <v>10800</v>
      </c>
      <c r="H7" s="16">
        <v>1860</v>
      </c>
      <c r="I7" s="11">
        <f>SUM(F11)</f>
        <v>10800</v>
      </c>
    </row>
    <row r="8" spans="1:9">
      <c r="A8" s="10">
        <v>1836</v>
      </c>
      <c r="B8" s="12">
        <f t="shared" si="0"/>
        <v>235008</v>
      </c>
      <c r="D8" s="10" t="s">
        <v>29</v>
      </c>
      <c r="E8" s="11" t="s">
        <v>30</v>
      </c>
      <c r="F8" s="11">
        <v>129600</v>
      </c>
      <c r="H8" s="16">
        <v>1870</v>
      </c>
      <c r="I8" s="11">
        <f>SUM(F12,F13)</f>
        <v>331200</v>
      </c>
    </row>
    <row r="9" spans="1:9">
      <c r="A9" s="10">
        <v>1837</v>
      </c>
      <c r="B9" s="12">
        <f t="shared" si="0"/>
        <v>233376</v>
      </c>
      <c r="D9" s="10" t="s">
        <v>31</v>
      </c>
      <c r="E9" s="11" t="s">
        <v>32</v>
      </c>
      <c r="F9" s="11">
        <v>129600</v>
      </c>
      <c r="H9" s="16">
        <v>1872</v>
      </c>
      <c r="I9" s="11">
        <f>SUM(F14)</f>
        <v>14400</v>
      </c>
    </row>
    <row r="10" spans="1:9">
      <c r="A10" s="10">
        <v>1838</v>
      </c>
      <c r="B10" s="12">
        <f t="shared" si="0"/>
        <v>231744</v>
      </c>
      <c r="D10" s="10" t="s">
        <v>33</v>
      </c>
      <c r="E10" s="11" t="s">
        <v>34</v>
      </c>
      <c r="F10" s="11">
        <v>21600</v>
      </c>
      <c r="H10" s="16">
        <v>1875</v>
      </c>
      <c r="I10" s="11">
        <f>SUM(F15)</f>
        <v>14400</v>
      </c>
    </row>
    <row r="11" spans="1:9">
      <c r="A11" s="10">
        <v>1839</v>
      </c>
      <c r="B11" s="12">
        <f t="shared" si="0"/>
        <v>230112</v>
      </c>
      <c r="D11" s="10" t="s">
        <v>35</v>
      </c>
      <c r="E11" s="11" t="s">
        <v>27</v>
      </c>
      <c r="F11" s="11">
        <v>10800</v>
      </c>
      <c r="H11" s="16">
        <v>1880</v>
      </c>
      <c r="I11" s="11">
        <f>SUM(F16,F17)</f>
        <v>50400</v>
      </c>
    </row>
    <row r="12" spans="1:9">
      <c r="A12" s="10">
        <v>1840</v>
      </c>
      <c r="B12" s="12">
        <f t="shared" ref="B12:B19" si="1">$I$2*(1-(A12-1830)*2/300)+$I$3*(1-(A12-1840)*2/300)</f>
        <v>260880</v>
      </c>
      <c r="D12" s="10" t="s">
        <v>36</v>
      </c>
      <c r="E12" s="11" t="s">
        <v>37</v>
      </c>
      <c r="F12" s="11">
        <v>187200</v>
      </c>
      <c r="H12" s="16">
        <v>1890</v>
      </c>
      <c r="I12" s="11">
        <f>SUM(F18)</f>
        <v>54000</v>
      </c>
    </row>
    <row r="13" spans="1:9">
      <c r="A13" s="10">
        <v>1841</v>
      </c>
      <c r="B13" s="12">
        <f t="shared" si="1"/>
        <v>259032</v>
      </c>
      <c r="D13" s="10" t="s">
        <v>38</v>
      </c>
      <c r="E13" s="11" t="s">
        <v>39</v>
      </c>
      <c r="F13" s="11">
        <v>144000</v>
      </c>
      <c r="H13" s="16">
        <v>1895</v>
      </c>
      <c r="I13" s="11">
        <f>SUM(F19)</f>
        <v>18000</v>
      </c>
    </row>
    <row r="14" spans="1:9">
      <c r="A14" s="10">
        <v>1842</v>
      </c>
      <c r="B14" s="12">
        <f t="shared" si="1"/>
        <v>257184</v>
      </c>
      <c r="D14" s="10" t="s">
        <v>40</v>
      </c>
      <c r="E14" s="11" t="s">
        <v>41</v>
      </c>
      <c r="F14" s="11">
        <v>14400</v>
      </c>
      <c r="H14" s="16">
        <v>1898</v>
      </c>
      <c r="I14" s="11">
        <f>SUM(F20)</f>
        <v>18000</v>
      </c>
    </row>
    <row r="15" spans="1:9">
      <c r="A15" s="10">
        <v>1843</v>
      </c>
      <c r="B15" s="12">
        <f t="shared" si="1"/>
        <v>255336</v>
      </c>
      <c r="D15" s="10" t="s">
        <v>42</v>
      </c>
      <c r="E15" s="11" t="s">
        <v>41</v>
      </c>
      <c r="F15" s="11">
        <v>14400</v>
      </c>
      <c r="H15" s="16">
        <v>1900</v>
      </c>
      <c r="I15" s="11">
        <f>SUM(F21,F22)</f>
        <v>255600</v>
      </c>
    </row>
    <row r="16" spans="1:9">
      <c r="A16" s="10">
        <v>1844</v>
      </c>
      <c r="B16" s="12">
        <f t="shared" si="1"/>
        <v>253488</v>
      </c>
      <c r="D16" s="10" t="s">
        <v>43</v>
      </c>
      <c r="E16" s="11" t="s">
        <v>41</v>
      </c>
      <c r="F16" s="11">
        <v>14400</v>
      </c>
      <c r="H16" s="16">
        <v>1905</v>
      </c>
      <c r="I16" s="11">
        <f>SUM(F23)</f>
        <v>21600</v>
      </c>
    </row>
    <row r="17" spans="1:9">
      <c r="A17" s="10">
        <v>1845</v>
      </c>
      <c r="B17" s="12">
        <f t="shared" si="1"/>
        <v>251640</v>
      </c>
      <c r="D17" s="10" t="s">
        <v>44</v>
      </c>
      <c r="E17" s="11" t="s">
        <v>45</v>
      </c>
      <c r="F17" s="11">
        <v>36000</v>
      </c>
      <c r="H17" s="16">
        <v>1910</v>
      </c>
      <c r="I17" s="11">
        <f>SUM(F24)</f>
        <v>21600</v>
      </c>
    </row>
    <row r="18" spans="1:9">
      <c r="A18" s="10">
        <v>1846</v>
      </c>
      <c r="B18" s="12">
        <f t="shared" si="1"/>
        <v>249792</v>
      </c>
      <c r="D18" s="10" t="s">
        <v>46</v>
      </c>
      <c r="E18" s="11" t="s">
        <v>47</v>
      </c>
      <c r="F18" s="11">
        <v>54000</v>
      </c>
      <c r="H18" s="16">
        <v>1914</v>
      </c>
      <c r="I18" s="11">
        <f>SUM(F25)</f>
        <v>43200</v>
      </c>
    </row>
    <row r="19" spans="1:9">
      <c r="A19" s="10">
        <v>1847</v>
      </c>
      <c r="B19" s="12">
        <f t="shared" si="1"/>
        <v>247944</v>
      </c>
      <c r="D19" s="10" t="s">
        <v>48</v>
      </c>
      <c r="E19" s="10" t="s">
        <v>49</v>
      </c>
      <c r="F19" s="11">
        <v>18000</v>
      </c>
      <c r="H19" s="16">
        <v>1915</v>
      </c>
      <c r="I19" s="11">
        <f>SUM(F26)</f>
        <v>21600</v>
      </c>
    </row>
    <row r="20" spans="1:9">
      <c r="A20" s="10">
        <v>1848</v>
      </c>
      <c r="B20" s="12">
        <f>$I$2*(1-(A20-1830)*2/300)+$I$3*(1-(A20-1840)*2/300)+$I$4*(1-(A20-1848)*2/300)</f>
        <v>256896</v>
      </c>
      <c r="D20" s="10" t="s">
        <v>50</v>
      </c>
      <c r="E20" s="10" t="s">
        <v>49</v>
      </c>
      <c r="F20" s="11">
        <v>18000</v>
      </c>
      <c r="H20" s="16">
        <v>1919</v>
      </c>
      <c r="I20" s="11">
        <f>SUM(F27)</f>
        <v>194400</v>
      </c>
    </row>
    <row r="21" spans="1:9">
      <c r="A21" s="10">
        <v>1849</v>
      </c>
      <c r="B21" s="12">
        <f>$I$2*(1-(A21-1830)*2/300)+$I$3*(1-(A21-1840)*2/300)+$I$4*(1-(A21-1848)*2/300)</f>
        <v>254976</v>
      </c>
      <c r="D21" s="10" t="s">
        <v>51</v>
      </c>
      <c r="E21" s="11" t="s">
        <v>52</v>
      </c>
      <c r="F21" s="11">
        <v>18000</v>
      </c>
      <c r="H21" s="10" t="s">
        <v>53</v>
      </c>
      <c r="I21" s="11">
        <f>SUM(I2:I20)</f>
        <v>1638000</v>
      </c>
    </row>
    <row r="22" spans="1:9">
      <c r="A22" s="10">
        <v>1850</v>
      </c>
      <c r="B22" s="12">
        <f>$I$2*(1-(A22-1830)*2/300)+$I$3*(1-(A22-1840)*2/300)+$I$4*(1-(A22-1848)*2/300)+$I$5*(1-(A22-1850)*2/300)</f>
        <v>512256</v>
      </c>
      <c r="D22" s="10" t="s">
        <v>54</v>
      </c>
      <c r="E22" s="11" t="s">
        <v>55</v>
      </c>
      <c r="F22" s="11">
        <v>237600</v>
      </c>
    </row>
    <row r="23" spans="1:9">
      <c r="A23" s="10">
        <v>1851</v>
      </c>
      <c r="B23" s="12">
        <f>$I$2*(1-(A23-1830)*2/300)+$I$3*(1-(A23-1840)*2/300)+$I$4*(1-(A23-1848)*2/300)+$I$5*(1-(A23-1850)*2/300)</f>
        <v>508608</v>
      </c>
      <c r="D23" s="10" t="s">
        <v>56</v>
      </c>
      <c r="E23" s="11" t="s">
        <v>57</v>
      </c>
      <c r="F23" s="11">
        <v>21600</v>
      </c>
      <c r="H23" s="6" t="s">
        <v>58</v>
      </c>
      <c r="I23" s="6" t="s">
        <v>59</v>
      </c>
    </row>
    <row r="24" spans="1:9">
      <c r="A24" s="10">
        <v>1852</v>
      </c>
      <c r="B24" s="12">
        <f>$I$2*(1-(A24-1830)*2/300)+$I$3*(1-(A24-1840)*2/300)+$I$4*(1-(A24-1848)*2/300)+$I$5*(1-(A24-1850)*2/300)</f>
        <v>504960</v>
      </c>
      <c r="D24" s="10" t="s">
        <v>60</v>
      </c>
      <c r="E24" s="11" t="s">
        <v>57</v>
      </c>
      <c r="F24" s="11">
        <v>21600</v>
      </c>
    </row>
    <row r="25" spans="1:9">
      <c r="A25" s="10">
        <v>1853</v>
      </c>
      <c r="B25" s="12">
        <f>$I$2*(1-(A25-1830)*2/300)+$I$3*(1-(A25-1840)*2/300)+$I$4*(1-(A25-1848)*2/300)+$I$5*(1-(A25-1850)*2/300)</f>
        <v>501312</v>
      </c>
      <c r="D25" s="10" t="s">
        <v>61</v>
      </c>
      <c r="E25" s="11" t="s">
        <v>62</v>
      </c>
      <c r="F25" s="11">
        <v>43200</v>
      </c>
    </row>
    <row r="26" spans="1:9">
      <c r="A26" s="10">
        <v>1854</v>
      </c>
      <c r="B26" s="12">
        <f>$I$2*(1-(A26-1830)*2/300)+$I$3*(1-(A26-1840)*2/300)+$I$4*(1-(A26-1848)*2/300)+$I$5*(1-(A26-1850)*2/300)</f>
        <v>497664</v>
      </c>
      <c r="D26" s="10" t="s">
        <v>63</v>
      </c>
      <c r="E26" s="11" t="s">
        <v>57</v>
      </c>
      <c r="F26" s="11">
        <v>21600</v>
      </c>
    </row>
    <row r="27" spans="1:9">
      <c r="A27" s="10">
        <v>1855</v>
      </c>
      <c r="B27" s="12">
        <f>$I$2*(1-(A27-1830)*2/300)+$I$3*(1-(A27-1840)*2/300)+$I$4*(1-(A27-1848)*2/300)+$I$5*(1-(A27-1850)*2/300)+$I$6*(1-(A27-1855)*2/300)</f>
        <v>515616</v>
      </c>
      <c r="D27" s="10" t="s">
        <v>64</v>
      </c>
      <c r="E27" s="11" t="s">
        <v>65</v>
      </c>
      <c r="F27" s="11">
        <v>194400</v>
      </c>
    </row>
    <row r="28" spans="1:9">
      <c r="A28" s="10">
        <v>1856</v>
      </c>
      <c r="B28" s="12">
        <f>$I$2*(1-(A28-1830)*2/300)+$I$3*(1-(A28-1840)*2/300)+$I$4*(1-(A28-1848)*2/300)+$I$5*(1-(A28-1850)*2/300)+$I$6*(1-(A28-1855)*2/300)</f>
        <v>511824</v>
      </c>
    </row>
    <row r="29" spans="1:9">
      <c r="A29" s="10">
        <v>1857</v>
      </c>
      <c r="B29" s="12">
        <f>$I$2*(1-(A29-1830)*2/300)+$I$3*(1-(A29-1840)*2/300)+$I$4*(1-(A29-1848)*2/300)+$I$5*(1-(A29-1850)*2/300)+$I$6*(1-(A29-1855)*2/300)</f>
        <v>508032</v>
      </c>
    </row>
    <row r="30" spans="1:9">
      <c r="A30" s="10">
        <v>1858</v>
      </c>
      <c r="B30" s="12">
        <f>$I$2*(1-(A30-1830)*2/300)+$I$3*(1-(A30-1840)*2/300)+$I$4*(1-(A30-1848)*2/300)+$I$5*(1-(A30-1850)*2/300)+$I$6*(1-(A30-1855)*2/300)</f>
        <v>504240</v>
      </c>
    </row>
    <row r="31" spans="1:9">
      <c r="A31" s="10">
        <v>1859</v>
      </c>
      <c r="B31" s="12">
        <f>$I$2*(1-(A31-1830)*2/300)+$I$3*(1-(A31-1840)*2/300)+$I$4*(1-(A31-1848)*2/300)+$I$5*(1-(A31-1850)*2/300)+$I$6*(1-(A31-1855)*2/300)</f>
        <v>500448</v>
      </c>
    </row>
    <row r="32" spans="1:9">
      <c r="A32" s="10">
        <v>1860</v>
      </c>
      <c r="B32" s="12">
        <f t="shared" ref="B32:B41" si="2">$I$2*(1-(A32-1830)*2/300)+$I$3*(1-(A32-1840)*2/300)+$I$4*(1-(A32-1848)*2/300)+$I$5*(1-(A32-1850)*2/300)+$I$6*(1-(A32-1855)*2/300)+$I$2*(1-(A32-1860)*2/300)</f>
        <v>741456</v>
      </c>
    </row>
    <row r="33" spans="1:2">
      <c r="A33" s="10">
        <v>1861</v>
      </c>
      <c r="B33" s="12">
        <f t="shared" si="2"/>
        <v>736032</v>
      </c>
    </row>
    <row r="34" spans="1:2">
      <c r="A34" s="10">
        <v>1862</v>
      </c>
      <c r="B34" s="12">
        <f t="shared" si="2"/>
        <v>730608</v>
      </c>
    </row>
    <row r="35" spans="1:2">
      <c r="A35" s="10">
        <v>1863</v>
      </c>
      <c r="B35" s="12">
        <f t="shared" si="2"/>
        <v>725184</v>
      </c>
    </row>
    <row r="36" spans="1:2">
      <c r="A36" s="10">
        <v>1864</v>
      </c>
      <c r="B36" s="12">
        <f t="shared" si="2"/>
        <v>719760</v>
      </c>
    </row>
    <row r="37" spans="1:2">
      <c r="A37" s="10">
        <v>1865</v>
      </c>
      <c r="B37" s="12">
        <f t="shared" si="2"/>
        <v>714336</v>
      </c>
    </row>
    <row r="38" spans="1:2">
      <c r="A38" s="10">
        <v>1866</v>
      </c>
      <c r="B38" s="12">
        <f t="shared" si="2"/>
        <v>708912</v>
      </c>
    </row>
    <row r="39" spans="1:2">
      <c r="A39" s="10">
        <v>1867</v>
      </c>
      <c r="B39" s="12">
        <f t="shared" si="2"/>
        <v>703488</v>
      </c>
    </row>
    <row r="40" spans="1:2">
      <c r="A40" s="10">
        <v>1868</v>
      </c>
      <c r="B40" s="12">
        <f t="shared" si="2"/>
        <v>698064</v>
      </c>
    </row>
    <row r="41" spans="1:2">
      <c r="A41" s="10">
        <v>1869</v>
      </c>
      <c r="B41" s="12">
        <f t="shared" si="2"/>
        <v>692640</v>
      </c>
    </row>
    <row r="42" spans="1:2">
      <c r="A42" s="10">
        <v>1870</v>
      </c>
      <c r="B42" s="12">
        <f>$I$2*(1-(A42-1830)*2/300)+$I$3*(1-(A42-1840)*2/300)+$I$4*(1-(A42-1848)*2/300)+$I$5*(1-(A42-1850)*2/300)+$I$6*(1-(A42-1855)*2/300)+$I$7*(1-(A42-1860)*2/300)+$I$8*(1-(A42-1870)*2/300)</f>
        <v>800016</v>
      </c>
    </row>
    <row r="43" spans="1:2">
      <c r="A43" s="10">
        <v>1871</v>
      </c>
      <c r="B43" s="12">
        <f>$I$2*(1-(A43-1830)*2/300)+$I$3*(1-(A43-1840)*2/300)+$I$4*(1-(A43-1848)*2/300)+$I$5*(1-(A43-1850)*2/300)+$I$6*(1-(A43-1855)*2/300)+$I$7*(1-(A43-1860)*2/300)+$I$8*(1-(A43-1870)*2/300)</f>
        <v>793944</v>
      </c>
    </row>
    <row r="44" spans="1:2">
      <c r="A44" s="10">
        <v>1872</v>
      </c>
      <c r="B44" s="12">
        <f>$I$2*(1-(A44-1830)*2/300)+$I$3*(1-(A44-1840)*2/300)+$I$4*(1-(A44-1848)*2/300)+$I$5*(1-(A44-1850)*2/300)+$I$6*(1-(A44-1855)*2/300)+$I$7*(1-(A44-1860)*2/300)+$I$8*(1-(A44-1870)*2/300)+$I$9*(1-(A44-1872)*2/300)</f>
        <v>802272</v>
      </c>
    </row>
    <row r="45" spans="1:2">
      <c r="A45" s="10">
        <v>1873</v>
      </c>
      <c r="B45" s="12">
        <f>$I$2*(1-(A45-1830)*2/300)+$I$3*(1-(A45-1840)*2/300)+$I$4*(1-(A45-1848)*2/300)+$I$5*(1-(A45-1850)*2/300)+$I$6*(1-(A45-1855)*2/300)+$I$7*(1-(A45-1860)*2/300)+$I$8*(1-(A45-1870)*2/300)+$I$9*(1-(A45-1872)*2/300)</f>
        <v>796104</v>
      </c>
    </row>
    <row r="46" spans="1:2">
      <c r="A46" s="10">
        <v>1874</v>
      </c>
      <c r="B46" s="12">
        <f>$I$2*(1-(A46-1830)*2/300)+$I$3*(1-(A46-1840)*2/300)+$I$4*(1-(A46-1848)*2/300)+$I$5*(1-(A46-1850)*2/300)+$I$6*(1-(A46-1855)*2/300)+$I$7*(1-(A46-1860)*2/300)+$I$8*(1-(A46-1870)*2/300)+$I$9*(1-(A46-1872)*2/300)</f>
        <v>789936</v>
      </c>
    </row>
    <row r="47" spans="1:2">
      <c r="A47" s="10">
        <v>1875</v>
      </c>
      <c r="B47" s="12">
        <f>$I$2*(1-(A47-1830)*2/300)+$I$3*(1-(A47-1840)*2/300)+$I$4*(1-(A47-1848)*2/300)+$I$5*(1-(A47-1850)*2/300)+$I$6*(1-(A47-1855)*2/300)+$I$7*(1-(A47-1860)*2/300)+$I$8*(1-(A47-1870)*2/300)+$I$9*(1-(A47-1872)*2/300)+$I$10*(1-(A47-1875)*2/300)</f>
        <v>798168</v>
      </c>
    </row>
    <row r="48" spans="1:2">
      <c r="A48" s="10">
        <v>1876</v>
      </c>
      <c r="B48" s="12">
        <f>$I$2*(1-(A48-1830)*2/300)+$I$3*(1-(A48-1840)*2/300)+$I$4*(1-(A48-1848)*2/300)+$I$5*(1-(A48-1850)*2/300)+$I$6*(1-(A48-1855)*2/300)+$I$7*(1-(A48-1860)*2/300)+$I$8*(1-(A48-1870)*2/300)+$I$9*(1-(A48-1872)*2/300)+$I$10*(1-(A48-1875)*2/300)</f>
        <v>791904</v>
      </c>
    </row>
    <row r="49" spans="1:2">
      <c r="A49" s="10">
        <v>1877</v>
      </c>
      <c r="B49" s="12">
        <f>$I$2*(1-(A49-1830)*2/300)+$I$3*(1-(A49-1840)*2/300)+$I$4*(1-(A49-1848)*2/300)+$I$5*(1-(A49-1850)*2/300)+$I$6*(1-(A49-1855)*2/300)+$I$7*(1-(A49-1860)*2/300)+$I$8*(1-(A49-1870)*2/300)+$I$9*(1-(A49-1872)*2/300)+$I$10*(1-(A49-1875)*2/300)</f>
        <v>785640</v>
      </c>
    </row>
    <row r="50" spans="1:2">
      <c r="A50" s="10">
        <v>1878</v>
      </c>
      <c r="B50" s="12">
        <f>$I$2*(1-(A50-1830)*2/300)+$I$3*(1-(A50-1840)*2/300)+$I$4*(1-(A50-1848)*2/300)+$I$5*(1-(A50-1850)*2/300)+$I$6*(1-(A50-1855)*2/300)+$I$7*(1-(A50-1860)*2/300)+$I$8*(1-(A50-1870)*2/300)+$I$9*(1-(A50-1872)*2/300)+$I$10*(1-(A50-1875)*2/300)</f>
        <v>779376</v>
      </c>
    </row>
    <row r="51" spans="1:2">
      <c r="A51" s="10">
        <v>1879</v>
      </c>
      <c r="B51" s="12">
        <f>$I$2*(1-(A51-1830)*2/300)+$I$3*(1-(A51-1840)*2/300)+$I$4*(1-(A51-1848)*2/300)+$I$5*(1-(A51-1850)*2/300)+$I$6*(1-(A51-1855)*2/300)+$I$7*(1-(A51-1860)*2/300)+$I$8*(1-(A51-1870)*2/300)+$I$9*(1-(A51-1872)*2/300)+$I$10*(1-(A51-1875)*2/300)</f>
        <v>773112</v>
      </c>
    </row>
    <row r="52" spans="1:2">
      <c r="A52" s="10">
        <v>1880</v>
      </c>
      <c r="B52" s="12">
        <f t="shared" ref="B52:B61" si="3">$I$2*(1-(A52-1830)*2/300)+$I$3*(1-(A52-1840)*2/300)+$I$4*(1-(A52-1848)*2/300)+$I$5*(1-(A52-1850)*2/300)+$I$6*(1-(A52-1855)*2/300)+$I$7*(1-(A52-1860)*2/300)+$I$8*(1-(A52-1870)*2/300)+$I$9*(1-(A52-1872)*2/300)+$I$10*(1-(A52-1875)*2/300)+$I$11*(1-(A52-1880)*2/300)</f>
        <v>817248</v>
      </c>
    </row>
    <row r="53" spans="1:2">
      <c r="A53" s="10">
        <v>1881</v>
      </c>
      <c r="B53" s="12">
        <f t="shared" si="3"/>
        <v>810648</v>
      </c>
    </row>
    <row r="54" spans="1:2">
      <c r="A54" s="10">
        <v>1882</v>
      </c>
      <c r="B54" s="12">
        <f t="shared" si="3"/>
        <v>804048</v>
      </c>
    </row>
    <row r="55" spans="1:2">
      <c r="A55" s="10">
        <v>1883</v>
      </c>
      <c r="B55" s="12">
        <f t="shared" si="3"/>
        <v>797448</v>
      </c>
    </row>
    <row r="56" spans="1:2">
      <c r="A56" s="10">
        <v>1884</v>
      </c>
      <c r="B56" s="12">
        <f t="shared" si="3"/>
        <v>790848</v>
      </c>
    </row>
    <row r="57" spans="1:2">
      <c r="A57" s="10">
        <v>1885</v>
      </c>
      <c r="B57" s="12">
        <f t="shared" si="3"/>
        <v>784248</v>
      </c>
    </row>
    <row r="58" spans="1:2">
      <c r="A58" s="10">
        <v>1886</v>
      </c>
      <c r="B58" s="12">
        <f t="shared" si="3"/>
        <v>777648</v>
      </c>
    </row>
    <row r="59" spans="1:2">
      <c r="A59" s="10">
        <v>1887</v>
      </c>
      <c r="B59" s="12">
        <f t="shared" si="3"/>
        <v>771048</v>
      </c>
    </row>
    <row r="60" spans="1:2">
      <c r="A60" s="10">
        <v>1888</v>
      </c>
      <c r="B60" s="12">
        <f t="shared" si="3"/>
        <v>764448</v>
      </c>
    </row>
    <row r="61" spans="1:2">
      <c r="A61" s="10">
        <v>1889</v>
      </c>
      <c r="B61" s="12">
        <f t="shared" si="3"/>
        <v>757848</v>
      </c>
    </row>
    <row r="62" spans="1:2">
      <c r="A62" s="10">
        <v>1890</v>
      </c>
      <c r="B62" s="12">
        <f>$I$2*(1-(A62-1830)*2/300)+$I$3*(1-(A62-1840)*2/300)+$I$4*(1-(A62-1848)*2/300)+$I$5*(1-(A62-1850)*2/300)+$I$6*(1-(A62-1855)*2/300)+$I$7*(1-(A62-1860)*2/300)+$I$8*(1-(A62-1870)*2/300)+$I$9*(1-(A62-1872)*2/300)+$I$10*(1-(A62-1875)*2/300)+$I$11*(1-(A62-1880)*2/300)+$I$12*(1-(A62-1890)*2/300)</f>
        <v>805248</v>
      </c>
    </row>
    <row r="63" spans="1:2">
      <c r="A63" s="10">
        <v>1891</v>
      </c>
      <c r="B63" s="12">
        <f>$I$2*(1-(A63-1830)*2/300)+$I$3*(1-(A63-1840)*2/300)+$I$4*(1-(A63-1848)*2/300)+$I$5*(1-(A63-1850)*2/300)+$I$6*(1-(A63-1855)*2/300)+$I$7*(1-(A63-1860)*2/300)+$I$8*(1-(A63-1870)*2/300)+$I$9*(1-(A63-1872)*2/300)+$I$10*(1-(A63-1875)*2/300)+$I$11*(1-(A63-1880)*2/300)+$I$12*(1-(A63-1890)*2/300)</f>
        <v>798288</v>
      </c>
    </row>
    <row r="64" spans="1:2">
      <c r="A64" s="10">
        <v>1892</v>
      </c>
      <c r="B64" s="12">
        <f>$I$2*(1-(A64-1830)*2/300)+$I$3*(1-(A64-1840)*2/300)+$I$4*(1-(A64-1848)*2/300)+$I$5*(1-(A64-1850)*2/300)+$I$6*(1-(A64-1855)*2/300)+$I$7*(1-(A64-1860)*2/300)+$I$8*(1-(A64-1870)*2/300)+$I$9*(1-(A64-1872)*2/300)+$I$10*(1-(A64-1875)*2/300)+$I$11*(1-(A64-1880)*2/300)+$I$12*(1-(A64-1890)*2/300)</f>
        <v>791328</v>
      </c>
    </row>
    <row r="65" spans="1:2">
      <c r="A65" s="10">
        <v>1893</v>
      </c>
      <c r="B65" s="12">
        <f>$I$2*(1-(A65-1830)*2/300)+$I$3*(1-(A65-1840)*2/300)+$I$4*(1-(A65-1848)*2/300)+$I$5*(1-(A65-1850)*2/300)+$I$6*(1-(A65-1855)*2/300)+$I$7*(1-(A65-1860)*2/300)+$I$8*(1-(A65-1870)*2/300)+$I$9*(1-(A65-1872)*2/300)+$I$10*(1-(A65-1875)*2/300)+$I$11*(1-(A65-1880)*2/300)+$I$12*(1-(A65-1890)*2/300)</f>
        <v>784368</v>
      </c>
    </row>
    <row r="66" spans="1:2">
      <c r="A66" s="10">
        <v>1894</v>
      </c>
      <c r="B66" s="12">
        <f>$I$2*(1-(A66-1830)*2/300)+$I$3*(1-(A66-1840)*2/300)+$I$4*(1-(A66-1848)*2/300)+$I$5*(1-(A66-1850)*2/300)+$I$6*(1-(A66-1855)*2/300)+$I$7*(1-(A66-1860)*2/300)+$I$8*(1-(A66-1870)*2/300)+$I$9*(1-(A66-1872)*2/300)+$I$10*(1-(A66-1875)*2/300)+$I$11*(1-(A66-1880)*2/300)+$I$12*(1-(A66-1890)*2/300)</f>
        <v>777408</v>
      </c>
    </row>
    <row r="67" spans="1:2">
      <c r="A67" s="10">
        <v>1895</v>
      </c>
      <c r="B67" s="12">
        <f>$I$2*(1-(A67-1830)*2/300)+$I$3*(1-(A67-1840)*2/300)+$I$4*(1-(A67-1848)*2/300)+$I$5*(1-(A67-1850)*2/300)+$I$6*(1-(A67-1855)*2/300)+$I$7*(1-(A67-1860)*2/300)+$I$8*(1-(A67-1870)*2/300)+$I$9*(1-(A67-1872)*2/300)+$I$10*(1-(A67-1875)*2/300)+$I$11*(1-(A67-1880)*2/300)+$I$12*(1-(A67-1890)*2/300)+$I$13*(1-(A67-1895)*2/300)</f>
        <v>788448</v>
      </c>
    </row>
    <row r="68" spans="1:2">
      <c r="A68" s="10">
        <v>1896</v>
      </c>
      <c r="B68" s="12">
        <f>$I$2*(1-(A68-1830)*2/300)+$I$3*(1-(A68-1840)*2/300)+$I$4*(1-(A68-1848)*2/300)+$I$5*(1-(A68-1850)*2/300)+$I$6*(1-(A68-1855)*2/300)+$I$7*(1-(A68-1860)*2/300)+$I$8*(1-(A68-1870)*2/300)+$I$9*(1-(A68-1872)*2/300)+$I$10*(1-(A68-1875)*2/300)+$I$11*(1-(A68-1880)*2/300)+$I$12*(1-(A68-1890)*2/300)+$I$13*(1-(A68-1895)*2/300)</f>
        <v>781368</v>
      </c>
    </row>
    <row r="69" spans="1:2">
      <c r="A69" s="10">
        <v>1897</v>
      </c>
      <c r="B69" s="12">
        <f>$I$2*(1-(A69-1830)*2/300)+$I$3*(1-(A69-1840)*2/300)+$I$4*(1-(A69-1848)*2/300)+$I$5*(1-(A69-1850)*2/300)+$I$6*(1-(A69-1855)*2/300)+$I$7*(1-(A69-1860)*2/300)+$I$8*(1-(A69-1870)*2/300)+$I$9*(1-(A69-1872)*2/300)+$I$10*(1-(A69-1875)*2/300)+$I$11*(1-(A69-1880)*2/300)+$I$12*(1-(A69-1890)*2/300)+$I$13*(1-(A69-1895)*2/300)</f>
        <v>774288</v>
      </c>
    </row>
    <row r="70" spans="1:2">
      <c r="A70" s="10">
        <v>1898</v>
      </c>
      <c r="B70" s="12">
        <f>$I$2*(1-(A70-1830)*2/300)+$I$3*(1-(A70-1840)*2/300)+$I$4*(1-(A70-1848)*2/300)+$I$5*(1-(A70-1850)*2/300)+$I$6*(1-(A70-1855)*2/300)+$I$7*(1-(A70-1860)*2/300)+$I$8*(1-(A70-1870)*2/300)+$I$9*(1-(A70-1872)*2/300)+$I$10*(1-(A70-1875)*2/300)+$I$11*(1-(A70-1880)*2/300)+$I$12*(1-(A70-1890)*2/300)+$I$13*(1-(A70-1895)*2/300)+$I$14*(1-(A70-1898)*2/300)</f>
        <v>785208</v>
      </c>
    </row>
    <row r="71" spans="1:2">
      <c r="A71" s="10">
        <v>1899</v>
      </c>
      <c r="B71" s="12">
        <f>$I$2*(1-(A71-1830)*2/300)+$I$3*(1-(A71-1840)*2/300)+$I$4*(1-(A71-1848)*2/300)+$I$5*(1-(A71-1850)*2/300)+$I$6*(1-(A71-1855)*2/300)+$I$7*(1-(A71-1860)*2/300)+$I$8*(1-(A71-1870)*2/300)+$I$9*(1-(A71-1872)*2/300)+$I$10*(1-(A71-1875)*2/300)+$I$11*(1-(A71-1880)*2/300)+$I$12*(1-(A71-1890)*2/300)+$I$13*(1-(A71-1895)*2/300)+$I$14*(1-(A71-1898)*2/300)</f>
        <v>778008</v>
      </c>
    </row>
    <row r="72" spans="1:2">
      <c r="A72" s="10">
        <v>1900</v>
      </c>
      <c r="B72" s="12">
        <f>$I$2*(1-(A72-1830)*2/300)+$I$3*(1-(A72-1840)*2/300)+$I$4*(1-(A72-1848)*2/300)+$I$5*(1-(A72-1850)*2/300)+$I$6*(1-(A72-1855)*2/300)+$I$7*(1-(A72-1860)*2/300)+$I$8*(1-(A72-1870)*2/300)+$I$9*(1-(A72-1872)*2/300)+$I$10*(1-(A72-1875)*2/300)+$I$11*(1-(A72-1880)*2/300)+$I$12*(1-(A72-1890)*2/300)+$I$13*(1-(A72-1895)*2/300)+$I$14*(1-(A72-1898)*2/300)+$I$15*(1-(A72-1900)*2/300)</f>
        <v>1026408</v>
      </c>
    </row>
    <row r="73" spans="1:2">
      <c r="A73" s="10">
        <v>1901</v>
      </c>
      <c r="B73" s="12">
        <f>$I$2*(1-(A73-1830)*2/300)+$I$3*(1-(A73-1840)*2/300)+$I$4*(1-(A73-1848)*2/300)+$I$5*(1-(A73-1850)*2/300)+$I$6*(1-(A73-1855)*2/300)+$I$7*(1-(A73-1860)*2/300)+$I$8*(1-(A73-1870)*2/300)+$I$9*(1-(A73-1872)*2/300)+$I$10*(1-(A73-1875)*2/300)+$I$11*(1-(A73-1880)*2/300)+$I$12*(1-(A73-1890)*2/300)+$I$13*(1-(A73-1895)*2/300)+$I$14*(1-(A73-1898)*2/300)+$I$15*(1-(A73-1900)*2/300)</f>
        <v>1017504</v>
      </c>
    </row>
    <row r="74" spans="1:2">
      <c r="A74" s="10">
        <v>1902</v>
      </c>
      <c r="B74" s="12">
        <f>$I$2*(1-(A74-1830)*2/300)+$I$3*(1-(A74-1840)*2/300)+$I$4*(1-(A74-1848)*2/300)+$I$5*(1-(A74-1850)*2/300)+$I$6*(1-(A74-1855)*2/300)+$I$7*(1-(A74-1860)*2/300)+$I$8*(1-(A74-1870)*2/300)+$I$9*(1-(A74-1872)*2/300)+$I$10*(1-(A74-1875)*2/300)+$I$11*(1-(A74-1880)*2/300)+$I$12*(1-(A74-1890)*2/300)+$I$13*(1-(A74-1895)*2/300)+$I$14*(1-(A74-1898)*2/300)+$I$15*(1-(A74-1900)*2/300)</f>
        <v>1008600</v>
      </c>
    </row>
    <row r="75" spans="1:2">
      <c r="A75" s="10">
        <v>1903</v>
      </c>
      <c r="B75" s="12">
        <f>$I$2*(1-(A75-1830)*2/300)+$I$3*(1-(A75-1840)*2/300)+$I$4*(1-(A75-1848)*2/300)+$I$5*(1-(A75-1850)*2/300)+$I$6*(1-(A75-1855)*2/300)+$I$7*(1-(A75-1860)*2/300)+$I$8*(1-(A75-1870)*2/300)+$I$9*(1-(A75-1872)*2/300)+$I$10*(1-(A75-1875)*2/300)+$I$11*(1-(A75-1880)*2/300)+$I$12*(1-(A75-1890)*2/300)+$I$13*(1-(A75-1895)*2/300)+$I$14*(1-(A75-1898)*2/300)+$I$15*(1-(A75-1900)*2/300)</f>
        <v>999696</v>
      </c>
    </row>
    <row r="76" spans="1:2">
      <c r="A76" s="10">
        <v>1904</v>
      </c>
      <c r="B76" s="12">
        <f>$I$2*(1-(A76-1830)*2/300)+$I$3*(1-(A76-1840)*2/300)+$I$4*(1-(A76-1848)*2/300)+$I$5*(1-(A76-1850)*2/300)+$I$6*(1-(A76-1855)*2/300)+$I$7*(1-(A76-1860)*2/300)+$I$8*(1-(A76-1870)*2/300)+$I$9*(1-(A76-1872)*2/300)+$I$10*(1-(A76-1875)*2/300)+$I$11*(1-(A76-1880)*2/300)+$I$12*(1-(A76-1890)*2/300)+$I$13*(1-(A76-1895)*2/300)+$I$14*(1-(A76-1898)*2/300)+$I$15*(1-(A76-1900)*2/300)</f>
        <v>990792</v>
      </c>
    </row>
    <row r="77" spans="1:2">
      <c r="A77" s="10">
        <v>1905</v>
      </c>
      <c r="B77" s="12">
        <f>$I$2*(1-(A77-1830)*2/300)+$I$3*(1-(A77-1840)*2/300)+$I$4*(1-(A77-1848)*2/300)+$I$5*(1-(A77-1850)*2/300)+$I$6*(1-(A77-1855)*2/300)+$I$7*(1-(A77-1860)*2/300)+$I$8*(1-(A77-1870)*2/300)+$I$9*(1-(A77-1872)*2/300)+$I$10*(1-(A77-1875)*2/300)+$I$11*(1-(A77-1880)*2/300)+$I$12*(1-(A77-1890)*2/300)+$I$13*(1-(A77-1895)*2/300)+$I$14*(1-(A77-1898)*2/300)+$I$15*(1-(A77-1900)*2/300)+$I$16*(1-(A77-1905)*2/300)</f>
        <v>1003488</v>
      </c>
    </row>
    <row r="78" spans="1:2">
      <c r="A78" s="10">
        <v>1906</v>
      </c>
      <c r="B78" s="12">
        <f>$I$2*(1-(A78-1830)*2/300)+$I$3*(1-(A78-1840)*2/300)+$I$4*(1-(A78-1848)*2/300)+$I$5*(1-(A78-1850)*2/300)+$I$6*(1-(A78-1855)*2/300)+$I$7*(1-(A78-1860)*2/300)+$I$8*(1-(A78-1870)*2/300)+$I$9*(1-(A78-1872)*2/300)+$I$10*(1-(A78-1875)*2/300)+$I$11*(1-(A78-1880)*2/300)+$I$12*(1-(A78-1890)*2/300)+$I$13*(1-(A78-1895)*2/300)+$I$14*(1-(A78-1898)*2/300)+$I$15*(1-(A78-1900)*2/300)+$I$16*(1-(A78-1905)*2/300)</f>
        <v>994440</v>
      </c>
    </row>
    <row r="79" spans="1:2">
      <c r="A79" s="10">
        <v>1907</v>
      </c>
      <c r="B79" s="12">
        <f>$I$2*(1-(A79-1830)*2/300)+$I$3*(1-(A79-1840)*2/300)+$I$4*(1-(A79-1848)*2/300)+$I$5*(1-(A79-1850)*2/300)+$I$6*(1-(A79-1855)*2/300)+$I$7*(1-(A79-1860)*2/300)+$I$8*(1-(A79-1870)*2/300)+$I$9*(1-(A79-1872)*2/300)+$I$10*(1-(A79-1875)*2/300)+$I$11*(1-(A79-1880)*2/300)+$I$12*(1-(A79-1890)*2/300)+$I$13*(1-(A79-1895)*2/300)+$I$14*(1-(A79-1898)*2/300)+$I$15*(1-(A79-1900)*2/300)+$I$16*(1-(A79-1905)*2/300)</f>
        <v>985392</v>
      </c>
    </row>
    <row r="80" spans="1:2">
      <c r="A80" s="10">
        <v>1908</v>
      </c>
      <c r="B80" s="12">
        <f>$I$2*(1-(A80-1830)*2/300)+$I$3*(1-(A80-1840)*2/300)+$I$4*(1-(A80-1848)*2/300)+$I$5*(1-(A80-1850)*2/300)+$I$6*(1-(A80-1855)*2/300)+$I$7*(1-(A80-1860)*2/300)+$I$8*(1-(A80-1870)*2/300)+$I$9*(1-(A80-1872)*2/300)+$I$10*(1-(A80-1875)*2/300)+$I$11*(1-(A80-1880)*2/300)+$I$12*(1-(A80-1890)*2/300)+$I$13*(1-(A80-1895)*2/300)+$I$14*(1-(A80-1898)*2/300)+$I$15*(1-(A80-1900)*2/300)+$I$16*(1-(A80-1905)*2/300)</f>
        <v>976344</v>
      </c>
    </row>
    <row r="81" spans="1:2">
      <c r="A81" s="10">
        <v>1909</v>
      </c>
      <c r="B81" s="12">
        <f>$I$2*(1-(A81-1830)*2/300)+$I$3*(1-(A81-1840)*2/300)+$I$4*(1-(A81-1848)*2/300)+$I$5*(1-(A81-1850)*2/300)+$I$6*(1-(A81-1855)*2/300)+$I$7*(1-(A81-1860)*2/300)+$I$8*(1-(A81-1870)*2/300)+$I$9*(1-(A81-1872)*2/300)+$I$10*(1-(A81-1875)*2/300)+$I$11*(1-(A81-1880)*2/300)+$I$12*(1-(A81-1890)*2/300)+$I$13*(1-(A81-1895)*2/300)+$I$14*(1-(A81-1898)*2/300)+$I$15*(1-(A81-1900)*2/300)+$I$16*(1-(A81-1905)*2/300)</f>
        <v>967296</v>
      </c>
    </row>
    <row r="82" spans="1:2">
      <c r="A82" s="10">
        <v>1910</v>
      </c>
      <c r="B82" s="12">
        <f>$I$2*(1-(A82-1830)*2/300)+$I$3*(1-(A82-1840)*2/300)+$I$4*(1-(A82-1848)*2/300)+$I$5*(1-(A82-1850)*2/300)+$I$6*(1-(A82-1855)*2/300)+$I$7*(1-(A82-1860)*2/300)+$I$8*(1-(A82-1870)*2/300)+$I$9*(1-(A82-1872)*2/300)+$I$10*(1-(A82-1875)*2/300)+$I$11*(1-(A82-1880)*2/300)+$I$12*(1-(A82-1890)*2/300)+$I$13*(1-(A82-1895)*2/300)+$I$14*(1-(A82-1898)*2/300)+$I$15*(1-(A82-1900)*2/300)+$I$16*(1-(A82-1905)*2/300)+$I$17*(1-(A82-1910)*2/300)</f>
        <v>979848</v>
      </c>
    </row>
    <row r="83" spans="1:2">
      <c r="A83" s="10">
        <v>1911</v>
      </c>
      <c r="B83" s="12">
        <f>$I$2*(1-(A83-1830)*2/300)+$I$3*(1-(A83-1840)*2/300)+$I$4*(1-(A83-1848)*2/300)+$I$5*(1-(A83-1850)*2/300)+$I$6*(1-(A83-1855)*2/300)+$I$7*(1-(A83-1860)*2/300)+$I$8*(1-(A83-1870)*2/300)+$I$9*(1-(A83-1872)*2/300)+$I$10*(1-(A83-1875)*2/300)+$I$11*(1-(A83-1880)*2/300)+$I$12*(1-(A83-1890)*2/300)+$I$13*(1-(A83-1895)*2/300)+$I$14*(1-(A83-1898)*2/300)+$I$15*(1-(A83-1900)*2/300)+$I$16*(1-(A83-1905)*2/300)+$I$17*(1-(A83-1910)*2/300)</f>
        <v>970656</v>
      </c>
    </row>
    <row r="84" spans="1:2">
      <c r="A84" s="10">
        <v>1912</v>
      </c>
      <c r="B84" s="12">
        <f>$I$2*(1-(A84-1830)*2/300)+$I$3*(1-(A84-1840)*2/300)+$I$4*(1-(A84-1848)*2/300)+$I$5*(1-(A84-1850)*2/300)+$I$6*(1-(A84-1855)*2/300)+$I$7*(1-(A84-1860)*2/300)+$I$8*(1-(A84-1870)*2/300)+$I$9*(1-(A84-1872)*2/300)+$I$10*(1-(A84-1875)*2/300)+$I$11*(1-(A84-1880)*2/300)+$I$12*(1-(A84-1890)*2/300)+$I$13*(1-(A84-1895)*2/300)+$I$14*(1-(A84-1898)*2/300)+$I$15*(1-(A84-1900)*2/300)+$I$16*(1-(A84-1905)*2/300)+$I$17*(1-(A84-1910)*2/300)</f>
        <v>961464</v>
      </c>
    </row>
    <row r="85" spans="1:2">
      <c r="A85" s="10">
        <v>1913</v>
      </c>
      <c r="B85" s="12">
        <f>$I$2*(1-(A85-1830)*2/300)+$I$3*(1-(A85-1840)*2/300)+$I$4*(1-(A85-1848)*2/300)+$I$5*(1-(A85-1850)*2/300)+$I$6*(1-(A85-1855)*2/300)+$I$7*(1-(A85-1860)*2/300)+$I$8*(1-(A85-1870)*2/300)+$I$9*(1-(A85-1872)*2/300)+$I$10*(1-(A85-1875)*2/300)+$I$11*(1-(A85-1880)*2/300)+$I$12*(1-(A85-1890)*2/300)+$I$13*(1-(A85-1895)*2/300)+$I$14*(1-(A85-1898)*2/300)+$I$15*(1-(A85-1900)*2/300)+$I$16*(1-(A85-1905)*2/300)+$I$17*(1-(A85-1910)*2/300)</f>
        <v>952272</v>
      </c>
    </row>
    <row r="86" spans="1:2">
      <c r="A86" s="10">
        <v>1914</v>
      </c>
      <c r="B86" s="12">
        <f>$I$2*(1-(A86-1830)*2/300)+$I$3*(1-(A86-1840)*2/300)+$I$4*(1-(A86-1848)*2/300)+$I$5*(1-(A86-1850)*2/300)+$I$6*(1-(A86-1855)*2/300)+$I$7*(1-(A86-1860)*2/300)+$I$8*(1-(A86-1870)*2/300)+$I$9*(1-(A86-1872)*2/300)+$I$10*(1-(A86-1875)*2/300)+$I$11*(1-(A86-1880)*2/300)+$I$12*(1-(A86-1890)*2/300)+$I$13*(1-(A86-1895)*2/300)+$I$14*(1-(A86-1898)*2/300)+$I$15*(1-(A86-1900)*2/300)+$I$16*(1-(A86-1905)*2/300)+$I$17*(1-(A86-1910)*2/300)+$I$18*(1-(A86-1914)*2/300)</f>
        <v>986280</v>
      </c>
    </row>
    <row r="87" spans="1:2">
      <c r="A87" s="10">
        <v>1915</v>
      </c>
      <c r="B87" s="12">
        <f>$I$2*(1-(A87-1830)*2/300)+$I$3*(1-(A87-1840)*2/300)+$I$4*(1-(A87-1848)*2/300)+$I$5*(1-(A87-1850)*2/300)+$I$6*(1-(A87-1855)*2/300)+$I$7*(1-(A87-1860)*2/300)+$I$8*(1-(A87-1870)*2/300)+$I$9*(1-(A87-1872)*2/300)+$I$10*(1-(A87-1875)*2/300)+$I$11*(1-(A87-1880)*2/300)+$I$12*(1-(A87-1890)*2/300)+$I$13*(1-(A87-1895)*2/300)+$I$14*(1-(A87-1898)*2/300)+$I$15*(1-(A87-1900)*2/300)+$I$16*(1-(A87-1905)*2/300)+$I$17*(1-(A87-1910)*2/300)+$I$18*(1-(A87-1914)*2/300)+$I$19*(1-(A87-1915)*2/300)</f>
        <v>998400</v>
      </c>
    </row>
    <row r="88" spans="1:2">
      <c r="A88" s="10">
        <v>1916</v>
      </c>
      <c r="B88" s="12">
        <f>$I$2*(1-(A88-1830)*2/300)+$I$3*(1-(A88-1840)*2/300)+$I$4*(1-(A88-1848)*2/300)+$I$5*(1-(A88-1850)*2/300)+$I$6*(1-(A88-1855)*2/300)+$I$7*(1-(A88-1860)*2/300)+$I$8*(1-(A88-1870)*2/300)+$I$9*(1-(A88-1872)*2/300)+$I$10*(1-(A88-1875)*2/300)+$I$11*(1-(A88-1880)*2/300)+$I$12*(1-(A88-1890)*2/300)+$I$13*(1-(A88-1895)*2/300)+$I$14*(1-(A88-1898)*2/300)+$I$15*(1-(A88-1900)*2/300)+$I$16*(1-(A88-1905)*2/300)+$I$17*(1-(A88-1910)*2/300)+$I$18*(1-(A88-1914)*2/300)+$I$19*(1-(A88-1915)*2/300)</f>
        <v>988776</v>
      </c>
    </row>
    <row r="89" spans="1:2">
      <c r="A89" s="10">
        <v>1917</v>
      </c>
      <c r="B89" s="12">
        <f>$I$2*(1-(A89-1830)*2/300)+$I$3*(1-(A89-1840)*2/300)+$I$4*(1-(A89-1848)*2/300)+$I$5*(1-(A89-1850)*2/300)+$I$6*(1-(A89-1855)*2/300)+$I$7*(1-(A89-1860)*2/300)+$I$8*(1-(A89-1870)*2/300)+$I$9*(1-(A89-1872)*2/300)+$I$10*(1-(A89-1875)*2/300)+$I$11*(1-(A89-1880)*2/300)+$I$12*(1-(A89-1890)*2/300)+$I$13*(1-(A89-1895)*2/300)+$I$14*(1-(A89-1898)*2/300)+$I$15*(1-(A89-1900)*2/300)+$I$16*(1-(A89-1905)*2/300)+$I$17*(1-(A89-1910)*2/300)+$I$18*(1-(A89-1914)*2/300)+$I$19*(1-(A89-1915)*2/300)</f>
        <v>979152</v>
      </c>
    </row>
    <row r="90" spans="1:2">
      <c r="A90" s="10">
        <v>1918</v>
      </c>
      <c r="B90" s="12">
        <f>$I$2*(1-(A90-1830)*2/300)+$I$3*(1-(A90-1840)*2/300)+$I$4*(1-(A90-1848)*2/300)+$I$5*(1-(A90-1850)*2/300)+$I$6*(1-(A90-1855)*2/300)+$I$7*(1-(A90-1860)*2/300)+$I$8*(1-(A90-1870)*2/300)+$I$9*(1-(A90-1872)*2/300)+$I$10*(1-(A90-1875)*2/300)+$I$11*(1-(A90-1880)*2/300)+$I$12*(1-(A90-1890)*2/300)+$I$13*(1-(A90-1895)*2/300)+$I$14*(1-(A90-1898)*2/300)+$I$15*(1-(A90-1900)*2/300)+$I$16*(1-(A90-1905)*2/300)+$I$17*(1-(A90-1910)*2/300)+$I$18*(1-(A90-1914)*2/300)+$I$19*(1-(A90-1915)*2/300)</f>
        <v>969528</v>
      </c>
    </row>
    <row r="91" spans="1:2">
      <c r="A91" s="10">
        <v>1919</v>
      </c>
      <c r="B91" s="12">
        <f t="shared" ref="B91:B108" si="4">$I$2*(1-(A91-1830)*2/300)+$I$3*(1-(A91-1840)*2/300)+$I$4*(1-(A91-1848)*2/300)+$I$5*(1-(A91-1850)*2/300)+$I$6*(1-(A91-1855)*2/300)+$I$7*(1-(A91-1860)*2/300)+$I$8*(1-(A91-1870)*2/300)+$I$9*(1-(A91-1872)*2/300)+$I$10*(1-(A91-1875)*2/300)+$I$11*(1-(A91-1880)*2/300)+$I$12*(1-(A91-1890)*2/300)+$I$13*(1-(A91-1895)*2/300)+$I$14*(1-(A91-1898)*2/300)+$I$15*(1-(A91-1900)*2/300)+$I$16*(1-(A91-1905)*2/300)+$I$17*(1-(A91-1910)*2/300)+$I$18*(1-(A91-1914)*2/300)+$I$19*(1-(A91-1915)*2/300)+$I$20*(1-(A91-1919)*2/300)</f>
        <v>1154304</v>
      </c>
    </row>
    <row r="92" spans="1:2">
      <c r="A92" s="10">
        <v>1920</v>
      </c>
      <c r="B92" s="12">
        <f t="shared" si="4"/>
        <v>1143384</v>
      </c>
    </row>
    <row r="93" spans="1:2">
      <c r="A93" s="10">
        <v>1921</v>
      </c>
      <c r="B93" s="12">
        <f t="shared" si="4"/>
        <v>1132464</v>
      </c>
    </row>
    <row r="94" spans="1:2">
      <c r="A94" s="10">
        <v>1922</v>
      </c>
      <c r="B94" s="12">
        <f t="shared" si="4"/>
        <v>1121544</v>
      </c>
    </row>
    <row r="95" spans="1:2">
      <c r="A95" s="10">
        <v>1923</v>
      </c>
      <c r="B95" s="12">
        <f t="shared" si="4"/>
        <v>1110624</v>
      </c>
    </row>
    <row r="96" spans="1:2">
      <c r="A96" s="10">
        <v>1924</v>
      </c>
      <c r="B96" s="12">
        <f t="shared" si="4"/>
        <v>1099704</v>
      </c>
    </row>
    <row r="97" spans="1:2">
      <c r="A97" s="10">
        <v>1925</v>
      </c>
      <c r="B97" s="12">
        <f t="shared" si="4"/>
        <v>1088784</v>
      </c>
    </row>
    <row r="98" spans="1:2">
      <c r="A98" s="10">
        <v>1926</v>
      </c>
      <c r="B98" s="12">
        <f t="shared" si="4"/>
        <v>1077864</v>
      </c>
    </row>
    <row r="99" spans="1:2">
      <c r="A99" s="10">
        <v>1927</v>
      </c>
      <c r="B99" s="12">
        <f t="shared" si="4"/>
        <v>1066944</v>
      </c>
    </row>
    <row r="100" spans="1:2">
      <c r="A100" s="10">
        <v>1928</v>
      </c>
      <c r="B100" s="12">
        <f t="shared" si="4"/>
        <v>1056024</v>
      </c>
    </row>
    <row r="101" spans="1:2">
      <c r="A101" s="10">
        <v>1929</v>
      </c>
      <c r="B101" s="12">
        <f t="shared" si="4"/>
        <v>1045104</v>
      </c>
    </row>
    <row r="102" spans="1:2">
      <c r="A102" s="10">
        <v>1930</v>
      </c>
      <c r="B102" s="12">
        <f t="shared" si="4"/>
        <v>1034184</v>
      </c>
    </row>
    <row r="103" spans="1:2">
      <c r="A103" s="10">
        <v>1931</v>
      </c>
      <c r="B103" s="12">
        <f t="shared" si="4"/>
        <v>1023264</v>
      </c>
    </row>
    <row r="104" spans="1:2">
      <c r="A104" s="10">
        <v>1932</v>
      </c>
      <c r="B104" s="12">
        <f t="shared" si="4"/>
        <v>1012344</v>
      </c>
    </row>
    <row r="105" spans="1:2">
      <c r="A105" s="10">
        <v>1933</v>
      </c>
      <c r="B105" s="12">
        <f t="shared" si="4"/>
        <v>1001424</v>
      </c>
    </row>
    <row r="106" spans="1:2">
      <c r="A106" s="10">
        <v>1934</v>
      </c>
      <c r="B106" s="12">
        <f t="shared" si="4"/>
        <v>990504</v>
      </c>
    </row>
    <row r="107" spans="1:2">
      <c r="A107" s="10">
        <v>1935</v>
      </c>
      <c r="B107" s="12">
        <f t="shared" si="4"/>
        <v>979584</v>
      </c>
    </row>
    <row r="108" spans="1:2">
      <c r="A108" s="10">
        <v>1936</v>
      </c>
      <c r="B108" s="12">
        <f t="shared" si="4"/>
        <v>968664</v>
      </c>
    </row>
  </sheetData>
  <dataValidations count="1">
    <dataValidation type="list" operator="equal" allowBlank="1" showErrorMessage="1" sqref="H23" xr:uid="{00000000-0002-0000-0100-000000000000}">
      <formula1>"Yes,No"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7"/>
  <sheetViews>
    <sheetView topLeftCell="A97" zoomScale="120" zoomScaleNormal="120" workbookViewId="0">
      <selection activeCell="G51" sqref="G51"/>
    </sheetView>
  </sheetViews>
  <sheetFormatPr defaultColWidth="8.85546875" defaultRowHeight="15"/>
  <cols>
    <col min="1" max="1" width="7.5703125" style="6" customWidth="1"/>
    <col min="2" max="2" width="28" style="6" customWidth="1"/>
    <col min="3" max="3" width="10" style="6" customWidth="1"/>
    <col min="4" max="4" width="15.85546875" style="6" customWidth="1"/>
    <col min="5" max="5" width="10.5703125" style="6" customWidth="1"/>
    <col min="6" max="6" width="17.85546875" style="6" customWidth="1"/>
    <col min="7" max="7" width="12.42578125" style="6" customWidth="1"/>
    <col min="8" max="16384" width="8.85546875" style="6"/>
  </cols>
  <sheetData>
    <row r="1" spans="1:6">
      <c r="A1" s="10" t="s">
        <v>0</v>
      </c>
      <c r="B1" s="10" t="s">
        <v>66</v>
      </c>
      <c r="C1" s="10" t="s">
        <v>67</v>
      </c>
      <c r="D1" s="10" t="s">
        <v>1</v>
      </c>
      <c r="E1" s="10" t="s">
        <v>3</v>
      </c>
      <c r="F1" s="10" t="s">
        <v>68</v>
      </c>
    </row>
    <row r="2" spans="1:6">
      <c r="A2" s="10">
        <v>1830</v>
      </c>
      <c r="B2" s="17">
        <v>0.1</v>
      </c>
      <c r="C2" s="17">
        <v>-0.1</v>
      </c>
      <c r="D2" s="18">
        <v>0.01</v>
      </c>
      <c r="E2" s="19">
        <v>0.51200000000000001</v>
      </c>
      <c r="F2" s="18">
        <f t="shared" ref="F2:F12" si="0">(D2-0.005)*0.1/0.035*(1+B2+C2)*0.01*120</f>
        <v>1.7142857142857144E-2</v>
      </c>
    </row>
    <row r="3" spans="1:6">
      <c r="A3" s="10">
        <v>1840</v>
      </c>
      <c r="B3" s="17">
        <v>0.2</v>
      </c>
      <c r="C3" s="17">
        <v>-0.03</v>
      </c>
      <c r="D3" s="18">
        <v>0.02</v>
      </c>
      <c r="E3" s="19">
        <f t="shared" ref="E3:E12" si="1">MIN(1,E2+F2)</f>
        <v>0.52914285714285714</v>
      </c>
      <c r="F3" s="18">
        <f t="shared" si="0"/>
        <v>6.017142857142857E-2</v>
      </c>
    </row>
    <row r="4" spans="1:6">
      <c r="A4" s="10">
        <v>1850</v>
      </c>
      <c r="B4" s="17">
        <v>0.7</v>
      </c>
      <c r="C4" s="17">
        <v>0.02</v>
      </c>
      <c r="D4" s="18">
        <v>2.5000000000000001E-2</v>
      </c>
      <c r="E4" s="19">
        <f t="shared" si="1"/>
        <v>0.58931428571428568</v>
      </c>
      <c r="F4" s="18">
        <f t="shared" si="0"/>
        <v>0.11794285714285713</v>
      </c>
    </row>
    <row r="5" spans="1:6">
      <c r="A5" s="10">
        <v>1860</v>
      </c>
      <c r="B5" s="17">
        <v>0.7</v>
      </c>
      <c r="C5" s="17">
        <v>0.17</v>
      </c>
      <c r="D5" s="18">
        <v>0.03</v>
      </c>
      <c r="E5" s="19">
        <f t="shared" si="1"/>
        <v>0.70725714285714281</v>
      </c>
      <c r="F5" s="18">
        <f t="shared" si="0"/>
        <v>0.16028571428571425</v>
      </c>
    </row>
    <row r="6" spans="1:6">
      <c r="A6" s="10">
        <v>1870</v>
      </c>
      <c r="B6" s="17">
        <v>0.9</v>
      </c>
      <c r="C6" s="17">
        <v>0.32</v>
      </c>
      <c r="D6" s="18">
        <v>0.04</v>
      </c>
      <c r="E6" s="19">
        <f t="shared" si="1"/>
        <v>0.86754285714285706</v>
      </c>
      <c r="F6" s="18">
        <f t="shared" si="0"/>
        <v>0.26639999999999997</v>
      </c>
    </row>
    <row r="7" spans="1:6">
      <c r="A7" s="10">
        <v>1880</v>
      </c>
      <c r="B7" s="17">
        <v>0.9</v>
      </c>
      <c r="C7" s="17">
        <v>0.32</v>
      </c>
      <c r="D7" s="18">
        <v>0.04</v>
      </c>
      <c r="E7" s="19">
        <f t="shared" si="1"/>
        <v>1</v>
      </c>
      <c r="F7" s="18">
        <f t="shared" si="0"/>
        <v>0.26639999999999997</v>
      </c>
    </row>
    <row r="8" spans="1:6">
      <c r="A8" s="10">
        <v>1890</v>
      </c>
      <c r="B8" s="17">
        <v>1.1499999999999999</v>
      </c>
      <c r="C8" s="17">
        <v>0.32</v>
      </c>
      <c r="D8" s="18">
        <v>0.04</v>
      </c>
      <c r="E8" s="19">
        <f t="shared" si="1"/>
        <v>1</v>
      </c>
      <c r="F8" s="18">
        <f t="shared" si="0"/>
        <v>0.2964</v>
      </c>
    </row>
    <row r="9" spans="1:6">
      <c r="A9" s="10">
        <v>1900</v>
      </c>
      <c r="B9" s="17">
        <v>1.35</v>
      </c>
      <c r="C9" s="17">
        <v>0.32</v>
      </c>
      <c r="D9" s="18">
        <v>0.04</v>
      </c>
      <c r="E9" s="19">
        <f t="shared" si="1"/>
        <v>1</v>
      </c>
      <c r="F9" s="18">
        <f t="shared" si="0"/>
        <v>0.32040000000000002</v>
      </c>
    </row>
    <row r="10" spans="1:6">
      <c r="A10" s="10">
        <v>1910</v>
      </c>
      <c r="B10" s="17">
        <v>1.35</v>
      </c>
      <c r="C10" s="17">
        <v>0.32</v>
      </c>
      <c r="D10" s="18">
        <v>0.04</v>
      </c>
      <c r="E10" s="19">
        <f t="shared" si="1"/>
        <v>1</v>
      </c>
      <c r="F10" s="18">
        <f t="shared" si="0"/>
        <v>0.32040000000000002</v>
      </c>
    </row>
    <row r="11" spans="1:6">
      <c r="A11" s="10">
        <v>1920</v>
      </c>
      <c r="B11" s="17">
        <v>1.35</v>
      </c>
      <c r="C11" s="17">
        <v>0.32</v>
      </c>
      <c r="D11" s="18">
        <v>0.04</v>
      </c>
      <c r="E11" s="19">
        <f t="shared" si="1"/>
        <v>1</v>
      </c>
      <c r="F11" s="18">
        <f t="shared" si="0"/>
        <v>0.32040000000000002</v>
      </c>
    </row>
    <row r="12" spans="1:6">
      <c r="A12" s="10">
        <v>1930</v>
      </c>
      <c r="B12" s="17">
        <v>1.35</v>
      </c>
      <c r="C12" s="17">
        <v>0.32</v>
      </c>
      <c r="D12" s="18">
        <v>0.04</v>
      </c>
      <c r="E12" s="19">
        <f t="shared" si="1"/>
        <v>1</v>
      </c>
      <c r="F12" s="18">
        <f t="shared" si="0"/>
        <v>0.32040000000000002</v>
      </c>
    </row>
    <row r="13" spans="1:6">
      <c r="A13" s="10"/>
      <c r="B13" s="17"/>
      <c r="C13" s="17"/>
      <c r="D13" s="18"/>
      <c r="E13" s="19"/>
      <c r="F13" s="18"/>
    </row>
    <row r="14" spans="1:6">
      <c r="A14" s="10" t="s">
        <v>69</v>
      </c>
      <c r="B14" s="17">
        <v>0</v>
      </c>
      <c r="C14" s="17">
        <v>0</v>
      </c>
      <c r="D14" s="18">
        <v>0.04</v>
      </c>
      <c r="E14" s="19">
        <v>0.01</v>
      </c>
      <c r="F14" s="18">
        <f>(D14-0.005)*0.1/0.035*(1+B14+C14)*0.01*120</f>
        <v>0.12</v>
      </c>
    </row>
    <row r="15" spans="1:6">
      <c r="A15" s="10" t="s">
        <v>69</v>
      </c>
      <c r="B15" s="17">
        <v>0</v>
      </c>
      <c r="C15" s="17">
        <v>0</v>
      </c>
      <c r="D15" s="18">
        <v>0.04</v>
      </c>
      <c r="E15" s="19">
        <f>SUM(E14,F14)</f>
        <v>0.13</v>
      </c>
      <c r="F15" s="18">
        <f>(D15-0.005)*0.1/0.035*(1+B15+C15)*0.01*120</f>
        <v>0.12</v>
      </c>
    </row>
    <row r="16" spans="1:6">
      <c r="D16" s="15"/>
      <c r="E16" s="20"/>
    </row>
    <row r="17" spans="1:6">
      <c r="A17" s="10" t="s">
        <v>69</v>
      </c>
      <c r="B17" s="17">
        <v>1</v>
      </c>
      <c r="C17" s="17">
        <v>0</v>
      </c>
      <c r="D17" s="18">
        <v>0.01</v>
      </c>
      <c r="E17" s="19">
        <v>0.01</v>
      </c>
      <c r="F17" s="18">
        <f>(D17-0.005)*0.1/0.035*(1+B17+C17)*0.01*120</f>
        <v>3.4285714285714287E-2</v>
      </c>
    </row>
    <row r="18" spans="1:6">
      <c r="A18" s="10" t="s">
        <v>69</v>
      </c>
      <c r="B18" s="17">
        <v>1</v>
      </c>
      <c r="C18" s="17">
        <v>0</v>
      </c>
      <c r="D18" s="18">
        <v>0.04</v>
      </c>
      <c r="E18" s="19">
        <f>SUM(E17,F17)</f>
        <v>4.4285714285714289E-2</v>
      </c>
      <c r="F18" s="18">
        <f>(D18-0.005)*0.1/0.035*(1+B18+C18)*0.01*120</f>
        <v>0.24</v>
      </c>
    </row>
    <row r="20" spans="1:6">
      <c r="A20" s="10" t="s">
        <v>0</v>
      </c>
      <c r="B20" s="10" t="s">
        <v>66</v>
      </c>
      <c r="C20" s="10" t="s">
        <v>67</v>
      </c>
      <c r="D20" s="10" t="s">
        <v>1</v>
      </c>
      <c r="E20" s="10" t="s">
        <v>3</v>
      </c>
      <c r="F20" s="10" t="s">
        <v>68</v>
      </c>
    </row>
    <row r="21" spans="1:6">
      <c r="A21" s="10">
        <v>1830</v>
      </c>
      <c r="B21" s="17">
        <v>0.1</v>
      </c>
      <c r="C21" s="17">
        <v>-0.1</v>
      </c>
      <c r="D21" s="18">
        <v>0.01</v>
      </c>
      <c r="E21" s="19">
        <v>0.1</v>
      </c>
      <c r="F21" s="18">
        <f t="shared" ref="F21:F52" si="2">(D21-0.005)*0.1/0.035*(1+B21+C21)*0.01*12</f>
        <v>1.7142857142857144E-3</v>
      </c>
    </row>
    <row r="22" spans="1:6">
      <c r="A22" s="10">
        <v>1831</v>
      </c>
      <c r="B22" s="17">
        <v>0.1</v>
      </c>
      <c r="C22" s="17">
        <v>-0.1</v>
      </c>
      <c r="D22" s="18">
        <v>1.0500000000000001E-2</v>
      </c>
      <c r="E22" s="19">
        <f t="shared" ref="E22:E53" si="3">MIN(1,E21+F21)</f>
        <v>0.10171428571428572</v>
      </c>
      <c r="F22" s="18">
        <f t="shared" si="2"/>
        <v>1.8857142857142859E-3</v>
      </c>
    </row>
    <row r="23" spans="1:6">
      <c r="A23" s="10">
        <v>1832</v>
      </c>
      <c r="B23" s="17">
        <v>0.1</v>
      </c>
      <c r="C23" s="17">
        <v>-0.1</v>
      </c>
      <c r="D23" s="18">
        <v>1.0999999999999999E-2</v>
      </c>
      <c r="E23" s="19">
        <f t="shared" si="3"/>
        <v>0.1036</v>
      </c>
      <c r="F23" s="18">
        <f t="shared" si="2"/>
        <v>2.0571428571428568E-3</v>
      </c>
    </row>
    <row r="24" spans="1:6">
      <c r="A24" s="10">
        <v>1833</v>
      </c>
      <c r="B24" s="17">
        <v>0.1</v>
      </c>
      <c r="C24" s="17">
        <v>-0.1</v>
      </c>
      <c r="D24" s="18">
        <v>1.15E-2</v>
      </c>
      <c r="E24" s="19">
        <f t="shared" si="3"/>
        <v>0.10565714285714285</v>
      </c>
      <c r="F24" s="18">
        <f t="shared" si="2"/>
        <v>2.2285714285714283E-3</v>
      </c>
    </row>
    <row r="25" spans="1:6">
      <c r="A25" s="10">
        <v>1834</v>
      </c>
      <c r="B25" s="17">
        <v>0.1</v>
      </c>
      <c r="C25" s="17">
        <v>-0.1</v>
      </c>
      <c r="D25" s="18">
        <v>1.2E-2</v>
      </c>
      <c r="E25" s="19">
        <f t="shared" si="3"/>
        <v>0.10788571428571428</v>
      </c>
      <c r="F25" s="18">
        <f t="shared" si="2"/>
        <v>2.4000000000000002E-3</v>
      </c>
    </row>
    <row r="26" spans="1:6">
      <c r="A26" s="10">
        <v>1835</v>
      </c>
      <c r="B26" s="17">
        <v>0.1</v>
      </c>
      <c r="C26" s="17">
        <v>-0.1</v>
      </c>
      <c r="D26" s="18">
        <v>1.2500000000000001E-2</v>
      </c>
      <c r="E26" s="19">
        <f t="shared" si="3"/>
        <v>0.11028571428571428</v>
      </c>
      <c r="F26" s="18">
        <f t="shared" si="2"/>
        <v>2.5714285714285717E-3</v>
      </c>
    </row>
    <row r="27" spans="1:6">
      <c r="A27" s="10">
        <v>1836</v>
      </c>
      <c r="B27" s="17">
        <v>0.1</v>
      </c>
      <c r="C27" s="17">
        <v>-0.1</v>
      </c>
      <c r="D27" s="18">
        <v>1.2999999999999999E-2</v>
      </c>
      <c r="E27" s="19">
        <f t="shared" si="3"/>
        <v>0.11285714285714285</v>
      </c>
      <c r="F27" s="18">
        <f t="shared" si="2"/>
        <v>2.7428571428571428E-3</v>
      </c>
    </row>
    <row r="28" spans="1:6">
      <c r="A28" s="10">
        <v>1837</v>
      </c>
      <c r="B28" s="17">
        <v>0.1</v>
      </c>
      <c r="C28" s="17">
        <v>-0.1</v>
      </c>
      <c r="D28" s="18">
        <v>1.35E-2</v>
      </c>
      <c r="E28" s="19">
        <f t="shared" si="3"/>
        <v>0.11559999999999999</v>
      </c>
      <c r="F28" s="18">
        <f t="shared" si="2"/>
        <v>2.9142857142857143E-3</v>
      </c>
    </row>
    <row r="29" spans="1:6">
      <c r="A29" s="10">
        <v>1838</v>
      </c>
      <c r="B29" s="17">
        <v>0.1</v>
      </c>
      <c r="C29" s="17">
        <v>-0.1</v>
      </c>
      <c r="D29" s="18">
        <v>1.4E-2</v>
      </c>
      <c r="E29" s="19">
        <f t="shared" si="3"/>
        <v>0.11851428571428571</v>
      </c>
      <c r="F29" s="18">
        <f t="shared" si="2"/>
        <v>3.0857142857142858E-3</v>
      </c>
    </row>
    <row r="30" spans="1:6">
      <c r="A30" s="10">
        <v>1839</v>
      </c>
      <c r="B30" s="17">
        <v>0.1</v>
      </c>
      <c r="C30" s="17">
        <v>-0.1</v>
      </c>
      <c r="D30" s="18">
        <v>1.4500000000000001E-2</v>
      </c>
      <c r="E30" s="19">
        <f t="shared" si="3"/>
        <v>0.1216</v>
      </c>
      <c r="F30" s="18">
        <f t="shared" si="2"/>
        <v>3.2571428571428573E-3</v>
      </c>
    </row>
    <row r="31" spans="1:6">
      <c r="A31" s="10">
        <v>1840</v>
      </c>
      <c r="B31" s="17">
        <v>0.1</v>
      </c>
      <c r="C31" s="17">
        <v>-0.1</v>
      </c>
      <c r="D31" s="18">
        <v>1.4999999999999999E-2</v>
      </c>
      <c r="E31" s="19">
        <f t="shared" si="3"/>
        <v>0.12485714285714286</v>
      </c>
      <c r="F31" s="18">
        <f t="shared" si="2"/>
        <v>3.4285714285714275E-3</v>
      </c>
    </row>
    <row r="32" spans="1:6">
      <c r="A32" s="10">
        <v>1841</v>
      </c>
      <c r="B32" s="17">
        <v>0.1</v>
      </c>
      <c r="C32" s="17">
        <v>-0.1</v>
      </c>
      <c r="D32" s="18">
        <v>1.55E-2</v>
      </c>
      <c r="E32" s="19">
        <f t="shared" si="3"/>
        <v>0.12828571428571428</v>
      </c>
      <c r="F32" s="18">
        <f t="shared" si="2"/>
        <v>3.5999999999999999E-3</v>
      </c>
    </row>
    <row r="33" spans="1:6">
      <c r="A33" s="10">
        <v>1842</v>
      </c>
      <c r="B33" s="17">
        <v>0.1</v>
      </c>
      <c r="C33" s="17">
        <v>-0.1</v>
      </c>
      <c r="D33" s="18">
        <v>1.6E-2</v>
      </c>
      <c r="E33" s="19">
        <f t="shared" si="3"/>
        <v>0.13188571428571427</v>
      </c>
      <c r="F33" s="18">
        <f t="shared" si="2"/>
        <v>3.7714285714285718E-3</v>
      </c>
    </row>
    <row r="34" spans="1:6">
      <c r="A34" s="10">
        <v>1843</v>
      </c>
      <c r="B34" s="17">
        <v>0.1</v>
      </c>
      <c r="C34" s="17">
        <v>-0.03</v>
      </c>
      <c r="D34" s="18">
        <v>1.6500000000000001E-2</v>
      </c>
      <c r="E34" s="19">
        <f t="shared" si="3"/>
        <v>0.13565714285714284</v>
      </c>
      <c r="F34" s="18">
        <f t="shared" si="2"/>
        <v>4.2188571428571431E-3</v>
      </c>
    </row>
    <row r="35" spans="1:6">
      <c r="A35" s="10">
        <v>1844</v>
      </c>
      <c r="B35" s="17">
        <v>0.2</v>
      </c>
      <c r="C35" s="17">
        <v>-0.03</v>
      </c>
      <c r="D35" s="18">
        <v>1.7000000000000001E-2</v>
      </c>
      <c r="E35" s="19">
        <f t="shared" si="3"/>
        <v>0.13987599999999997</v>
      </c>
      <c r="F35" s="18">
        <f t="shared" si="2"/>
        <v>4.8137142857142858E-3</v>
      </c>
    </row>
    <row r="36" spans="1:6">
      <c r="A36" s="10">
        <v>1845</v>
      </c>
      <c r="B36" s="17">
        <v>0.2</v>
      </c>
      <c r="C36" s="17">
        <v>-0.03</v>
      </c>
      <c r="D36" s="18">
        <v>1.7500000000000002E-2</v>
      </c>
      <c r="E36" s="19">
        <f t="shared" si="3"/>
        <v>0.14468971428571425</v>
      </c>
      <c r="F36" s="18">
        <f t="shared" si="2"/>
        <v>5.0142857142857142E-3</v>
      </c>
    </row>
    <row r="37" spans="1:6">
      <c r="A37" s="10">
        <v>1846</v>
      </c>
      <c r="B37" s="17">
        <v>0.2</v>
      </c>
      <c r="C37" s="17">
        <v>-0.03</v>
      </c>
      <c r="D37" s="18">
        <v>1.7999999999999999E-2</v>
      </c>
      <c r="E37" s="19">
        <f t="shared" si="3"/>
        <v>0.14970399999999998</v>
      </c>
      <c r="F37" s="18">
        <f t="shared" si="2"/>
        <v>5.2148571428571417E-3</v>
      </c>
    </row>
    <row r="38" spans="1:6">
      <c r="A38" s="10">
        <v>1847</v>
      </c>
      <c r="B38" s="17">
        <v>0.2</v>
      </c>
      <c r="C38" s="17">
        <v>-0.03</v>
      </c>
      <c r="D38" s="18">
        <v>1.8499999999999999E-2</v>
      </c>
      <c r="E38" s="19">
        <f t="shared" si="3"/>
        <v>0.15491885714285711</v>
      </c>
      <c r="F38" s="18">
        <f t="shared" si="2"/>
        <v>5.4154285714285693E-3</v>
      </c>
    </row>
    <row r="39" spans="1:6">
      <c r="A39" s="10">
        <v>1848</v>
      </c>
      <c r="B39" s="17">
        <v>0.2</v>
      </c>
      <c r="C39" s="17">
        <v>-0.03</v>
      </c>
      <c r="D39" s="18">
        <v>1.9E-2</v>
      </c>
      <c r="E39" s="19">
        <f t="shared" si="3"/>
        <v>0.16033428571428568</v>
      </c>
      <c r="F39" s="18">
        <f t="shared" si="2"/>
        <v>5.6159999999999986E-3</v>
      </c>
    </row>
    <row r="40" spans="1:6">
      <c r="A40" s="10">
        <v>1849</v>
      </c>
      <c r="B40" s="17">
        <v>0.2</v>
      </c>
      <c r="C40" s="17">
        <v>-0.03</v>
      </c>
      <c r="D40" s="18">
        <v>1.95E-2</v>
      </c>
      <c r="E40" s="19">
        <f t="shared" si="3"/>
        <v>0.16595028571428569</v>
      </c>
      <c r="F40" s="18">
        <f t="shared" si="2"/>
        <v>5.8165714285714262E-3</v>
      </c>
    </row>
    <row r="41" spans="1:6">
      <c r="A41" s="10">
        <v>1850</v>
      </c>
      <c r="B41" s="17">
        <v>0.2</v>
      </c>
      <c r="C41" s="17">
        <v>-0.03</v>
      </c>
      <c r="D41" s="18">
        <v>0.02</v>
      </c>
      <c r="E41" s="19">
        <f t="shared" si="3"/>
        <v>0.17176685714285711</v>
      </c>
      <c r="F41" s="18">
        <f t="shared" si="2"/>
        <v>6.0171428571428563E-3</v>
      </c>
    </row>
    <row r="42" spans="1:6">
      <c r="A42" s="10">
        <v>1851</v>
      </c>
      <c r="B42" s="17">
        <v>0.3</v>
      </c>
      <c r="C42" s="17">
        <v>-0.03</v>
      </c>
      <c r="D42" s="18">
        <v>2.0500000000000001E-2</v>
      </c>
      <c r="E42" s="19">
        <f t="shared" si="3"/>
        <v>0.17778399999999997</v>
      </c>
      <c r="F42" s="18">
        <f t="shared" si="2"/>
        <v>6.7491428571428581E-3</v>
      </c>
    </row>
    <row r="43" spans="1:6">
      <c r="A43" s="10">
        <v>1852</v>
      </c>
      <c r="B43" s="17">
        <v>0.3</v>
      </c>
      <c r="C43" s="17">
        <v>-0.03</v>
      </c>
      <c r="D43" s="18">
        <v>2.1000000000000001E-2</v>
      </c>
      <c r="E43" s="19">
        <f t="shared" si="3"/>
        <v>0.18453314285714284</v>
      </c>
      <c r="F43" s="18">
        <f t="shared" si="2"/>
        <v>6.9668571428571427E-3</v>
      </c>
    </row>
    <row r="44" spans="1:6">
      <c r="A44" s="10">
        <v>1853</v>
      </c>
      <c r="B44" s="17">
        <v>0.4</v>
      </c>
      <c r="C44" s="17">
        <v>-0.03</v>
      </c>
      <c r="D44" s="18">
        <v>2.1499999999999998E-2</v>
      </c>
      <c r="E44" s="19">
        <f t="shared" si="3"/>
        <v>0.19149999999999998</v>
      </c>
      <c r="F44" s="18">
        <f t="shared" si="2"/>
        <v>7.7502857142857113E-3</v>
      </c>
    </row>
    <row r="45" spans="1:6">
      <c r="A45" s="10">
        <v>1854</v>
      </c>
      <c r="B45" s="17">
        <v>0.4</v>
      </c>
      <c r="C45" s="17">
        <v>-0.03</v>
      </c>
      <c r="D45" s="18">
        <v>2.1999999999999999E-2</v>
      </c>
      <c r="E45" s="19">
        <f t="shared" si="3"/>
        <v>0.19925028571428569</v>
      </c>
      <c r="F45" s="18">
        <f t="shared" si="2"/>
        <v>7.9851428571428556E-3</v>
      </c>
    </row>
    <row r="46" spans="1:6">
      <c r="A46" s="10">
        <v>1855</v>
      </c>
      <c r="B46" s="17">
        <v>0.4</v>
      </c>
      <c r="C46" s="17">
        <v>0.02</v>
      </c>
      <c r="D46" s="18">
        <v>2.2499999999999999E-2</v>
      </c>
      <c r="E46" s="19">
        <f t="shared" si="3"/>
        <v>0.20723542857142854</v>
      </c>
      <c r="F46" s="18">
        <f t="shared" si="2"/>
        <v>8.5199999999999981E-3</v>
      </c>
    </row>
    <row r="47" spans="1:6">
      <c r="A47" s="10">
        <v>1856</v>
      </c>
      <c r="B47" s="17">
        <v>0.7</v>
      </c>
      <c r="C47" s="17">
        <v>0.02</v>
      </c>
      <c r="D47" s="18">
        <v>2.3E-2</v>
      </c>
      <c r="E47" s="19">
        <f t="shared" si="3"/>
        <v>0.21575542857142854</v>
      </c>
      <c r="F47" s="18">
        <f t="shared" si="2"/>
        <v>1.0614857142857141E-2</v>
      </c>
    </row>
    <row r="48" spans="1:6">
      <c r="A48" s="10">
        <v>1857</v>
      </c>
      <c r="B48" s="17">
        <v>0.7</v>
      </c>
      <c r="C48" s="17">
        <v>0.02</v>
      </c>
      <c r="D48" s="18">
        <v>2.35E-2</v>
      </c>
      <c r="E48" s="19">
        <f t="shared" si="3"/>
        <v>0.22637028571428569</v>
      </c>
      <c r="F48" s="18">
        <f t="shared" si="2"/>
        <v>1.0909714285714286E-2</v>
      </c>
    </row>
    <row r="49" spans="1:6">
      <c r="A49" s="10">
        <v>1858</v>
      </c>
      <c r="B49" s="17">
        <v>0.7</v>
      </c>
      <c r="C49" s="17">
        <v>0.02</v>
      </c>
      <c r="D49" s="18">
        <v>2.4E-2</v>
      </c>
      <c r="E49" s="19">
        <f t="shared" si="3"/>
        <v>0.23727999999999999</v>
      </c>
      <c r="F49" s="18">
        <f t="shared" si="2"/>
        <v>1.1204571428571427E-2</v>
      </c>
    </row>
    <row r="50" spans="1:6">
      <c r="A50" s="10">
        <v>1859</v>
      </c>
      <c r="B50" s="17">
        <v>0.7</v>
      </c>
      <c r="C50" s="17">
        <v>0.02</v>
      </c>
      <c r="D50" s="18">
        <v>2.4500000000000001E-2</v>
      </c>
      <c r="E50" s="19">
        <f t="shared" si="3"/>
        <v>0.24848457142857142</v>
      </c>
      <c r="F50" s="18">
        <f t="shared" si="2"/>
        <v>1.149942857142857E-2</v>
      </c>
    </row>
    <row r="51" spans="1:6">
      <c r="A51" s="10">
        <v>1860</v>
      </c>
      <c r="B51" s="17">
        <v>0.7</v>
      </c>
      <c r="C51" s="17">
        <v>0.02</v>
      </c>
      <c r="D51" s="18">
        <v>2.5000000000000001E-2</v>
      </c>
      <c r="E51" s="19">
        <f t="shared" si="3"/>
        <v>0.25998399999999999</v>
      </c>
      <c r="F51" s="18">
        <f t="shared" si="2"/>
        <v>1.1794285714285712E-2</v>
      </c>
    </row>
    <row r="52" spans="1:6">
      <c r="A52" s="10">
        <v>1861</v>
      </c>
      <c r="B52" s="17">
        <v>0.7</v>
      </c>
      <c r="C52" s="17">
        <v>0.02</v>
      </c>
      <c r="D52" s="18">
        <v>2.5499999999999998E-2</v>
      </c>
      <c r="E52" s="19">
        <f t="shared" si="3"/>
        <v>0.27177828571428569</v>
      </c>
      <c r="F52" s="18">
        <f t="shared" si="2"/>
        <v>1.2089142857142854E-2</v>
      </c>
    </row>
    <row r="53" spans="1:6">
      <c r="A53" s="10">
        <v>1862</v>
      </c>
      <c r="B53" s="17">
        <v>0.7</v>
      </c>
      <c r="C53" s="17">
        <v>0.02</v>
      </c>
      <c r="D53" s="18">
        <v>2.5999999999999999E-2</v>
      </c>
      <c r="E53" s="19">
        <f t="shared" si="3"/>
        <v>0.28386742857142855</v>
      </c>
      <c r="F53" s="18">
        <f t="shared" ref="F53:F84" si="4">(D53-0.005)*0.1/0.035*(1+B53+C53)*0.01*12</f>
        <v>1.2383999999999999E-2</v>
      </c>
    </row>
    <row r="54" spans="1:6">
      <c r="A54" s="10">
        <v>1863</v>
      </c>
      <c r="B54" s="17">
        <v>0.7</v>
      </c>
      <c r="C54" s="17">
        <v>0.12</v>
      </c>
      <c r="D54" s="18">
        <v>2.6499999999999999E-2</v>
      </c>
      <c r="E54" s="19">
        <f t="shared" ref="E54:E85" si="5">MIN(1,E53+F53)</f>
        <v>0.29625142857142855</v>
      </c>
      <c r="F54" s="18">
        <f t="shared" si="4"/>
        <v>1.3415999999999997E-2</v>
      </c>
    </row>
    <row r="55" spans="1:6">
      <c r="A55" s="10">
        <v>1864</v>
      </c>
      <c r="B55" s="17">
        <v>0.7</v>
      </c>
      <c r="C55" s="17">
        <v>0.12</v>
      </c>
      <c r="D55" s="18">
        <v>2.7E-2</v>
      </c>
      <c r="E55" s="19">
        <f t="shared" si="5"/>
        <v>0.30966742857142854</v>
      </c>
      <c r="F55" s="18">
        <f t="shared" si="4"/>
        <v>1.3728000000000001E-2</v>
      </c>
    </row>
    <row r="56" spans="1:6">
      <c r="A56" s="10">
        <v>1865</v>
      </c>
      <c r="B56" s="17">
        <v>0.7</v>
      </c>
      <c r="C56" s="17">
        <v>0.12</v>
      </c>
      <c r="D56" s="18">
        <v>2.75E-2</v>
      </c>
      <c r="E56" s="19">
        <f t="shared" si="5"/>
        <v>0.32339542857142856</v>
      </c>
      <c r="F56" s="18">
        <f t="shared" si="4"/>
        <v>1.4039999999999997E-2</v>
      </c>
    </row>
    <row r="57" spans="1:6">
      <c r="A57" s="10">
        <v>1866</v>
      </c>
      <c r="B57" s="17">
        <v>0.7</v>
      </c>
      <c r="C57" s="17">
        <v>0.12</v>
      </c>
      <c r="D57" s="18">
        <v>2.8000000000000001E-2</v>
      </c>
      <c r="E57" s="19">
        <f t="shared" si="5"/>
        <v>0.33743542857142855</v>
      </c>
      <c r="F57" s="18">
        <f t="shared" si="4"/>
        <v>1.4351999999999997E-2</v>
      </c>
    </row>
    <row r="58" spans="1:6">
      <c r="A58" s="10">
        <v>1867</v>
      </c>
      <c r="B58" s="17">
        <v>0.7</v>
      </c>
      <c r="C58" s="17">
        <v>0.12</v>
      </c>
      <c r="D58" s="18">
        <v>2.8500000000000001E-2</v>
      </c>
      <c r="E58" s="19">
        <f t="shared" si="5"/>
        <v>0.35178742857142853</v>
      </c>
      <c r="F58" s="18">
        <f t="shared" si="4"/>
        <v>1.4664E-2</v>
      </c>
    </row>
    <row r="59" spans="1:6">
      <c r="A59" s="10">
        <v>1868</v>
      </c>
      <c r="B59" s="17">
        <v>0.7</v>
      </c>
      <c r="C59" s="17">
        <v>0.12</v>
      </c>
      <c r="D59" s="18">
        <v>2.9000000000000001E-2</v>
      </c>
      <c r="E59" s="19">
        <f t="shared" si="5"/>
        <v>0.36645142857142854</v>
      </c>
      <c r="F59" s="18">
        <f t="shared" si="4"/>
        <v>1.4976E-2</v>
      </c>
    </row>
    <row r="60" spans="1:6">
      <c r="A60" s="10">
        <v>1869</v>
      </c>
      <c r="B60" s="17">
        <v>0.7</v>
      </c>
      <c r="C60" s="17">
        <v>0.12</v>
      </c>
      <c r="D60" s="18">
        <v>2.9499999999999998E-2</v>
      </c>
      <c r="E60" s="19">
        <f t="shared" si="5"/>
        <v>0.38142742857142853</v>
      </c>
      <c r="F60" s="18">
        <f t="shared" si="4"/>
        <v>1.5288E-2</v>
      </c>
    </row>
    <row r="61" spans="1:6">
      <c r="A61" s="10">
        <v>1870</v>
      </c>
      <c r="B61" s="17">
        <v>0.7</v>
      </c>
      <c r="C61" s="17">
        <v>0.17</v>
      </c>
      <c r="D61" s="18">
        <v>0.03</v>
      </c>
      <c r="E61" s="19">
        <f t="shared" si="5"/>
        <v>0.39671542857142855</v>
      </c>
      <c r="F61" s="18">
        <f t="shared" si="4"/>
        <v>1.6028571428571427E-2</v>
      </c>
    </row>
    <row r="62" spans="1:6">
      <c r="A62" s="10">
        <v>1871</v>
      </c>
      <c r="B62" s="17">
        <v>0.7</v>
      </c>
      <c r="C62" s="17">
        <v>0.17</v>
      </c>
      <c r="D62" s="18">
        <v>3.0499999999999999E-2</v>
      </c>
      <c r="E62" s="19">
        <f t="shared" si="5"/>
        <v>0.412744</v>
      </c>
      <c r="F62" s="18">
        <f t="shared" si="4"/>
        <v>1.6349142857142857E-2</v>
      </c>
    </row>
    <row r="63" spans="1:6">
      <c r="A63" s="10">
        <v>1872</v>
      </c>
      <c r="B63" s="17">
        <v>0.7</v>
      </c>
      <c r="C63" s="17">
        <v>0.17</v>
      </c>
      <c r="D63" s="18">
        <v>3.1E-2</v>
      </c>
      <c r="E63" s="19">
        <f t="shared" si="5"/>
        <v>0.42909314285714284</v>
      </c>
      <c r="F63" s="18">
        <f t="shared" si="4"/>
        <v>1.6669714285714281E-2</v>
      </c>
    </row>
    <row r="64" spans="1:6">
      <c r="A64" s="10">
        <v>1873</v>
      </c>
      <c r="B64" s="17">
        <v>0.7</v>
      </c>
      <c r="C64" s="17">
        <v>0.17</v>
      </c>
      <c r="D64" s="18">
        <v>3.15E-2</v>
      </c>
      <c r="E64" s="19">
        <f t="shared" si="5"/>
        <v>0.44576285714285713</v>
      </c>
      <c r="F64" s="18">
        <f t="shared" si="4"/>
        <v>1.6990285714285711E-2</v>
      </c>
    </row>
    <row r="65" spans="1:6">
      <c r="A65" s="10">
        <v>1874</v>
      </c>
      <c r="B65" s="17">
        <v>0.7</v>
      </c>
      <c r="C65" s="17">
        <v>0.17</v>
      </c>
      <c r="D65" s="18">
        <v>3.2000000000000001E-2</v>
      </c>
      <c r="E65" s="19">
        <f t="shared" si="5"/>
        <v>0.46275314285714286</v>
      </c>
      <c r="F65" s="18">
        <f t="shared" si="4"/>
        <v>1.7310857142857138E-2</v>
      </c>
    </row>
    <row r="66" spans="1:6">
      <c r="A66" s="10">
        <v>1875</v>
      </c>
      <c r="B66" s="17">
        <v>0.7</v>
      </c>
      <c r="C66" s="17">
        <v>0.17</v>
      </c>
      <c r="D66" s="18">
        <v>3.2500000000000001E-2</v>
      </c>
      <c r="E66" s="19">
        <f t="shared" si="5"/>
        <v>0.48006399999999999</v>
      </c>
      <c r="F66" s="18">
        <f t="shared" si="4"/>
        <v>1.7631428571428569E-2</v>
      </c>
    </row>
    <row r="67" spans="1:6">
      <c r="A67" s="10">
        <v>1876</v>
      </c>
      <c r="B67" s="17">
        <v>0.7</v>
      </c>
      <c r="C67" s="17">
        <v>0.17</v>
      </c>
      <c r="D67" s="18">
        <v>3.3000000000000002E-2</v>
      </c>
      <c r="E67" s="19">
        <f t="shared" si="5"/>
        <v>0.49769542857142857</v>
      </c>
      <c r="F67" s="18">
        <f t="shared" si="4"/>
        <v>1.7951999999999999E-2</v>
      </c>
    </row>
    <row r="68" spans="1:6">
      <c r="A68" s="10">
        <v>1877</v>
      </c>
      <c r="B68" s="17">
        <v>0.7</v>
      </c>
      <c r="C68" s="17">
        <v>0.17</v>
      </c>
      <c r="D68" s="18">
        <v>3.3500000000000002E-2</v>
      </c>
      <c r="E68" s="19">
        <f t="shared" si="5"/>
        <v>0.51564742857142853</v>
      </c>
      <c r="F68" s="18">
        <f t="shared" si="4"/>
        <v>1.827257142857143E-2</v>
      </c>
    </row>
    <row r="69" spans="1:6">
      <c r="A69" s="10">
        <v>1878</v>
      </c>
      <c r="B69" s="17">
        <v>0.7</v>
      </c>
      <c r="C69" s="17">
        <v>0.17</v>
      </c>
      <c r="D69" s="18">
        <v>3.4000000000000002E-2</v>
      </c>
      <c r="E69" s="19">
        <f t="shared" si="5"/>
        <v>0.53391999999999995</v>
      </c>
      <c r="F69" s="18">
        <f t="shared" si="4"/>
        <v>1.8593142857142857E-2</v>
      </c>
    </row>
    <row r="70" spans="1:6">
      <c r="A70" s="10">
        <v>1879</v>
      </c>
      <c r="B70" s="17">
        <v>0.7</v>
      </c>
      <c r="C70" s="17">
        <v>0.17</v>
      </c>
      <c r="D70" s="18">
        <v>3.4500000000000003E-2</v>
      </c>
      <c r="E70" s="19">
        <f t="shared" si="5"/>
        <v>0.55251314285714281</v>
      </c>
      <c r="F70" s="18">
        <f t="shared" si="4"/>
        <v>1.8913714285714284E-2</v>
      </c>
    </row>
    <row r="71" spans="1:6">
      <c r="A71" s="10">
        <v>1880</v>
      </c>
      <c r="B71" s="17">
        <v>0.7</v>
      </c>
      <c r="C71" s="17">
        <v>0.17</v>
      </c>
      <c r="D71" s="18">
        <v>3.5000000000000003E-2</v>
      </c>
      <c r="E71" s="19">
        <f t="shared" si="5"/>
        <v>0.57142685714285713</v>
      </c>
      <c r="F71" s="18">
        <f t="shared" si="4"/>
        <v>1.9234285714285714E-2</v>
      </c>
    </row>
    <row r="72" spans="1:6">
      <c r="A72" s="10">
        <v>1881</v>
      </c>
      <c r="B72" s="17">
        <v>0.7</v>
      </c>
      <c r="C72" s="17">
        <v>0.17</v>
      </c>
      <c r="D72" s="18">
        <v>3.5499999999999997E-2</v>
      </c>
      <c r="E72" s="19">
        <f t="shared" si="5"/>
        <v>0.59066114285714288</v>
      </c>
      <c r="F72" s="18">
        <f t="shared" si="4"/>
        <v>1.9554857142857141E-2</v>
      </c>
    </row>
    <row r="73" spans="1:6">
      <c r="A73" s="10">
        <v>1882</v>
      </c>
      <c r="B73" s="17">
        <v>0.7</v>
      </c>
      <c r="C73" s="17">
        <v>0.17</v>
      </c>
      <c r="D73" s="18">
        <v>3.5999999999999997E-2</v>
      </c>
      <c r="E73" s="19">
        <f t="shared" si="5"/>
        <v>0.61021599999999998</v>
      </c>
      <c r="F73" s="18">
        <f t="shared" si="4"/>
        <v>1.9875428571428568E-2</v>
      </c>
    </row>
    <row r="74" spans="1:6">
      <c r="A74" s="10">
        <v>1883</v>
      </c>
      <c r="B74" s="17">
        <v>0.7</v>
      </c>
      <c r="C74" s="17">
        <v>0.32</v>
      </c>
      <c r="D74" s="18">
        <v>3.6499999999999998E-2</v>
      </c>
      <c r="E74" s="19">
        <f t="shared" si="5"/>
        <v>0.63009142857142852</v>
      </c>
      <c r="F74" s="18">
        <f t="shared" si="4"/>
        <v>2.1815999999999999E-2</v>
      </c>
    </row>
    <row r="75" spans="1:6">
      <c r="A75" s="10">
        <v>1884</v>
      </c>
      <c r="B75" s="17">
        <v>0.7</v>
      </c>
      <c r="C75" s="17">
        <v>0.32</v>
      </c>
      <c r="D75" s="18">
        <v>3.6999999999999998E-2</v>
      </c>
      <c r="E75" s="19">
        <f t="shared" si="5"/>
        <v>0.65190742857142847</v>
      </c>
      <c r="F75" s="18">
        <f t="shared" si="4"/>
        <v>2.2162285714285714E-2</v>
      </c>
    </row>
    <row r="76" spans="1:6">
      <c r="A76" s="10">
        <v>1885</v>
      </c>
      <c r="B76" s="17">
        <v>0.7</v>
      </c>
      <c r="C76" s="17">
        <v>0.32</v>
      </c>
      <c r="D76" s="18">
        <v>3.7499999999999999E-2</v>
      </c>
      <c r="E76" s="19">
        <f t="shared" si="5"/>
        <v>0.67406971428571416</v>
      </c>
      <c r="F76" s="18">
        <f t="shared" si="4"/>
        <v>2.250857142857143E-2</v>
      </c>
    </row>
    <row r="77" spans="1:6">
      <c r="A77" s="10">
        <v>1886</v>
      </c>
      <c r="B77" s="17">
        <v>0.7</v>
      </c>
      <c r="C77" s="17">
        <v>0.32</v>
      </c>
      <c r="D77" s="18">
        <v>3.7999999999999999E-2</v>
      </c>
      <c r="E77" s="19">
        <f t="shared" si="5"/>
        <v>0.69657828571428559</v>
      </c>
      <c r="F77" s="18">
        <f t="shared" si="4"/>
        <v>2.2854857142857146E-2</v>
      </c>
    </row>
    <row r="78" spans="1:6">
      <c r="A78" s="10">
        <v>1887</v>
      </c>
      <c r="B78" s="17">
        <v>0.7</v>
      </c>
      <c r="C78" s="17">
        <v>0.32</v>
      </c>
      <c r="D78" s="18">
        <v>3.85E-2</v>
      </c>
      <c r="E78" s="19">
        <f t="shared" si="5"/>
        <v>0.71943314285714277</v>
      </c>
      <c r="F78" s="18">
        <f t="shared" si="4"/>
        <v>2.3201142857142861E-2</v>
      </c>
    </row>
    <row r="79" spans="1:6">
      <c r="A79" s="10">
        <v>1888</v>
      </c>
      <c r="B79" s="17">
        <v>0.7</v>
      </c>
      <c r="C79" s="17">
        <v>0.32</v>
      </c>
      <c r="D79" s="18">
        <v>3.9E-2</v>
      </c>
      <c r="E79" s="19">
        <f t="shared" si="5"/>
        <v>0.74263428571428558</v>
      </c>
      <c r="F79" s="18">
        <f t="shared" si="4"/>
        <v>2.354742857142857E-2</v>
      </c>
    </row>
    <row r="80" spans="1:6">
      <c r="A80" s="10">
        <v>1889</v>
      </c>
      <c r="B80" s="17">
        <v>0.7</v>
      </c>
      <c r="C80" s="17">
        <v>0.32</v>
      </c>
      <c r="D80" s="18">
        <v>3.95E-2</v>
      </c>
      <c r="E80" s="19">
        <f t="shared" si="5"/>
        <v>0.76618171428571413</v>
      </c>
      <c r="F80" s="18">
        <f t="shared" si="4"/>
        <v>2.3893714285714285E-2</v>
      </c>
    </row>
    <row r="81" spans="1:6">
      <c r="A81" s="10">
        <v>1890</v>
      </c>
      <c r="B81" s="17">
        <v>0.7</v>
      </c>
      <c r="C81" s="17">
        <v>0.32</v>
      </c>
      <c r="D81" s="18">
        <v>0.04</v>
      </c>
      <c r="E81" s="19">
        <f t="shared" si="5"/>
        <v>0.79007542857142843</v>
      </c>
      <c r="F81" s="18">
        <f t="shared" si="4"/>
        <v>2.4240000000000001E-2</v>
      </c>
    </row>
    <row r="82" spans="1:6">
      <c r="A82" s="10">
        <v>1891</v>
      </c>
      <c r="B82" s="17">
        <v>0.7</v>
      </c>
      <c r="C82" s="17">
        <v>0.32</v>
      </c>
      <c r="D82" s="18">
        <v>0.04</v>
      </c>
      <c r="E82" s="19">
        <f t="shared" si="5"/>
        <v>0.81431542857142847</v>
      </c>
      <c r="F82" s="18">
        <f t="shared" si="4"/>
        <v>2.4240000000000001E-2</v>
      </c>
    </row>
    <row r="83" spans="1:6">
      <c r="A83" s="10">
        <v>1892</v>
      </c>
      <c r="B83" s="17">
        <v>0.7</v>
      </c>
      <c r="C83" s="17">
        <v>0.32</v>
      </c>
      <c r="D83" s="18">
        <v>0.04</v>
      </c>
      <c r="E83" s="19">
        <f t="shared" si="5"/>
        <v>0.83855542857142851</v>
      </c>
      <c r="F83" s="18">
        <f t="shared" si="4"/>
        <v>2.4240000000000001E-2</v>
      </c>
    </row>
    <row r="84" spans="1:6">
      <c r="A84" s="10">
        <v>1893</v>
      </c>
      <c r="B84" s="17">
        <v>0.7</v>
      </c>
      <c r="C84" s="17">
        <v>0.32</v>
      </c>
      <c r="D84" s="18">
        <v>0.04</v>
      </c>
      <c r="E84" s="19">
        <f t="shared" si="5"/>
        <v>0.86279542857142855</v>
      </c>
      <c r="F84" s="18">
        <f t="shared" si="4"/>
        <v>2.4240000000000001E-2</v>
      </c>
    </row>
    <row r="85" spans="1:6">
      <c r="A85" s="10">
        <v>1894</v>
      </c>
      <c r="B85" s="17">
        <v>0.7</v>
      </c>
      <c r="C85" s="17">
        <v>0.32</v>
      </c>
      <c r="D85" s="18">
        <v>0.04</v>
      </c>
      <c r="E85" s="19">
        <f t="shared" si="5"/>
        <v>0.88703542857142859</v>
      </c>
      <c r="F85" s="18">
        <f t="shared" ref="F85:F116" si="6">(D85-0.005)*0.1/0.035*(1+B85+C85)*0.01*12</f>
        <v>2.4240000000000001E-2</v>
      </c>
    </row>
    <row r="86" spans="1:6">
      <c r="A86" s="10">
        <v>1895</v>
      </c>
      <c r="B86" s="17">
        <v>0.7</v>
      </c>
      <c r="C86" s="17">
        <v>0.32</v>
      </c>
      <c r="D86" s="18">
        <v>0.04</v>
      </c>
      <c r="E86" s="19">
        <f t="shared" ref="E86:E117" si="7">MIN(1,E85+F85)</f>
        <v>0.91127542857142863</v>
      </c>
      <c r="F86" s="18">
        <f t="shared" si="6"/>
        <v>2.4240000000000001E-2</v>
      </c>
    </row>
    <row r="87" spans="1:6">
      <c r="A87" s="10">
        <v>1896</v>
      </c>
      <c r="B87" s="17">
        <v>0.7</v>
      </c>
      <c r="C87" s="17">
        <v>0.32</v>
      </c>
      <c r="D87" s="18">
        <v>0.04</v>
      </c>
      <c r="E87" s="19">
        <f t="shared" si="7"/>
        <v>0.93551542857142866</v>
      </c>
      <c r="F87" s="18">
        <f t="shared" si="6"/>
        <v>2.4240000000000001E-2</v>
      </c>
    </row>
    <row r="88" spans="1:6">
      <c r="A88" s="10">
        <v>1897</v>
      </c>
      <c r="B88" s="17">
        <v>0.7</v>
      </c>
      <c r="C88" s="17">
        <v>0.32</v>
      </c>
      <c r="D88" s="18">
        <v>0.04</v>
      </c>
      <c r="E88" s="19">
        <f t="shared" si="7"/>
        <v>0.9597554285714287</v>
      </c>
      <c r="F88" s="18">
        <f t="shared" si="6"/>
        <v>2.4240000000000001E-2</v>
      </c>
    </row>
    <row r="89" spans="1:6">
      <c r="A89" s="10">
        <v>1898</v>
      </c>
      <c r="B89" s="17">
        <v>0.7</v>
      </c>
      <c r="C89" s="17">
        <v>0.32</v>
      </c>
      <c r="D89" s="18">
        <v>0.04</v>
      </c>
      <c r="E89" s="19">
        <f t="shared" si="7"/>
        <v>0.98399542857142874</v>
      </c>
      <c r="F89" s="18">
        <f t="shared" si="6"/>
        <v>2.4240000000000001E-2</v>
      </c>
    </row>
    <row r="90" spans="1:6">
      <c r="A90" s="10">
        <v>1899</v>
      </c>
      <c r="B90" s="17">
        <v>0.7</v>
      </c>
      <c r="C90" s="17">
        <v>0.32</v>
      </c>
      <c r="D90" s="18">
        <v>0.04</v>
      </c>
      <c r="E90" s="19">
        <f t="shared" si="7"/>
        <v>1</v>
      </c>
      <c r="F90" s="18">
        <f t="shared" si="6"/>
        <v>2.4240000000000001E-2</v>
      </c>
    </row>
    <row r="91" spans="1:6">
      <c r="A91" s="10">
        <v>1900</v>
      </c>
      <c r="B91" s="17">
        <v>0.7</v>
      </c>
      <c r="C91" s="17">
        <v>0.32</v>
      </c>
      <c r="D91" s="18">
        <v>0.04</v>
      </c>
      <c r="E91" s="19">
        <f t="shared" si="7"/>
        <v>1</v>
      </c>
      <c r="F91" s="18">
        <f t="shared" si="6"/>
        <v>2.4240000000000001E-2</v>
      </c>
    </row>
    <row r="92" spans="1:6">
      <c r="A92" s="10">
        <v>1901</v>
      </c>
      <c r="B92" s="17">
        <v>0.7</v>
      </c>
      <c r="C92" s="17">
        <v>0.32</v>
      </c>
      <c r="D92" s="18">
        <v>0.04</v>
      </c>
      <c r="E92" s="19">
        <f t="shared" si="7"/>
        <v>1</v>
      </c>
      <c r="F92" s="18">
        <f t="shared" si="6"/>
        <v>2.4240000000000001E-2</v>
      </c>
    </row>
    <row r="93" spans="1:6">
      <c r="A93" s="10">
        <v>1902</v>
      </c>
      <c r="B93" s="17">
        <v>1.35</v>
      </c>
      <c r="C93" s="17">
        <v>0.32</v>
      </c>
      <c r="D93" s="18">
        <v>0.04</v>
      </c>
      <c r="E93" s="19">
        <f t="shared" si="7"/>
        <v>1</v>
      </c>
      <c r="F93" s="18">
        <f t="shared" si="6"/>
        <v>3.2039999999999999E-2</v>
      </c>
    </row>
    <row r="94" spans="1:6">
      <c r="A94" s="10">
        <v>1903</v>
      </c>
      <c r="B94" s="17">
        <v>1.35</v>
      </c>
      <c r="C94" s="17">
        <v>0.32</v>
      </c>
      <c r="D94" s="18">
        <v>0.04</v>
      </c>
      <c r="E94" s="19">
        <f t="shared" si="7"/>
        <v>1</v>
      </c>
      <c r="F94" s="18">
        <f t="shared" si="6"/>
        <v>3.2039999999999999E-2</v>
      </c>
    </row>
    <row r="95" spans="1:6">
      <c r="A95" s="10">
        <v>1904</v>
      </c>
      <c r="B95" s="17">
        <v>1.35</v>
      </c>
      <c r="C95" s="17">
        <v>0.32</v>
      </c>
      <c r="D95" s="18">
        <v>0.04</v>
      </c>
      <c r="E95" s="19">
        <f t="shared" si="7"/>
        <v>1</v>
      </c>
      <c r="F95" s="18">
        <f t="shared" si="6"/>
        <v>3.2039999999999999E-2</v>
      </c>
    </row>
    <row r="96" spans="1:6">
      <c r="A96" s="10">
        <v>1905</v>
      </c>
      <c r="B96" s="17">
        <v>1.35</v>
      </c>
      <c r="C96" s="17">
        <v>0.32</v>
      </c>
      <c r="D96" s="18">
        <v>0.04</v>
      </c>
      <c r="E96" s="19">
        <f t="shared" si="7"/>
        <v>1</v>
      </c>
      <c r="F96" s="18">
        <f t="shared" si="6"/>
        <v>3.2039999999999999E-2</v>
      </c>
    </row>
    <row r="97" spans="1:6">
      <c r="A97" s="10">
        <v>1906</v>
      </c>
      <c r="B97" s="17">
        <v>1.35</v>
      </c>
      <c r="C97" s="17">
        <v>0.32</v>
      </c>
      <c r="D97" s="18">
        <v>0.04</v>
      </c>
      <c r="E97" s="19">
        <f t="shared" si="7"/>
        <v>1</v>
      </c>
      <c r="F97" s="18">
        <f t="shared" si="6"/>
        <v>3.2039999999999999E-2</v>
      </c>
    </row>
    <row r="98" spans="1:6">
      <c r="A98" s="10">
        <v>1907</v>
      </c>
      <c r="B98" s="17">
        <v>1.35</v>
      </c>
      <c r="C98" s="17">
        <v>0.32</v>
      </c>
      <c r="D98" s="18">
        <v>0.04</v>
      </c>
      <c r="E98" s="19">
        <f t="shared" si="7"/>
        <v>1</v>
      </c>
      <c r="F98" s="18">
        <f t="shared" si="6"/>
        <v>3.2039999999999999E-2</v>
      </c>
    </row>
    <row r="99" spans="1:6">
      <c r="A99" s="10">
        <v>1908</v>
      </c>
      <c r="B99" s="17">
        <v>1.35</v>
      </c>
      <c r="C99" s="17">
        <v>0.32</v>
      </c>
      <c r="D99" s="18">
        <v>0.04</v>
      </c>
      <c r="E99" s="19">
        <f t="shared" si="7"/>
        <v>1</v>
      </c>
      <c r="F99" s="18">
        <f t="shared" si="6"/>
        <v>3.2039999999999999E-2</v>
      </c>
    </row>
    <row r="100" spans="1:6">
      <c r="A100" s="10">
        <v>1909</v>
      </c>
      <c r="B100" s="17">
        <v>1.35</v>
      </c>
      <c r="C100" s="17">
        <v>0.32</v>
      </c>
      <c r="D100" s="18">
        <v>0.04</v>
      </c>
      <c r="E100" s="19">
        <f t="shared" si="7"/>
        <v>1</v>
      </c>
      <c r="F100" s="18">
        <f t="shared" si="6"/>
        <v>3.2039999999999999E-2</v>
      </c>
    </row>
    <row r="101" spans="1:6">
      <c r="A101" s="10">
        <v>1910</v>
      </c>
      <c r="B101" s="17">
        <v>1.35</v>
      </c>
      <c r="C101" s="17">
        <v>0.32</v>
      </c>
      <c r="D101" s="18">
        <v>0.04</v>
      </c>
      <c r="E101" s="19">
        <f t="shared" si="7"/>
        <v>1</v>
      </c>
      <c r="F101" s="18">
        <f t="shared" si="6"/>
        <v>3.2039999999999999E-2</v>
      </c>
    </row>
    <row r="102" spans="1:6">
      <c r="A102" s="10">
        <v>1911</v>
      </c>
      <c r="B102" s="17">
        <v>1.35</v>
      </c>
      <c r="C102" s="17">
        <v>0.32</v>
      </c>
      <c r="D102" s="18">
        <v>0.04</v>
      </c>
      <c r="E102" s="19">
        <f t="shared" si="7"/>
        <v>1</v>
      </c>
      <c r="F102" s="18">
        <f t="shared" si="6"/>
        <v>3.2039999999999999E-2</v>
      </c>
    </row>
    <row r="103" spans="1:6">
      <c r="A103" s="10">
        <v>1912</v>
      </c>
      <c r="B103" s="17">
        <v>1.35</v>
      </c>
      <c r="C103" s="17">
        <v>0.32</v>
      </c>
      <c r="D103" s="18">
        <v>0.04</v>
      </c>
      <c r="E103" s="19">
        <f t="shared" si="7"/>
        <v>1</v>
      </c>
      <c r="F103" s="18">
        <f t="shared" si="6"/>
        <v>3.2039999999999999E-2</v>
      </c>
    </row>
    <row r="104" spans="1:6">
      <c r="A104" s="10">
        <v>1913</v>
      </c>
      <c r="B104" s="17">
        <v>1.35</v>
      </c>
      <c r="C104" s="17">
        <v>0.32</v>
      </c>
      <c r="D104" s="18">
        <v>0.04</v>
      </c>
      <c r="E104" s="19">
        <f t="shared" si="7"/>
        <v>1</v>
      </c>
      <c r="F104" s="18">
        <f t="shared" si="6"/>
        <v>3.2039999999999999E-2</v>
      </c>
    </row>
    <row r="105" spans="1:6">
      <c r="A105" s="10">
        <v>1914</v>
      </c>
      <c r="B105" s="17">
        <v>1.35</v>
      </c>
      <c r="C105" s="17">
        <v>0.32</v>
      </c>
      <c r="D105" s="18">
        <v>0.04</v>
      </c>
      <c r="E105" s="19">
        <f t="shared" si="7"/>
        <v>1</v>
      </c>
      <c r="F105" s="18">
        <f t="shared" si="6"/>
        <v>3.2039999999999999E-2</v>
      </c>
    </row>
    <row r="106" spans="1:6">
      <c r="A106" s="10">
        <v>1915</v>
      </c>
      <c r="B106" s="17">
        <v>1.35</v>
      </c>
      <c r="C106" s="17">
        <v>0.32</v>
      </c>
      <c r="D106" s="18">
        <v>0.04</v>
      </c>
      <c r="E106" s="19">
        <f t="shared" si="7"/>
        <v>1</v>
      </c>
      <c r="F106" s="18">
        <f t="shared" si="6"/>
        <v>3.2039999999999999E-2</v>
      </c>
    </row>
    <row r="107" spans="1:6">
      <c r="A107" s="10">
        <v>1916</v>
      </c>
      <c r="B107" s="17">
        <v>1.35</v>
      </c>
      <c r="C107" s="17">
        <v>0.32</v>
      </c>
      <c r="D107" s="18">
        <v>0.04</v>
      </c>
      <c r="E107" s="19">
        <f t="shared" si="7"/>
        <v>1</v>
      </c>
      <c r="F107" s="18">
        <f t="shared" si="6"/>
        <v>3.2039999999999999E-2</v>
      </c>
    </row>
    <row r="108" spans="1:6">
      <c r="A108" s="10">
        <v>1917</v>
      </c>
      <c r="B108" s="17">
        <v>1.35</v>
      </c>
      <c r="C108" s="17">
        <v>0.32</v>
      </c>
      <c r="D108" s="18">
        <v>0.04</v>
      </c>
      <c r="E108" s="19">
        <f t="shared" si="7"/>
        <v>1</v>
      </c>
      <c r="F108" s="18">
        <f t="shared" si="6"/>
        <v>3.2039999999999999E-2</v>
      </c>
    </row>
    <row r="109" spans="1:6">
      <c r="A109" s="10">
        <v>1918</v>
      </c>
      <c r="B109" s="17">
        <v>1.35</v>
      </c>
      <c r="C109" s="17">
        <v>0.32</v>
      </c>
      <c r="D109" s="18">
        <v>0.04</v>
      </c>
      <c r="E109" s="19">
        <f t="shared" si="7"/>
        <v>1</v>
      </c>
      <c r="F109" s="18">
        <f t="shared" si="6"/>
        <v>3.2039999999999999E-2</v>
      </c>
    </row>
    <row r="110" spans="1:6">
      <c r="A110" s="10">
        <v>1919</v>
      </c>
      <c r="B110" s="17">
        <v>1.35</v>
      </c>
      <c r="C110" s="17">
        <v>0.32</v>
      </c>
      <c r="D110" s="18">
        <v>0.04</v>
      </c>
      <c r="E110" s="19">
        <f t="shared" si="7"/>
        <v>1</v>
      </c>
      <c r="F110" s="18">
        <f t="shared" si="6"/>
        <v>3.2039999999999999E-2</v>
      </c>
    </row>
    <row r="111" spans="1:6">
      <c r="A111" s="10">
        <v>1920</v>
      </c>
      <c r="B111" s="17">
        <v>1.35</v>
      </c>
      <c r="C111" s="17">
        <v>0.32</v>
      </c>
      <c r="D111" s="18">
        <v>0.04</v>
      </c>
      <c r="E111" s="19">
        <f t="shared" si="7"/>
        <v>1</v>
      </c>
      <c r="F111" s="18">
        <f t="shared" si="6"/>
        <v>3.2039999999999999E-2</v>
      </c>
    </row>
    <row r="112" spans="1:6">
      <c r="A112" s="10">
        <v>1921</v>
      </c>
      <c r="B112" s="17">
        <v>1.35</v>
      </c>
      <c r="C112" s="17">
        <v>0.32</v>
      </c>
      <c r="D112" s="18">
        <v>0.04</v>
      </c>
      <c r="E112" s="19">
        <f t="shared" si="7"/>
        <v>1</v>
      </c>
      <c r="F112" s="18">
        <f t="shared" si="6"/>
        <v>3.2039999999999999E-2</v>
      </c>
    </row>
    <row r="113" spans="1:6">
      <c r="A113" s="10">
        <v>1922</v>
      </c>
      <c r="B113" s="17">
        <v>1.35</v>
      </c>
      <c r="C113" s="17">
        <v>0.32</v>
      </c>
      <c r="D113" s="18">
        <v>0.04</v>
      </c>
      <c r="E113" s="19">
        <f t="shared" si="7"/>
        <v>1</v>
      </c>
      <c r="F113" s="18">
        <f t="shared" si="6"/>
        <v>3.2039999999999999E-2</v>
      </c>
    </row>
    <row r="114" spans="1:6">
      <c r="A114" s="10">
        <v>1923</v>
      </c>
      <c r="B114" s="17">
        <v>1.35</v>
      </c>
      <c r="C114" s="17">
        <v>0.32</v>
      </c>
      <c r="D114" s="18">
        <v>0.04</v>
      </c>
      <c r="E114" s="19">
        <f t="shared" si="7"/>
        <v>1</v>
      </c>
      <c r="F114" s="18">
        <f t="shared" si="6"/>
        <v>3.2039999999999999E-2</v>
      </c>
    </row>
    <row r="115" spans="1:6">
      <c r="A115" s="10">
        <v>1924</v>
      </c>
      <c r="B115" s="17">
        <v>1.35</v>
      </c>
      <c r="C115" s="17">
        <v>0.32</v>
      </c>
      <c r="D115" s="18">
        <v>0.04</v>
      </c>
      <c r="E115" s="19">
        <f t="shared" si="7"/>
        <v>1</v>
      </c>
      <c r="F115" s="18">
        <f t="shared" si="6"/>
        <v>3.2039999999999999E-2</v>
      </c>
    </row>
    <row r="116" spans="1:6">
      <c r="A116" s="10">
        <v>1925</v>
      </c>
      <c r="B116" s="17">
        <v>1.35</v>
      </c>
      <c r="C116" s="17">
        <v>0.32</v>
      </c>
      <c r="D116" s="18">
        <v>0.04</v>
      </c>
      <c r="E116" s="19">
        <f t="shared" si="7"/>
        <v>1</v>
      </c>
      <c r="F116" s="18">
        <f t="shared" si="6"/>
        <v>3.2039999999999999E-2</v>
      </c>
    </row>
    <row r="117" spans="1:6">
      <c r="A117" s="10">
        <v>1926</v>
      </c>
      <c r="B117" s="17">
        <v>1.35</v>
      </c>
      <c r="C117" s="17">
        <v>0.32</v>
      </c>
      <c r="D117" s="18">
        <v>0.04</v>
      </c>
      <c r="E117" s="19">
        <f t="shared" si="7"/>
        <v>1</v>
      </c>
      <c r="F117" s="18">
        <f t="shared" ref="F117:F127" si="8">(D117-0.005)*0.1/0.035*(1+B117+C117)*0.01*12</f>
        <v>3.2039999999999999E-2</v>
      </c>
    </row>
    <row r="118" spans="1:6">
      <c r="A118" s="10">
        <v>1927</v>
      </c>
      <c r="B118" s="17">
        <v>1.35</v>
      </c>
      <c r="C118" s="17">
        <v>0.32</v>
      </c>
      <c r="D118" s="18">
        <v>0.04</v>
      </c>
      <c r="E118" s="19">
        <f t="shared" ref="E118:E127" si="9">MIN(1,E117+F117)</f>
        <v>1</v>
      </c>
      <c r="F118" s="18">
        <f t="shared" si="8"/>
        <v>3.2039999999999999E-2</v>
      </c>
    </row>
    <row r="119" spans="1:6">
      <c r="A119" s="10">
        <v>1928</v>
      </c>
      <c r="B119" s="17">
        <v>1.35</v>
      </c>
      <c r="C119" s="17">
        <v>0.32</v>
      </c>
      <c r="D119" s="18">
        <v>0.04</v>
      </c>
      <c r="E119" s="19">
        <f t="shared" si="9"/>
        <v>1</v>
      </c>
      <c r="F119" s="18">
        <f t="shared" si="8"/>
        <v>3.2039999999999999E-2</v>
      </c>
    </row>
    <row r="120" spans="1:6">
      <c r="A120" s="10">
        <v>1929</v>
      </c>
      <c r="B120" s="17">
        <v>1.35</v>
      </c>
      <c r="C120" s="17">
        <v>0.32</v>
      </c>
      <c r="D120" s="18">
        <v>0.04</v>
      </c>
      <c r="E120" s="19">
        <f t="shared" si="9"/>
        <v>1</v>
      </c>
      <c r="F120" s="18">
        <f t="shared" si="8"/>
        <v>3.2039999999999999E-2</v>
      </c>
    </row>
    <row r="121" spans="1:6">
      <c r="A121" s="10">
        <v>1930</v>
      </c>
      <c r="B121" s="17">
        <v>1.35</v>
      </c>
      <c r="C121" s="17">
        <v>0.32</v>
      </c>
      <c r="D121" s="18">
        <v>0.04</v>
      </c>
      <c r="E121" s="19">
        <f t="shared" si="9"/>
        <v>1</v>
      </c>
      <c r="F121" s="18">
        <f t="shared" si="8"/>
        <v>3.2039999999999999E-2</v>
      </c>
    </row>
    <row r="122" spans="1:6">
      <c r="A122" s="10">
        <v>1931</v>
      </c>
      <c r="B122" s="17">
        <v>1.35</v>
      </c>
      <c r="C122" s="17">
        <v>0.32</v>
      </c>
      <c r="D122" s="18">
        <v>0.04</v>
      </c>
      <c r="E122" s="19">
        <f t="shared" si="9"/>
        <v>1</v>
      </c>
      <c r="F122" s="18">
        <f t="shared" si="8"/>
        <v>3.2039999999999999E-2</v>
      </c>
    </row>
    <row r="123" spans="1:6">
      <c r="A123" s="10">
        <v>1932</v>
      </c>
      <c r="B123" s="17">
        <v>1.35</v>
      </c>
      <c r="C123" s="17">
        <v>0.32</v>
      </c>
      <c r="D123" s="18">
        <v>0.04</v>
      </c>
      <c r="E123" s="19">
        <f t="shared" si="9"/>
        <v>1</v>
      </c>
      <c r="F123" s="18">
        <f t="shared" si="8"/>
        <v>3.2039999999999999E-2</v>
      </c>
    </row>
    <row r="124" spans="1:6">
      <c r="A124" s="10">
        <v>1933</v>
      </c>
      <c r="B124" s="17">
        <v>1.35</v>
      </c>
      <c r="C124" s="17">
        <v>0.32</v>
      </c>
      <c r="D124" s="18">
        <v>0.04</v>
      </c>
      <c r="E124" s="19">
        <f t="shared" si="9"/>
        <v>1</v>
      </c>
      <c r="F124" s="18">
        <f t="shared" si="8"/>
        <v>3.2039999999999999E-2</v>
      </c>
    </row>
    <row r="125" spans="1:6">
      <c r="A125" s="10">
        <v>1934</v>
      </c>
      <c r="B125" s="17">
        <v>1.35</v>
      </c>
      <c r="C125" s="17">
        <v>0.32</v>
      </c>
      <c r="D125" s="18">
        <v>0.04</v>
      </c>
      <c r="E125" s="19">
        <f t="shared" si="9"/>
        <v>1</v>
      </c>
      <c r="F125" s="18">
        <f t="shared" si="8"/>
        <v>3.2039999999999999E-2</v>
      </c>
    </row>
    <row r="126" spans="1:6">
      <c r="A126" s="10">
        <v>1935</v>
      </c>
      <c r="B126" s="17">
        <v>1.35</v>
      </c>
      <c r="C126" s="17">
        <v>0.32</v>
      </c>
      <c r="D126" s="18">
        <v>0.04</v>
      </c>
      <c r="E126" s="19">
        <f t="shared" si="9"/>
        <v>1</v>
      </c>
      <c r="F126" s="18">
        <f t="shared" si="8"/>
        <v>3.2039999999999999E-2</v>
      </c>
    </row>
    <row r="127" spans="1:6">
      <c r="A127" s="10">
        <v>1936</v>
      </c>
      <c r="B127" s="17">
        <v>1.35</v>
      </c>
      <c r="C127" s="17">
        <v>0.32</v>
      </c>
      <c r="D127" s="18">
        <v>0.04</v>
      </c>
      <c r="E127" s="19">
        <f t="shared" si="9"/>
        <v>1</v>
      </c>
      <c r="F127" s="18">
        <f t="shared" si="8"/>
        <v>3.2039999999999999E-2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7"/>
  <sheetViews>
    <sheetView topLeftCell="I1" zoomScale="120" zoomScaleNormal="120" workbookViewId="0">
      <selection activeCell="K13" sqref="K13"/>
    </sheetView>
  </sheetViews>
  <sheetFormatPr defaultColWidth="8.85546875" defaultRowHeight="15"/>
  <cols>
    <col min="1" max="1" width="6.5703125" style="6" customWidth="1"/>
    <col min="2" max="2" width="9.7109375" style="6" customWidth="1"/>
    <col min="3" max="3" width="14.42578125" style="6" customWidth="1"/>
    <col min="4" max="4" width="14.5703125" style="6" customWidth="1"/>
    <col min="5" max="5" width="17.5703125" style="6" customWidth="1"/>
    <col min="6" max="6" width="17.7109375" style="6" customWidth="1"/>
    <col min="7" max="7" width="10.5703125" style="6" customWidth="1"/>
    <col min="8" max="8" width="28.5703125" style="6" customWidth="1"/>
    <col min="9" max="9" width="20.7109375" style="6" customWidth="1"/>
    <col min="10" max="10" width="19.42578125" style="6" customWidth="1"/>
    <col min="11" max="11" width="15.5703125" style="6" customWidth="1"/>
    <col min="12" max="12" width="20.42578125" style="6" customWidth="1"/>
    <col min="13" max="13" width="18.140625" style="6" customWidth="1"/>
    <col min="14" max="14" width="18.42578125" style="6" customWidth="1"/>
    <col min="15" max="15" width="15.5703125" style="6" customWidth="1"/>
    <col min="16" max="16" width="18.42578125" style="6" customWidth="1"/>
    <col min="17" max="17" width="13" style="6" customWidth="1"/>
    <col min="18" max="18" width="14.42578125" style="6" customWidth="1"/>
    <col min="19" max="19" width="13.85546875" style="6" customWidth="1"/>
    <col min="20" max="20" width="9.85546875" style="6" customWidth="1"/>
    <col min="21" max="21" width="13.85546875" style="6" customWidth="1"/>
    <col min="22" max="22" width="9.85546875" style="6" customWidth="1"/>
    <col min="23" max="23" width="13.85546875" style="6" customWidth="1"/>
    <col min="24" max="24" width="9.85546875" style="6" customWidth="1"/>
    <col min="25" max="25" width="13.85546875" style="6" customWidth="1"/>
    <col min="26" max="26" width="8.140625" style="6" customWidth="1"/>
    <col min="27" max="16384" width="8.85546875" style="6"/>
  </cols>
  <sheetData>
    <row r="1" spans="1:26">
      <c r="A1" s="21" t="s">
        <v>0</v>
      </c>
      <c r="B1" s="21" t="s">
        <v>70</v>
      </c>
      <c r="C1" s="21" t="s">
        <v>71</v>
      </c>
      <c r="D1" s="21" t="s">
        <v>72</v>
      </c>
      <c r="E1" s="21" t="s">
        <v>73</v>
      </c>
      <c r="F1" s="21" t="s">
        <v>74</v>
      </c>
      <c r="G1" s="21" t="s">
        <v>3</v>
      </c>
      <c r="H1" s="21" t="s">
        <v>75</v>
      </c>
      <c r="I1" s="21" t="s">
        <v>76</v>
      </c>
      <c r="J1" s="21" t="s">
        <v>77</v>
      </c>
      <c r="K1" s="21" t="s">
        <v>78</v>
      </c>
      <c r="L1" s="21" t="s">
        <v>79</v>
      </c>
      <c r="M1" s="21" t="s">
        <v>80</v>
      </c>
      <c r="N1" s="10" t="s">
        <v>81</v>
      </c>
      <c r="O1" s="10" t="s">
        <v>82</v>
      </c>
      <c r="P1" s="10" t="s">
        <v>83</v>
      </c>
      <c r="Q1" s="10" t="s">
        <v>84</v>
      </c>
      <c r="R1" s="10" t="s">
        <v>85</v>
      </c>
      <c r="V1" s="5" t="s">
        <v>86</v>
      </c>
      <c r="W1" s="5"/>
      <c r="X1" s="5"/>
    </row>
    <row r="2" spans="1:26">
      <c r="A2" s="10">
        <v>1830</v>
      </c>
      <c r="B2" s="11">
        <v>100000</v>
      </c>
      <c r="C2" s="11">
        <v>0</v>
      </c>
      <c r="D2" s="22">
        <v>0</v>
      </c>
      <c r="E2" s="23">
        <f t="shared" ref="E2:E22" si="0">C2/B2</f>
        <v>0</v>
      </c>
      <c r="F2" s="23">
        <f t="shared" ref="F2:F22" si="1">D2/B2</f>
        <v>0</v>
      </c>
      <c r="G2" s="7">
        <v>0.01</v>
      </c>
      <c r="H2" s="13">
        <f t="shared" ref="H2:H22" si="2">MIN((D2/B2)/(0.01+(J2*0.001))+I2,1)</f>
        <v>0.4</v>
      </c>
      <c r="I2" s="17">
        <v>0.4</v>
      </c>
      <c r="J2" s="22">
        <v>0</v>
      </c>
      <c r="K2" s="11">
        <f>B2/500/4*(0.3-IF($N$2="Yes",0.1,0)+VLOOKUP(G2,$V$3:$W$11,2,1))*H2*12</f>
        <v>72</v>
      </c>
      <c r="L2" s="13">
        <f t="shared" ref="L2:L22" si="3">(VLOOKUP(G2,$T$15:$U$21,2,1)+VLOOKUP($O$2,$T$26:$U$36,2,1)-0.12)*IF(E2&gt;0.041,0,1)</f>
        <v>0.13999999999999996</v>
      </c>
      <c r="M2" s="13">
        <f t="shared" ref="M2:M22" si="4">VLOOKUP(G2,$X$15:$Y$22,2,1)+VLOOKUP($P$2,$X$26:$Y$37,2,1)*IF(F2&gt;0.04,0,1)</f>
        <v>0.02</v>
      </c>
      <c r="N2" s="10" t="s">
        <v>58</v>
      </c>
      <c r="O2" s="7">
        <v>1</v>
      </c>
      <c r="P2" s="7">
        <v>0.1</v>
      </c>
      <c r="Q2" s="22">
        <v>35</v>
      </c>
      <c r="R2" s="13">
        <v>0</v>
      </c>
      <c r="V2" s="10" t="s">
        <v>3</v>
      </c>
      <c r="W2" s="10" t="s">
        <v>87</v>
      </c>
      <c r="X2" s="10" t="s">
        <v>88</v>
      </c>
    </row>
    <row r="3" spans="1:26">
      <c r="A3" s="10">
        <v>1831</v>
      </c>
      <c r="B3" s="11">
        <f t="shared" ref="B3:B22" si="5">B2*(1+MAX(($Q$2-30)*0.0001+0.0001+$R$2,0))-K2</f>
        <v>99988</v>
      </c>
      <c r="C3" s="11">
        <f t="shared" ref="C3:C22" si="6">C2*(1+MAX(($Q$2-30)*0.0001+0.0001+$R$2,0))+K2*IF(M2=0,1,L2/M2)</f>
        <v>503.99999999999983</v>
      </c>
      <c r="D3" s="22">
        <f t="shared" ref="D3:D22" si="7">D2*(1+MAX(($Q$2-30)*0.0001+0.0001+$R$2,0))+K2*IF(L2=0,1,M2/L2)</f>
        <v>10.285714285714288</v>
      </c>
      <c r="E3" s="23">
        <f t="shared" si="0"/>
        <v>5.0406048725847082E-3</v>
      </c>
      <c r="F3" s="23">
        <f t="shared" si="1"/>
        <v>1.0286948719560636E-4</v>
      </c>
      <c r="G3" s="7">
        <v>0.01</v>
      </c>
      <c r="H3" s="13">
        <f t="shared" si="2"/>
        <v>0.41028694871956067</v>
      </c>
      <c r="I3" s="17">
        <v>0.4</v>
      </c>
      <c r="J3" s="22">
        <v>0</v>
      </c>
      <c r="K3" s="11">
        <f t="shared" ref="K3:K22" si="8">B3/500/4*(0.3-IF($N$2="Yes",0.1,0)+VLOOKUP(G3,$V$3:$W$11,2,TRUE()))*H3*12</f>
        <v>73.842788571428571</v>
      </c>
      <c r="L3" s="13">
        <f t="shared" si="3"/>
        <v>0.13999999999999996</v>
      </c>
      <c r="M3" s="13">
        <f t="shared" si="4"/>
        <v>0.02</v>
      </c>
      <c r="V3" s="24">
        <v>0</v>
      </c>
      <c r="W3" s="24">
        <f>SUM(X3)</f>
        <v>0</v>
      </c>
      <c r="X3" s="23">
        <v>0</v>
      </c>
    </row>
    <row r="4" spans="1:26">
      <c r="A4" s="10">
        <v>1832</v>
      </c>
      <c r="B4" s="11">
        <f t="shared" si="5"/>
        <v>99974.150011428559</v>
      </c>
      <c r="C4" s="11">
        <f t="shared" si="6"/>
        <v>1021.2019199999996</v>
      </c>
      <c r="D4" s="22">
        <f t="shared" si="7"/>
        <v>20.840855510204086</v>
      </c>
      <c r="E4" s="23">
        <f t="shared" si="0"/>
        <v>1.0214659688362049E-2</v>
      </c>
      <c r="F4" s="23">
        <f t="shared" si="1"/>
        <v>2.0846244261963379E-4</v>
      </c>
      <c r="G4" s="7">
        <v>0.01</v>
      </c>
      <c r="H4" s="13">
        <f t="shared" si="2"/>
        <v>0.42084624426196338</v>
      </c>
      <c r="I4" s="17">
        <v>0.4</v>
      </c>
      <c r="J4" s="22">
        <v>0</v>
      </c>
      <c r="K4" s="11">
        <f t="shared" si="8"/>
        <v>75.732742000065286</v>
      </c>
      <c r="L4" s="13">
        <f t="shared" si="3"/>
        <v>0.13999999999999996</v>
      </c>
      <c r="M4" s="13">
        <f t="shared" si="4"/>
        <v>0.02</v>
      </c>
      <c r="V4" s="25">
        <v>0.1</v>
      </c>
      <c r="W4" s="24">
        <f>SUM(X3:X4)</f>
        <v>3.2000000000000001E-2</v>
      </c>
      <c r="X4" s="13">
        <v>3.2000000000000001E-2</v>
      </c>
    </row>
    <row r="5" spans="1:26">
      <c r="A5" s="10">
        <v>1833</v>
      </c>
      <c r="B5" s="11">
        <f t="shared" si="5"/>
        <v>99958.40175943535</v>
      </c>
      <c r="C5" s="11">
        <f t="shared" si="6"/>
        <v>1551.9438351524564</v>
      </c>
      <c r="D5" s="22">
        <f t="shared" si="7"/>
        <v>31.672323166376682</v>
      </c>
      <c r="E5" s="23">
        <f t="shared" si="0"/>
        <v>1.5525896851446648E-2</v>
      </c>
      <c r="F5" s="23">
        <f t="shared" si="1"/>
        <v>3.1685503778462569E-4</v>
      </c>
      <c r="G5" s="7">
        <v>0.01</v>
      </c>
      <c r="H5" s="13">
        <f t="shared" si="2"/>
        <v>0.4316855037784626</v>
      </c>
      <c r="I5" s="17">
        <v>0.4</v>
      </c>
      <c r="J5" s="22">
        <v>0</v>
      </c>
      <c r="K5" s="11">
        <f t="shared" si="8"/>
        <v>77.671067436741254</v>
      </c>
      <c r="L5" s="13">
        <f t="shared" si="3"/>
        <v>0.13999999999999996</v>
      </c>
      <c r="M5" s="13">
        <f t="shared" si="4"/>
        <v>0.02</v>
      </c>
      <c r="V5" s="25">
        <v>0.2</v>
      </c>
      <c r="W5" s="19">
        <f>SUM(X3:X5)</f>
        <v>5.5E-2</v>
      </c>
      <c r="X5" s="13">
        <v>2.3E-2</v>
      </c>
    </row>
    <row r="6" spans="1:26">
      <c r="A6" s="10">
        <v>1834</v>
      </c>
      <c r="B6" s="11">
        <f t="shared" si="5"/>
        <v>99940.705733054274</v>
      </c>
      <c r="C6" s="11">
        <f t="shared" si="6"/>
        <v>2096.5724735107365</v>
      </c>
      <c r="D6" s="22">
        <f t="shared" si="7"/>
        <v>42.787193336953834</v>
      </c>
      <c r="E6" s="23">
        <f t="shared" si="0"/>
        <v>2.0978163583422832E-2</v>
      </c>
      <c r="F6" s="23">
        <f t="shared" si="1"/>
        <v>4.2812578741679275E-4</v>
      </c>
      <c r="G6" s="7">
        <v>0.01</v>
      </c>
      <c r="H6" s="13">
        <f t="shared" si="2"/>
        <v>0.44281257874167929</v>
      </c>
      <c r="I6" s="17">
        <v>0.4</v>
      </c>
      <c r="J6" s="22">
        <v>0</v>
      </c>
      <c r="K6" s="11">
        <f t="shared" si="8"/>
        <v>79.659002928450761</v>
      </c>
      <c r="L6" s="13">
        <f t="shared" si="3"/>
        <v>0.13999999999999996</v>
      </c>
      <c r="M6" s="13">
        <f t="shared" si="4"/>
        <v>0.02</v>
      </c>
      <c r="V6" s="25">
        <v>0.3</v>
      </c>
      <c r="W6" s="19">
        <f>SUM(X3:X6)</f>
        <v>7.5999999999999998E-2</v>
      </c>
      <c r="X6" s="13">
        <v>2.1000000000000001E-2</v>
      </c>
    </row>
    <row r="7" spans="1:26">
      <c r="A7" s="10">
        <v>1835</v>
      </c>
      <c r="B7" s="11">
        <f t="shared" si="5"/>
        <v>99921.011153565647</v>
      </c>
      <c r="C7" s="11">
        <f t="shared" si="6"/>
        <v>2655.4434374939979</v>
      </c>
      <c r="D7" s="22">
        <f t="shared" si="7"/>
        <v>54.192723214163266</v>
      </c>
      <c r="E7" s="23">
        <f t="shared" si="0"/>
        <v>2.6575425997370318E-2</v>
      </c>
      <c r="F7" s="23">
        <f t="shared" si="1"/>
        <v>5.4235563259939464E-4</v>
      </c>
      <c r="G7" s="7">
        <v>0.01</v>
      </c>
      <c r="H7" s="13">
        <f t="shared" si="2"/>
        <v>0.45423556325993947</v>
      </c>
      <c r="I7" s="17">
        <v>0.4</v>
      </c>
      <c r="J7" s="22">
        <v>0</v>
      </c>
      <c r="K7" s="11">
        <f t="shared" si="8"/>
        <v>81.697818209116647</v>
      </c>
      <c r="L7" s="13">
        <f t="shared" si="3"/>
        <v>0.13999999999999996</v>
      </c>
      <c r="M7" s="13">
        <f t="shared" si="4"/>
        <v>0.02</v>
      </c>
      <c r="V7" s="25">
        <v>0.4</v>
      </c>
      <c r="W7" s="19">
        <f>SUM(X3:X7)</f>
        <v>9.6000000000000002E-2</v>
      </c>
      <c r="X7" s="13">
        <v>0.02</v>
      </c>
    </row>
    <row r="8" spans="1:26">
      <c r="A8" s="10">
        <v>1836</v>
      </c>
      <c r="B8" s="11">
        <f t="shared" si="5"/>
        <v>99899.265942048674</v>
      </c>
      <c r="C8" s="11">
        <f t="shared" si="6"/>
        <v>3228.9214310203106</v>
      </c>
      <c r="D8" s="22">
        <f t="shared" si="7"/>
        <v>65.896355735108429</v>
      </c>
      <c r="E8" s="23">
        <f t="shared" si="0"/>
        <v>3.2321773344094445E-2</v>
      </c>
      <c r="F8" s="23">
        <f t="shared" si="1"/>
        <v>6.5962802743049927E-4</v>
      </c>
      <c r="G8" s="7">
        <v>0.01</v>
      </c>
      <c r="H8" s="13">
        <f t="shared" si="2"/>
        <v>0.46596280274304996</v>
      </c>
      <c r="I8" s="17">
        <v>0.4</v>
      </c>
      <c r="J8" s="22">
        <v>0</v>
      </c>
      <c r="K8" s="11">
        <f t="shared" si="8"/>
        <v>83.788815510594574</v>
      </c>
      <c r="L8" s="13">
        <f t="shared" si="3"/>
        <v>0.13999999999999996</v>
      </c>
      <c r="M8" s="13">
        <f t="shared" si="4"/>
        <v>0.02</v>
      </c>
      <c r="V8" s="25">
        <v>0.51</v>
      </c>
      <c r="W8" s="19">
        <f>SUM(X3:X8)</f>
        <v>0.11700000000000001</v>
      </c>
      <c r="X8" s="13">
        <v>2.1000000000000001E-2</v>
      </c>
    </row>
    <row r="9" spans="1:26">
      <c r="A9" s="10">
        <v>1837</v>
      </c>
      <c r="B9" s="11">
        <f t="shared" si="5"/>
        <v>99875.416686103301</v>
      </c>
      <c r="C9" s="11">
        <f t="shared" si="6"/>
        <v>3817.3804924530846</v>
      </c>
      <c r="D9" s="22">
        <f t="shared" si="7"/>
        <v>77.905724335777293</v>
      </c>
      <c r="E9" s="23">
        <f t="shared" si="0"/>
        <v>3.8221422439224086E-2</v>
      </c>
      <c r="F9" s="23">
        <f t="shared" si="1"/>
        <v>7.800290293719207E-4</v>
      </c>
      <c r="G9" s="7">
        <v>0.01</v>
      </c>
      <c r="H9" s="13">
        <f t="shared" si="2"/>
        <v>0.47800290293719211</v>
      </c>
      <c r="I9" s="17">
        <v>0.4</v>
      </c>
      <c r="J9" s="22">
        <v>0</v>
      </c>
      <c r="K9" s="11">
        <f t="shared" si="8"/>
        <v>85.933330394434293</v>
      </c>
      <c r="L9" s="13">
        <f t="shared" si="3"/>
        <v>0.13999999999999996</v>
      </c>
      <c r="M9" s="13">
        <f t="shared" si="4"/>
        <v>0.02</v>
      </c>
      <c r="V9" s="25">
        <v>0.62</v>
      </c>
      <c r="W9" s="19">
        <f>SUM(X3:X9)</f>
        <v>0.13900000000000001</v>
      </c>
      <c r="X9" s="13">
        <v>2.1999999999999999E-2</v>
      </c>
    </row>
    <row r="10" spans="1:26">
      <c r="A10" s="10">
        <v>1838</v>
      </c>
      <c r="B10" s="11">
        <f t="shared" si="5"/>
        <v>99849.408605720528</v>
      </c>
      <c r="C10" s="11">
        <f t="shared" si="6"/>
        <v>4421.2042335095957</v>
      </c>
      <c r="D10" s="22">
        <f t="shared" si="7"/>
        <v>90.228657826726518</v>
      </c>
      <c r="E10" s="23">
        <f t="shared" si="0"/>
        <v>4.4278722280347065E-2</v>
      </c>
      <c r="F10" s="23">
        <f t="shared" si="1"/>
        <v>9.036473934764715E-4</v>
      </c>
      <c r="G10" s="7">
        <v>0.01</v>
      </c>
      <c r="H10" s="13">
        <f t="shared" si="2"/>
        <v>0.49036473934764718</v>
      </c>
      <c r="I10" s="17">
        <v>0.4</v>
      </c>
      <c r="J10" s="22">
        <v>0</v>
      </c>
      <c r="K10" s="11">
        <f t="shared" si="8"/>
        <v>88.132732604929558</v>
      </c>
      <c r="L10" s="13">
        <f t="shared" si="3"/>
        <v>0</v>
      </c>
      <c r="M10" s="13">
        <f t="shared" si="4"/>
        <v>0.02</v>
      </c>
      <c r="V10" s="25">
        <v>0.75</v>
      </c>
      <c r="W10" s="19">
        <f>SUM(X3:X10)</f>
        <v>0.16200000000000001</v>
      </c>
      <c r="X10" s="13">
        <v>2.3E-2</v>
      </c>
    </row>
    <row r="11" spans="1:26">
      <c r="A11" s="10">
        <v>1839</v>
      </c>
      <c r="B11" s="11">
        <f t="shared" si="5"/>
        <v>99821.185518279017</v>
      </c>
      <c r="C11" s="11">
        <f t="shared" si="6"/>
        <v>4423.8569560497008</v>
      </c>
      <c r="D11" s="22">
        <f t="shared" si="7"/>
        <v>178.41552762635212</v>
      </c>
      <c r="E11" s="23">
        <f t="shared" si="0"/>
        <v>4.4317816233905724E-2</v>
      </c>
      <c r="F11" s="23">
        <f t="shared" si="1"/>
        <v>1.7873513192615919E-3</v>
      </c>
      <c r="G11" s="7">
        <v>0.01</v>
      </c>
      <c r="H11" s="13">
        <f t="shared" si="2"/>
        <v>0.57873513192615922</v>
      </c>
      <c r="I11" s="17">
        <v>0.4</v>
      </c>
      <c r="J11" s="22">
        <v>0</v>
      </c>
      <c r="K11" s="11">
        <f t="shared" si="8"/>
        <v>103.98604854590428</v>
      </c>
      <c r="L11" s="13">
        <f t="shared" si="3"/>
        <v>0</v>
      </c>
      <c r="M11" s="13">
        <f t="shared" si="4"/>
        <v>0.02</v>
      </c>
      <c r="V11" s="25">
        <v>0.9</v>
      </c>
      <c r="W11" s="19">
        <f>SUM(X3:X11)</f>
        <v>0.186</v>
      </c>
      <c r="X11" s="13">
        <v>2.4E-2</v>
      </c>
    </row>
    <row r="12" spans="1:26">
      <c r="A12" s="10">
        <v>1840</v>
      </c>
      <c r="B12" s="11">
        <f t="shared" si="5"/>
        <v>99777.092181044078</v>
      </c>
      <c r="C12" s="11">
        <f t="shared" si="6"/>
        <v>4426.51127022333</v>
      </c>
      <c r="D12" s="22">
        <f t="shared" si="7"/>
        <v>282.50862548883219</v>
      </c>
      <c r="E12" s="23">
        <f t="shared" si="0"/>
        <v>4.4364003534914508E-2</v>
      </c>
      <c r="F12" s="23">
        <f t="shared" si="1"/>
        <v>2.8313976616619013E-3</v>
      </c>
      <c r="G12" s="7">
        <v>0.01</v>
      </c>
      <c r="H12" s="13">
        <f t="shared" si="2"/>
        <v>0.68313976616619021</v>
      </c>
      <c r="I12" s="17">
        <v>0.4</v>
      </c>
      <c r="J12" s="22">
        <v>0</v>
      </c>
      <c r="K12" s="11">
        <f t="shared" si="8"/>
        <v>122.69105895834154</v>
      </c>
      <c r="L12" s="13">
        <f t="shared" si="3"/>
        <v>0</v>
      </c>
      <c r="M12" s="13">
        <f t="shared" si="4"/>
        <v>0.02</v>
      </c>
    </row>
    <row r="13" spans="1:26">
      <c r="A13" s="10">
        <v>1841</v>
      </c>
      <c r="B13" s="11">
        <f t="shared" si="5"/>
        <v>99714.267377394353</v>
      </c>
      <c r="C13" s="11">
        <f t="shared" si="6"/>
        <v>4429.1671769854638</v>
      </c>
      <c r="D13" s="22">
        <f t="shared" si="7"/>
        <v>405.36918962246705</v>
      </c>
      <c r="E13" s="23">
        <f t="shared" si="0"/>
        <v>4.4418590172478914E-2</v>
      </c>
      <c r="F13" s="23">
        <f t="shared" si="1"/>
        <v>4.0653078068381412E-3</v>
      </c>
      <c r="G13" s="7">
        <v>0.01</v>
      </c>
      <c r="H13" s="13">
        <f t="shared" si="2"/>
        <v>0.80653078068381412</v>
      </c>
      <c r="I13" s="17">
        <v>0.4</v>
      </c>
      <c r="J13" s="22">
        <v>0</v>
      </c>
      <c r="K13" s="11">
        <f t="shared" si="8"/>
        <v>144.76072664376801</v>
      </c>
      <c r="L13" s="13">
        <f t="shared" si="3"/>
        <v>0</v>
      </c>
      <c r="M13" s="13">
        <f t="shared" si="4"/>
        <v>0.02</v>
      </c>
      <c r="T13" s="5" t="s">
        <v>89</v>
      </c>
      <c r="U13" s="5"/>
      <c r="V13" s="5"/>
      <c r="X13" s="5" t="s">
        <v>90</v>
      </c>
      <c r="Y13" s="5"/>
      <c r="Z13" s="5"/>
    </row>
    <row r="14" spans="1:26">
      <c r="A14" s="10">
        <v>1842</v>
      </c>
      <c r="B14" s="11">
        <f t="shared" si="5"/>
        <v>99629.335211177007</v>
      </c>
      <c r="C14" s="11">
        <f t="shared" si="6"/>
        <v>4431.8246772916546</v>
      </c>
      <c r="D14" s="22">
        <f t="shared" si="7"/>
        <v>550.37313778000851</v>
      </c>
      <c r="E14" s="23">
        <f t="shared" si="0"/>
        <v>4.4483130073063724E-2</v>
      </c>
      <c r="F14" s="23">
        <f t="shared" si="1"/>
        <v>5.5242076704960733E-3</v>
      </c>
      <c r="G14" s="7">
        <v>0.01</v>
      </c>
      <c r="H14" s="13">
        <f t="shared" si="2"/>
        <v>0.95242076704960732</v>
      </c>
      <c r="I14" s="17">
        <v>0.4</v>
      </c>
      <c r="J14" s="22">
        <v>0</v>
      </c>
      <c r="K14" s="11">
        <f t="shared" si="8"/>
        <v>170.80028615244896</v>
      </c>
      <c r="L14" s="13">
        <f t="shared" si="3"/>
        <v>0</v>
      </c>
      <c r="M14" s="13">
        <f t="shared" si="4"/>
        <v>0.02</v>
      </c>
      <c r="T14" s="10" t="s">
        <v>3</v>
      </c>
      <c r="U14" s="10" t="s">
        <v>87</v>
      </c>
      <c r="V14" s="10" t="s">
        <v>88</v>
      </c>
      <c r="X14" s="10" t="s">
        <v>3</v>
      </c>
      <c r="Y14" s="10" t="s">
        <v>87</v>
      </c>
      <c r="Z14" s="10" t="s">
        <v>88</v>
      </c>
    </row>
    <row r="15" spans="1:26">
      <c r="A15" s="10">
        <v>1843</v>
      </c>
      <c r="B15" s="11">
        <f t="shared" si="5"/>
        <v>99518.312526151261</v>
      </c>
      <c r="C15" s="11">
        <f t="shared" si="6"/>
        <v>4434.4837720980295</v>
      </c>
      <c r="D15" s="22">
        <f t="shared" si="7"/>
        <v>721.50364781512542</v>
      </c>
      <c r="E15" s="23">
        <f t="shared" si="0"/>
        <v>4.4559475131099542E-2</v>
      </c>
      <c r="F15" s="23">
        <f t="shared" si="1"/>
        <v>7.2499586206863174E-3</v>
      </c>
      <c r="G15" s="7">
        <v>0.01</v>
      </c>
      <c r="H15" s="13">
        <f t="shared" si="2"/>
        <v>1</v>
      </c>
      <c r="I15" s="17">
        <v>0.4</v>
      </c>
      <c r="J15" s="22">
        <v>0</v>
      </c>
      <c r="K15" s="11">
        <f t="shared" si="8"/>
        <v>179.13296254707225</v>
      </c>
      <c r="L15" s="13">
        <f t="shared" si="3"/>
        <v>0</v>
      </c>
      <c r="M15" s="13">
        <f t="shared" si="4"/>
        <v>0.02</v>
      </c>
      <c r="T15" s="24">
        <v>0</v>
      </c>
      <c r="U15" s="23">
        <f>SUM(V15)</f>
        <v>0</v>
      </c>
      <c r="V15" s="23">
        <v>0</v>
      </c>
      <c r="X15" s="24">
        <v>0</v>
      </c>
      <c r="Y15" s="23">
        <f>SUM(Z15)</f>
        <v>0</v>
      </c>
      <c r="Z15" s="23">
        <v>0</v>
      </c>
    </row>
    <row r="16" spans="1:26">
      <c r="A16" s="10">
        <v>1844</v>
      </c>
      <c r="B16" s="11">
        <f t="shared" si="5"/>
        <v>99398.890551119883</v>
      </c>
      <c r="C16" s="11">
        <f t="shared" si="6"/>
        <v>4437.1444623612879</v>
      </c>
      <c r="D16" s="22">
        <f t="shared" si="7"/>
        <v>901.06951255088666</v>
      </c>
      <c r="E16" s="23">
        <f t="shared" si="0"/>
        <v>4.4639778550438727E-2</v>
      </c>
      <c r="F16" s="23">
        <f t="shared" si="1"/>
        <v>9.0651868200427796E-3</v>
      </c>
      <c r="G16" s="7">
        <v>0.01</v>
      </c>
      <c r="H16" s="13">
        <f t="shared" si="2"/>
        <v>1</v>
      </c>
      <c r="I16" s="17">
        <v>0.4</v>
      </c>
      <c r="J16" s="22">
        <v>0</v>
      </c>
      <c r="K16" s="11">
        <f t="shared" si="8"/>
        <v>178.91800299201577</v>
      </c>
      <c r="L16" s="13">
        <f t="shared" si="3"/>
        <v>0</v>
      </c>
      <c r="M16" s="13">
        <f t="shared" si="4"/>
        <v>0.02</v>
      </c>
      <c r="T16" s="25">
        <v>0.3</v>
      </c>
      <c r="U16" s="18">
        <f>SUM(V15:V16)</f>
        <v>5.0000000000000001E-3</v>
      </c>
      <c r="V16" s="13">
        <v>5.0000000000000001E-3</v>
      </c>
      <c r="X16" s="25">
        <v>0.4</v>
      </c>
      <c r="Y16" s="18">
        <f>SUM(Z15:Z16)</f>
        <v>2.5000000000000001E-3</v>
      </c>
      <c r="Z16" s="13">
        <v>2.5000000000000001E-3</v>
      </c>
    </row>
    <row r="17" spans="1:26">
      <c r="A17" s="10">
        <v>1845</v>
      </c>
      <c r="B17" s="11">
        <f t="shared" si="5"/>
        <v>99279.611882458543</v>
      </c>
      <c r="C17" s="11">
        <f t="shared" si="6"/>
        <v>4439.8067490387048</v>
      </c>
      <c r="D17" s="22">
        <f t="shared" si="7"/>
        <v>1080.5281572504327</v>
      </c>
      <c r="E17" s="23">
        <f t="shared" si="0"/>
        <v>4.4720226689596507E-2</v>
      </c>
      <c r="F17" s="23">
        <f t="shared" si="1"/>
        <v>1.0883686355761715E-2</v>
      </c>
      <c r="G17" s="7">
        <v>0.01</v>
      </c>
      <c r="H17" s="13">
        <f t="shared" si="2"/>
        <v>1</v>
      </c>
      <c r="I17" s="17">
        <v>0.4</v>
      </c>
      <c r="J17" s="22">
        <v>0</v>
      </c>
      <c r="K17" s="11">
        <f t="shared" si="8"/>
        <v>178.70330138842536</v>
      </c>
      <c r="L17" s="13">
        <f t="shared" si="3"/>
        <v>0</v>
      </c>
      <c r="M17" s="13">
        <f t="shared" si="4"/>
        <v>0.02</v>
      </c>
      <c r="T17" s="25">
        <v>0.4</v>
      </c>
      <c r="U17" s="18">
        <f>SUM(V15:V17)</f>
        <v>7.4999999999999997E-3</v>
      </c>
      <c r="V17" s="13">
        <v>2.5000000000000001E-3</v>
      </c>
      <c r="X17" s="25">
        <v>0.5</v>
      </c>
      <c r="Y17" s="18">
        <f>SUM(Z15:Z17)</f>
        <v>5.0000000000000001E-3</v>
      </c>
      <c r="Z17" s="13">
        <v>2.5000000000000001E-3</v>
      </c>
    </row>
    <row r="18" spans="1:26">
      <c r="A18" s="10">
        <v>1846</v>
      </c>
      <c r="B18" s="11">
        <f t="shared" si="5"/>
        <v>99160.476348199591</v>
      </c>
      <c r="C18" s="11">
        <f t="shared" si="6"/>
        <v>4442.4706330881281</v>
      </c>
      <c r="D18" s="22">
        <f t="shared" si="7"/>
        <v>1259.8797755332084</v>
      </c>
      <c r="E18" s="23">
        <f t="shared" si="0"/>
        <v>4.4800819809381519E-2</v>
      </c>
      <c r="F18" s="23">
        <f t="shared" si="1"/>
        <v>1.2705463123323161E-2</v>
      </c>
      <c r="G18" s="7">
        <v>0.01</v>
      </c>
      <c r="H18" s="13">
        <f t="shared" si="2"/>
        <v>1</v>
      </c>
      <c r="I18" s="17">
        <v>0.4</v>
      </c>
      <c r="J18" s="22">
        <v>0</v>
      </c>
      <c r="K18" s="11">
        <f t="shared" si="8"/>
        <v>178.48885742675924</v>
      </c>
      <c r="L18" s="13">
        <f t="shared" si="3"/>
        <v>0</v>
      </c>
      <c r="M18" s="13">
        <f t="shared" si="4"/>
        <v>0.02</v>
      </c>
      <c r="T18" s="25">
        <v>0.5</v>
      </c>
      <c r="U18" s="18">
        <f>SUM(V15:V18)</f>
        <v>0.01</v>
      </c>
      <c r="V18" s="13">
        <v>2.5000000000000001E-3</v>
      </c>
      <c r="X18" s="25">
        <v>0.6</v>
      </c>
      <c r="Y18" s="18">
        <f>SUM(Z15:Z18)</f>
        <v>0.01</v>
      </c>
      <c r="Z18" s="13">
        <v>5.0000000000000001E-3</v>
      </c>
    </row>
    <row r="19" spans="1:26">
      <c r="A19" s="10">
        <v>1847</v>
      </c>
      <c r="B19" s="11">
        <f t="shared" si="5"/>
        <v>99041.48377658175</v>
      </c>
      <c r="C19" s="11">
        <f t="shared" si="6"/>
        <v>4445.1361154679807</v>
      </c>
      <c r="D19" s="22">
        <f t="shared" si="7"/>
        <v>1439.1245608252875</v>
      </c>
      <c r="E19" s="23">
        <f t="shared" si="0"/>
        <v>4.4881558171072436E-2</v>
      </c>
      <c r="F19" s="23">
        <f t="shared" si="1"/>
        <v>1.4530523028831753E-2</v>
      </c>
      <c r="G19" s="7">
        <v>0.01</v>
      </c>
      <c r="H19" s="13">
        <f t="shared" si="2"/>
        <v>1</v>
      </c>
      <c r="I19" s="17">
        <v>0.4</v>
      </c>
      <c r="J19" s="22">
        <v>0</v>
      </c>
      <c r="K19" s="11">
        <f t="shared" si="8"/>
        <v>178.27467079784716</v>
      </c>
      <c r="L19" s="13">
        <f t="shared" si="3"/>
        <v>0</v>
      </c>
      <c r="M19" s="13">
        <f t="shared" si="4"/>
        <v>0.02</v>
      </c>
      <c r="T19" s="25">
        <v>0.6</v>
      </c>
      <c r="U19" s="18">
        <f>SUM(V15:V19)</f>
        <v>1.2500000000000001E-2</v>
      </c>
      <c r="V19" s="13">
        <v>2.5000000000000001E-3</v>
      </c>
      <c r="X19" s="25">
        <v>0.7</v>
      </c>
      <c r="Y19" s="18">
        <f>SUM(Z15:Z19)</f>
        <v>1.4999999999999999E-2</v>
      </c>
      <c r="Z19" s="13">
        <v>5.0000000000000001E-3</v>
      </c>
    </row>
    <row r="20" spans="1:26">
      <c r="A20" s="10">
        <v>1848</v>
      </c>
      <c r="B20" s="11">
        <f t="shared" si="5"/>
        <v>98922.633996049844</v>
      </c>
      <c r="C20" s="11">
        <f t="shared" si="6"/>
        <v>4447.8031971372611</v>
      </c>
      <c r="D20" s="22">
        <f t="shared" si="7"/>
        <v>1618.2627063596299</v>
      </c>
      <c r="E20" s="23">
        <f t="shared" si="0"/>
        <v>4.4962442036418783E-2</v>
      </c>
      <c r="F20" s="23">
        <f t="shared" si="1"/>
        <v>1.6358871989035895E-2</v>
      </c>
      <c r="G20" s="7">
        <v>0.01</v>
      </c>
      <c r="H20" s="13">
        <f t="shared" si="2"/>
        <v>1</v>
      </c>
      <c r="I20" s="17">
        <v>0.4</v>
      </c>
      <c r="J20" s="22">
        <v>0</v>
      </c>
      <c r="K20" s="11">
        <f t="shared" si="8"/>
        <v>178.06074119288968</v>
      </c>
      <c r="L20" s="13">
        <f t="shared" si="3"/>
        <v>0</v>
      </c>
      <c r="M20" s="13">
        <f t="shared" si="4"/>
        <v>0.02</v>
      </c>
      <c r="T20" s="25">
        <v>0.7</v>
      </c>
      <c r="U20" s="18">
        <f>SUM(V15:V20)</f>
        <v>1.5000000000000001E-2</v>
      </c>
      <c r="V20" s="13">
        <v>2.5000000000000001E-3</v>
      </c>
      <c r="X20" s="25">
        <v>0.8</v>
      </c>
      <c r="Y20" s="18">
        <f>SUM(Z15:Z20)</f>
        <v>2.5000000000000001E-2</v>
      </c>
      <c r="Z20" s="13">
        <v>0.01</v>
      </c>
    </row>
    <row r="21" spans="1:26">
      <c r="A21" s="10">
        <v>1849</v>
      </c>
      <c r="B21" s="11">
        <f t="shared" si="5"/>
        <v>98803.926835254577</v>
      </c>
      <c r="C21" s="11">
        <f t="shared" si="6"/>
        <v>4450.4718790555435</v>
      </c>
      <c r="D21" s="22">
        <f t="shared" si="7"/>
        <v>1797.2944051763352</v>
      </c>
      <c r="E21" s="23">
        <f t="shared" si="0"/>
        <v>4.5043471667641805E-2</v>
      </c>
      <c r="F21" s="23">
        <f t="shared" si="1"/>
        <v>1.8190515931346934E-2</v>
      </c>
      <c r="G21" s="7">
        <v>0.01</v>
      </c>
      <c r="H21" s="13">
        <f t="shared" si="2"/>
        <v>1</v>
      </c>
      <c r="I21" s="17">
        <v>0.4</v>
      </c>
      <c r="J21" s="22">
        <v>0</v>
      </c>
      <c r="K21" s="11">
        <f t="shared" si="8"/>
        <v>177.84706830345823</v>
      </c>
      <c r="L21" s="13">
        <f t="shared" si="3"/>
        <v>0</v>
      </c>
      <c r="M21" s="13">
        <f t="shared" si="4"/>
        <v>0.02</v>
      </c>
      <c r="T21" s="25">
        <v>0.8</v>
      </c>
      <c r="U21" s="18">
        <f>SUM(V15:V21)</f>
        <v>1.7500000000000002E-2</v>
      </c>
      <c r="V21" s="13">
        <v>2.5000000000000001E-3</v>
      </c>
      <c r="X21" s="25">
        <v>0.9</v>
      </c>
      <c r="Y21" s="18">
        <f>SUM(Z15:Z21)</f>
        <v>3.5000000000000003E-2</v>
      </c>
      <c r="Z21" s="13">
        <v>0.01</v>
      </c>
    </row>
    <row r="22" spans="1:26">
      <c r="A22" s="10">
        <v>1850</v>
      </c>
      <c r="B22" s="11">
        <f t="shared" si="5"/>
        <v>98685.362123052269</v>
      </c>
      <c r="C22" s="11">
        <f t="shared" si="6"/>
        <v>4453.1421621829768</v>
      </c>
      <c r="D22" s="22">
        <f t="shared" si="7"/>
        <v>1976.2198501228991</v>
      </c>
      <c r="E22" s="23">
        <f t="shared" si="0"/>
        <v>4.5124647327435312E-2</v>
      </c>
      <c r="F22" s="23">
        <f t="shared" si="1"/>
        <v>2.002546079385837E-2</v>
      </c>
      <c r="G22" s="7">
        <v>0.01</v>
      </c>
      <c r="H22" s="13">
        <f t="shared" si="2"/>
        <v>1</v>
      </c>
      <c r="I22" s="17">
        <v>0.4</v>
      </c>
      <c r="J22" s="22">
        <v>0</v>
      </c>
      <c r="K22" s="11">
        <f t="shared" si="8"/>
        <v>177.63365182149408</v>
      </c>
      <c r="L22" s="13">
        <f t="shared" si="3"/>
        <v>0</v>
      </c>
      <c r="M22" s="13">
        <f t="shared" si="4"/>
        <v>0.02</v>
      </c>
      <c r="T22" s="25"/>
      <c r="U22" s="19"/>
      <c r="V22" s="25"/>
      <c r="X22" s="25">
        <v>1</v>
      </c>
      <c r="Y22" s="18">
        <f>SUM(Z15:Z22)</f>
        <v>5.5000000000000007E-2</v>
      </c>
      <c r="Z22" s="13">
        <v>0.02</v>
      </c>
    </row>
    <row r="24" spans="1:26">
      <c r="T24" s="5" t="s">
        <v>91</v>
      </c>
      <c r="U24" s="5"/>
      <c r="V24" s="5"/>
      <c r="X24" s="5" t="s">
        <v>92</v>
      </c>
      <c r="Y24" s="5"/>
      <c r="Z24" s="5"/>
    </row>
    <row r="25" spans="1:26">
      <c r="T25" s="10" t="s">
        <v>93</v>
      </c>
      <c r="U25" s="10" t="s">
        <v>87</v>
      </c>
      <c r="V25" s="10" t="s">
        <v>88</v>
      </c>
      <c r="X25" s="10" t="s">
        <v>93</v>
      </c>
      <c r="Y25" s="10" t="s">
        <v>87</v>
      </c>
      <c r="Z25" s="10" t="s">
        <v>88</v>
      </c>
    </row>
    <row r="26" spans="1:26">
      <c r="T26" s="24">
        <v>0</v>
      </c>
      <c r="U26" s="23">
        <f>SUM(V26)</f>
        <v>0</v>
      </c>
      <c r="V26" s="23">
        <v>0</v>
      </c>
      <c r="X26" s="24">
        <v>0</v>
      </c>
      <c r="Y26" s="23">
        <f>SUM(Z26)</f>
        <v>0</v>
      </c>
      <c r="Z26" s="23">
        <v>0</v>
      </c>
    </row>
    <row r="27" spans="1:26">
      <c r="T27" s="25">
        <v>0.1</v>
      </c>
      <c r="U27" s="18">
        <f>SUM(V26:V27)</f>
        <v>0.02</v>
      </c>
      <c r="V27" s="13">
        <v>0.02</v>
      </c>
      <c r="X27" s="25">
        <v>0.1</v>
      </c>
      <c r="Y27" s="18">
        <f>SUM(Z26:Z27)</f>
        <v>0.02</v>
      </c>
      <c r="Z27" s="13">
        <v>0.02</v>
      </c>
    </row>
    <row r="28" spans="1:26">
      <c r="T28" s="25">
        <v>0.2</v>
      </c>
      <c r="U28" s="18">
        <f>SUM(V26:V28)</f>
        <v>0.04</v>
      </c>
      <c r="V28" s="13">
        <v>0.02</v>
      </c>
      <c r="X28" s="25">
        <v>0.2</v>
      </c>
      <c r="Y28" s="18">
        <f>SUM(Z26:Z28)</f>
        <v>0.04</v>
      </c>
      <c r="Z28" s="13">
        <v>0.02</v>
      </c>
    </row>
    <row r="29" spans="1:26">
      <c r="T29" s="25">
        <v>0.3</v>
      </c>
      <c r="U29" s="18">
        <f>SUM(V26:V29)</f>
        <v>0.06</v>
      </c>
      <c r="V29" s="13">
        <v>0.02</v>
      </c>
      <c r="X29" s="25">
        <v>0.3</v>
      </c>
      <c r="Y29" s="18">
        <f>SUM(Z26:Z29)</f>
        <v>0.06</v>
      </c>
      <c r="Z29" s="13">
        <v>0.02</v>
      </c>
    </row>
    <row r="30" spans="1:26">
      <c r="T30" s="25">
        <v>0.4</v>
      </c>
      <c r="U30" s="18">
        <f>SUM(V26:V30)</f>
        <v>8.199999999999999E-2</v>
      </c>
      <c r="V30" s="13">
        <v>2.1999999999999999E-2</v>
      </c>
      <c r="X30" s="25">
        <v>0.4</v>
      </c>
      <c r="Y30" s="18">
        <f>SUM(Z26:Z30)</f>
        <v>0.08</v>
      </c>
      <c r="Z30" s="13">
        <v>0.02</v>
      </c>
    </row>
    <row r="31" spans="1:26">
      <c r="T31" s="25">
        <v>0.5</v>
      </c>
      <c r="U31" s="18">
        <f>SUM(V26:V31)</f>
        <v>0.10499999999999998</v>
      </c>
      <c r="V31" s="13">
        <v>2.3E-2</v>
      </c>
      <c r="X31" s="25">
        <v>0.5</v>
      </c>
      <c r="Y31" s="18">
        <f>SUM(Z26:Z31)</f>
        <v>0.1</v>
      </c>
      <c r="Z31" s="13">
        <v>0.02</v>
      </c>
    </row>
    <row r="32" spans="1:26">
      <c r="T32" s="25">
        <v>0.6</v>
      </c>
      <c r="U32" s="18">
        <f>SUM(V26:V32)</f>
        <v>0.12999999999999998</v>
      </c>
      <c r="V32" s="13">
        <v>2.5000000000000001E-2</v>
      </c>
      <c r="X32" s="25">
        <v>0.6</v>
      </c>
      <c r="Y32" s="18">
        <f>SUM(Z26:Z32)</f>
        <v>0.12000000000000001</v>
      </c>
      <c r="Z32" s="13">
        <v>0.02</v>
      </c>
    </row>
    <row r="33" spans="20:26">
      <c r="T33" s="25">
        <v>0.75</v>
      </c>
      <c r="U33" s="18">
        <f>SUM(V26:V33)</f>
        <v>0.19999999999999998</v>
      </c>
      <c r="V33" s="13">
        <v>7.0000000000000007E-2</v>
      </c>
      <c r="X33" s="25">
        <v>0.7</v>
      </c>
      <c r="Y33" s="18">
        <f>SUM(Z26:Z33)</f>
        <v>0.14000000000000001</v>
      </c>
      <c r="Z33" s="13">
        <v>0.02</v>
      </c>
    </row>
    <row r="34" spans="20:26">
      <c r="T34" s="25">
        <v>0.8</v>
      </c>
      <c r="U34" s="18">
        <f>SUM(V26:V34)</f>
        <v>0.21999999999999997</v>
      </c>
      <c r="V34" s="13">
        <v>0.02</v>
      </c>
      <c r="X34" s="25">
        <v>0.75</v>
      </c>
      <c r="Y34" s="18">
        <f>SUM(Z26:Z34)</f>
        <v>0.2</v>
      </c>
      <c r="Z34" s="13">
        <v>0.06</v>
      </c>
    </row>
    <row r="35" spans="20:26">
      <c r="T35" s="25">
        <v>0.9</v>
      </c>
      <c r="U35" s="18">
        <f>SUM(V26:V35)</f>
        <v>0.23999999999999996</v>
      </c>
      <c r="V35" s="13">
        <v>0.02</v>
      </c>
      <c r="X35" s="25">
        <v>0.8</v>
      </c>
      <c r="Y35" s="18">
        <f>SUM(Z26:Z35)</f>
        <v>0.22</v>
      </c>
      <c r="Z35" s="13">
        <v>0.02</v>
      </c>
    </row>
    <row r="36" spans="20:26">
      <c r="T36" s="25">
        <v>1</v>
      </c>
      <c r="U36" s="18">
        <f>SUM(V26:V36)</f>
        <v>0.25999999999999995</v>
      </c>
      <c r="V36" s="13">
        <v>0.02</v>
      </c>
      <c r="X36" s="25">
        <v>0.9</v>
      </c>
      <c r="Y36" s="18">
        <f>SUM(Z26:Z36)</f>
        <v>0.24</v>
      </c>
      <c r="Z36" s="13">
        <v>0.02</v>
      </c>
    </row>
    <row r="37" spans="20:26">
      <c r="X37" s="25">
        <v>1</v>
      </c>
      <c r="Y37" s="18">
        <f>SUM(Z27:Z37)</f>
        <v>0.26</v>
      </c>
      <c r="Z37" s="13">
        <v>0.02</v>
      </c>
    </row>
  </sheetData>
  <mergeCells count="5">
    <mergeCell ref="V1:X1"/>
    <mergeCell ref="T13:V13"/>
    <mergeCell ref="X13:Z13"/>
    <mergeCell ref="T24:V24"/>
    <mergeCell ref="X24:Z24"/>
  </mergeCells>
  <dataValidations count="1">
    <dataValidation type="list" allowBlank="1" showInputMessage="1" showErrorMessage="1" sqref="N2" xr:uid="{00000000-0002-0000-0300-000000000000}">
      <formula1>"No,Yes"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4"/>
  <sheetViews>
    <sheetView zoomScale="120" zoomScaleNormal="120" workbookViewId="0">
      <selection activeCell="B2" sqref="B2"/>
    </sheetView>
  </sheetViews>
  <sheetFormatPr defaultColWidth="13.42578125" defaultRowHeight="15"/>
  <cols>
    <col min="1" max="1" width="23.5703125" customWidth="1"/>
    <col min="2" max="2" width="10.42578125" customWidth="1"/>
    <col min="3" max="3" width="22.28515625" customWidth="1"/>
    <col min="4" max="4" width="12.140625" customWidth="1"/>
    <col min="5" max="5" width="18.28515625" customWidth="1"/>
    <col min="6" max="7" width="16.28515625" customWidth="1"/>
    <col min="8" max="8" width="11.7109375" customWidth="1"/>
    <col min="9" max="9" width="14.42578125" customWidth="1"/>
    <col min="11" max="11" width="20.140625" customWidth="1"/>
    <col min="12" max="12" width="14.5703125" customWidth="1"/>
    <col min="13" max="13" width="19.28515625" customWidth="1"/>
    <col min="14" max="14" width="16.42578125" customWidth="1"/>
  </cols>
  <sheetData>
    <row r="1" spans="1:15">
      <c r="A1" s="10" t="s">
        <v>94</v>
      </c>
      <c r="B1" s="26" t="s">
        <v>70</v>
      </c>
      <c r="C1" s="10" t="s">
        <v>95</v>
      </c>
      <c r="D1" s="10" t="s">
        <v>96</v>
      </c>
      <c r="E1" s="10" t="s">
        <v>97</v>
      </c>
      <c r="F1" s="10" t="s">
        <v>98</v>
      </c>
      <c r="G1" s="10" t="s">
        <v>84</v>
      </c>
      <c r="H1" s="10" t="s">
        <v>99</v>
      </c>
      <c r="I1" s="10" t="s">
        <v>100</v>
      </c>
      <c r="K1" s="10" t="s">
        <v>101</v>
      </c>
      <c r="L1" s="10" t="s">
        <v>102</v>
      </c>
      <c r="M1" s="10" t="s">
        <v>103</v>
      </c>
      <c r="N1" s="10" t="s">
        <v>104</v>
      </c>
      <c r="O1" s="10" t="s">
        <v>0</v>
      </c>
    </row>
    <row r="2" spans="1:15">
      <c r="A2" s="27" t="s">
        <v>105</v>
      </c>
      <c r="B2" s="26">
        <f>249000</f>
        <v>249000</v>
      </c>
      <c r="C2" s="10">
        <v>1</v>
      </c>
      <c r="D2" s="17">
        <v>0</v>
      </c>
      <c r="E2" s="10">
        <v>-1</v>
      </c>
      <c r="F2" s="10">
        <v>2</v>
      </c>
      <c r="G2" s="10">
        <v>32</v>
      </c>
      <c r="H2" s="28">
        <f>B2/40000*'Goods values'!$B$3*(1+D2+$L$2+MAX(($K$2+E2)*0.16,0))</f>
        <v>43.325999999999993</v>
      </c>
      <c r="I2" s="29">
        <f>H2*'Goods values'!$C$3*3*MAX($M$2-(C2*0.075),0)*$N$2+H2</f>
        <v>133.40075399999998</v>
      </c>
      <c r="K2" s="10">
        <v>3</v>
      </c>
      <c r="L2" s="17">
        <v>1</v>
      </c>
      <c r="M2" s="17">
        <v>0.35</v>
      </c>
      <c r="N2" s="17">
        <v>0.14000000000000001</v>
      </c>
      <c r="O2" s="10">
        <v>1830</v>
      </c>
    </row>
    <row r="3" spans="1:15">
      <c r="A3" s="27" t="s">
        <v>106</v>
      </c>
      <c r="B3" s="26">
        <v>188250</v>
      </c>
      <c r="C3" s="10">
        <v>1</v>
      </c>
      <c r="D3" s="17">
        <v>0</v>
      </c>
      <c r="E3" s="10">
        <v>-1</v>
      </c>
      <c r="F3" s="10">
        <v>6</v>
      </c>
      <c r="G3" s="10">
        <v>32</v>
      </c>
      <c r="H3" s="28">
        <f>B3/40000*'Goods values'!$B$3*(1+D3+$L$2+MAX(($K$2+E3)*0.16,0))</f>
        <v>32.755499999999998</v>
      </c>
      <c r="I3" s="29">
        <f>H3*'Goods values'!$C$3*3*MAX($M$2-(C3*0.075),0)*$N$2+H3</f>
        <v>100.85418449999999</v>
      </c>
      <c r="J3" s="17"/>
      <c r="K3" s="17"/>
      <c r="L3" s="14"/>
    </row>
    <row r="4" spans="1:15">
      <c r="A4" s="27" t="s">
        <v>107</v>
      </c>
      <c r="B4" s="26">
        <v>78300</v>
      </c>
      <c r="C4" s="10">
        <v>1</v>
      </c>
      <c r="D4" s="17">
        <v>0</v>
      </c>
      <c r="E4" s="10">
        <v>-1</v>
      </c>
      <c r="F4" s="10">
        <v>2</v>
      </c>
      <c r="G4" s="10">
        <v>32</v>
      </c>
      <c r="H4" s="28">
        <f>B4/40000*'Goods values'!$B$3*(1+D4+$L$2+MAX(($K$2+E4)*0.16,0))</f>
        <v>13.6242</v>
      </c>
      <c r="I4" s="29">
        <f>H4*'Goods values'!$C$3*3*MAX($M$2-(C4*0.075),0)*$N$2+H4</f>
        <v>41.948911800000005</v>
      </c>
      <c r="J4" s="17"/>
      <c r="K4" s="17"/>
      <c r="L4" s="14"/>
    </row>
    <row r="5" spans="1:15">
      <c r="A5" s="27" t="s">
        <v>108</v>
      </c>
      <c r="B5" s="26">
        <v>83125</v>
      </c>
      <c r="C5" s="10">
        <v>1</v>
      </c>
      <c r="D5" s="17">
        <v>0</v>
      </c>
      <c r="E5" s="10">
        <v>-2</v>
      </c>
      <c r="F5" s="10">
        <v>6</v>
      </c>
      <c r="G5" s="10">
        <v>32</v>
      </c>
      <c r="H5" s="28">
        <f>B5/40000*'Goods values'!$B$3*(1+D5+$L$2+MAX(($K$2+E5)*0.16,0))</f>
        <v>13.46625</v>
      </c>
      <c r="I5" s="29">
        <f>H5*'Goods values'!$C$3*3*MAX($M$2-(C5*0.075),0)*$N$2+H5</f>
        <v>41.46258375</v>
      </c>
      <c r="J5" s="17"/>
      <c r="K5" s="17"/>
    </row>
    <row r="6" spans="1:15">
      <c r="A6" s="27" t="s">
        <v>109</v>
      </c>
      <c r="B6" s="26">
        <f>53731+10486</f>
        <v>64217</v>
      </c>
      <c r="C6" s="10">
        <v>1</v>
      </c>
      <c r="D6" s="17">
        <v>0</v>
      </c>
      <c r="E6" s="10">
        <v>-2</v>
      </c>
      <c r="F6" s="10">
        <v>6</v>
      </c>
      <c r="G6" s="10">
        <v>30</v>
      </c>
      <c r="H6" s="28">
        <f>B6/40000*'Goods values'!$B$3*(1+D6+$L$2+MAX(($K$2+E6)*0.16,0))</f>
        <v>10.403154000000001</v>
      </c>
      <c r="I6" s="29">
        <f>H6*'Goods values'!$C$3*3*MAX($M$2-(C6*0.075),0)*$N$2+H6</f>
        <v>32.031311166000009</v>
      </c>
      <c r="J6" s="17"/>
      <c r="K6" s="17"/>
    </row>
    <row r="7" spans="1:15">
      <c r="A7" s="27" t="s">
        <v>110</v>
      </c>
      <c r="B7" s="26">
        <f>23725+19000</f>
        <v>42725</v>
      </c>
      <c r="C7" s="10">
        <v>1</v>
      </c>
      <c r="D7" s="17">
        <v>0</v>
      </c>
      <c r="E7" s="10">
        <v>-2</v>
      </c>
      <c r="F7" s="10">
        <v>6</v>
      </c>
      <c r="G7" s="10">
        <v>40</v>
      </c>
      <c r="H7" s="28">
        <f>B7/40000*'Goods values'!$B$3*(1+D7+$L$2+MAX(($K$2+E7)*0.16,0))</f>
        <v>6.9214500000000001</v>
      </c>
      <c r="I7" s="29">
        <f>H7*'Goods values'!$C$3*3*MAX($M$2-(C7*0.075),0)*$N$2+H7</f>
        <v>21.311144550000002</v>
      </c>
      <c r="J7" s="17"/>
      <c r="K7" s="17"/>
      <c r="L7" s="14"/>
    </row>
    <row r="8" spans="1:15">
      <c r="A8" s="27" t="s">
        <v>111</v>
      </c>
      <c r="B8" s="26">
        <v>34540</v>
      </c>
      <c r="C8" s="10">
        <v>1</v>
      </c>
      <c r="D8" s="17">
        <v>0</v>
      </c>
      <c r="E8" s="10">
        <v>0</v>
      </c>
      <c r="F8" s="10">
        <v>6</v>
      </c>
      <c r="G8" s="10">
        <v>32</v>
      </c>
      <c r="H8" s="28">
        <f>B8/40000*'Goods values'!$B$3*(1+D8+$L$2+MAX(($K$2+E8)*0.16,0))</f>
        <v>6.4244399999999997</v>
      </c>
      <c r="I8" s="29">
        <f>H8*'Goods values'!$C$3*3*MAX($M$2-(C8*0.075),0)*$N$2+H8</f>
        <v>19.78085076</v>
      </c>
      <c r="J8" s="17"/>
      <c r="K8" s="17"/>
      <c r="L8" s="14"/>
    </row>
    <row r="9" spans="1:15">
      <c r="A9" s="27" t="s">
        <v>112</v>
      </c>
      <c r="B9" s="26">
        <v>25000</v>
      </c>
      <c r="C9" s="10">
        <v>1</v>
      </c>
      <c r="D9" s="17">
        <v>0</v>
      </c>
      <c r="E9" s="10">
        <v>-1</v>
      </c>
      <c r="F9" s="10">
        <v>3</v>
      </c>
      <c r="G9" s="10">
        <v>32</v>
      </c>
      <c r="H9" s="28">
        <f>B9/40000*'Goods values'!$B$3*(1+D9+$L$2+MAX(($K$2+E9)*0.16,0))</f>
        <v>4.3499999999999996</v>
      </c>
      <c r="I9" s="29">
        <f>H9*'Goods values'!$C$3*3*MAX($M$2-(C9*0.075),0)*$N$2+H9</f>
        <v>13.393649999999997</v>
      </c>
      <c r="J9" s="17"/>
      <c r="K9" s="17"/>
      <c r="L9" s="14"/>
    </row>
    <row r="10" spans="1:15">
      <c r="A10" s="27" t="s">
        <v>113</v>
      </c>
      <c r="B10" s="26">
        <v>22231</v>
      </c>
      <c r="C10" s="10">
        <v>1</v>
      </c>
      <c r="D10" s="17">
        <v>0</v>
      </c>
      <c r="E10" s="10">
        <v>0</v>
      </c>
      <c r="F10" s="10">
        <v>6</v>
      </c>
      <c r="G10" s="10">
        <v>32</v>
      </c>
      <c r="H10" s="28">
        <f>B10/40000*'Goods values'!$B$3*(1+D10+$L$2+MAX(($K$2+E10)*0.16,0))</f>
        <v>4.1349659999999995</v>
      </c>
      <c r="I10" s="29">
        <f>H10*'Goods values'!$C$3*3*MAX($M$2-(C10*0.075),0)*$N$2+H10</f>
        <v>12.731560313999999</v>
      </c>
      <c r="J10" s="17"/>
      <c r="K10" s="17"/>
      <c r="L10" s="14"/>
    </row>
    <row r="11" spans="1:15">
      <c r="A11" s="27" t="s">
        <v>114</v>
      </c>
      <c r="B11" s="26">
        <f>14800+5500</f>
        <v>20300</v>
      </c>
      <c r="C11" s="10">
        <v>1</v>
      </c>
      <c r="D11" s="17">
        <v>0</v>
      </c>
      <c r="E11" s="10">
        <v>-1</v>
      </c>
      <c r="F11" s="10">
        <v>6</v>
      </c>
      <c r="G11" s="10">
        <v>35</v>
      </c>
      <c r="H11" s="28">
        <f>B11/40000*'Goods values'!$B$3*(1+D11+$L$2+MAX(($K$2+E11)*0.16,0))</f>
        <v>3.5321999999999996</v>
      </c>
      <c r="I11" s="29">
        <f>H11*'Goods values'!$C$3*3*MAX($M$2-(C11*0.075),0)*$N$2+H11</f>
        <v>10.875643799999999</v>
      </c>
      <c r="J11" s="17"/>
      <c r="K11" s="17"/>
      <c r="L11" s="14"/>
    </row>
    <row r="12" spans="1:15">
      <c r="A12" s="27" t="s">
        <v>115</v>
      </c>
      <c r="B12" s="26">
        <f>18400+1750</f>
        <v>20150</v>
      </c>
      <c r="C12" s="10">
        <v>1</v>
      </c>
      <c r="D12" s="17">
        <v>0</v>
      </c>
      <c r="E12" s="10">
        <v>-2</v>
      </c>
      <c r="F12" s="10">
        <v>6</v>
      </c>
      <c r="G12" s="10">
        <v>30</v>
      </c>
      <c r="H12" s="28">
        <f>B12/40000*'Goods values'!$B$3*(1+D12+$L$2+MAX(($K$2+E12)*0.16,0))</f>
        <v>3.2643</v>
      </c>
      <c r="I12" s="29">
        <f>H12*'Goods values'!$C$3*3*MAX($M$2-(C12*0.075),0)*$N$2+H12</f>
        <v>10.0507797</v>
      </c>
      <c r="J12" s="17"/>
      <c r="K12" s="17"/>
      <c r="L12" s="14"/>
    </row>
    <row r="13" spans="1:15">
      <c r="A13" s="27" t="s">
        <v>116</v>
      </c>
      <c r="B13" s="26">
        <v>12150</v>
      </c>
      <c r="C13" s="10">
        <v>1</v>
      </c>
      <c r="D13" s="17">
        <v>0</v>
      </c>
      <c r="E13" s="10">
        <v>-2</v>
      </c>
      <c r="F13" s="10">
        <v>2</v>
      </c>
      <c r="G13" s="10">
        <v>32</v>
      </c>
      <c r="H13" s="28">
        <f>B13/40000*'Goods values'!$B$3*(1+D13+$L$2+MAX(($K$2+E13)*0.16,0))</f>
        <v>1.9683000000000004</v>
      </c>
      <c r="I13" s="29">
        <f>H13*'Goods values'!$C$3*3*MAX($M$2-(C13*0.075),0)*$N$2+H13</f>
        <v>6.0603957000000008</v>
      </c>
      <c r="J13" s="17"/>
      <c r="K13" s="17"/>
      <c r="L13" s="14"/>
    </row>
    <row r="14" spans="1:15">
      <c r="A14" s="27" t="s">
        <v>117</v>
      </c>
      <c r="B14" s="26">
        <f>6580+450</f>
        <v>7030</v>
      </c>
      <c r="C14" s="10">
        <v>1</v>
      </c>
      <c r="D14" s="17">
        <v>0.25</v>
      </c>
      <c r="E14" s="10">
        <v>0</v>
      </c>
      <c r="F14" s="10">
        <v>3</v>
      </c>
      <c r="G14" s="10">
        <v>35</v>
      </c>
      <c r="H14" s="28">
        <f>B14/40000*'Goods values'!$B$3*(1+D14+$L$2+MAX(($K$2+E14)*0.16,0))</f>
        <v>1.4393925000000001</v>
      </c>
      <c r="I14" s="29">
        <f>H14*'Goods values'!$C$3*3*MAX($M$2-(C14*0.075),0)*$N$2+H14</f>
        <v>4.4318895075000002</v>
      </c>
      <c r="J14" s="17"/>
      <c r="K14" s="17"/>
      <c r="L14" s="14"/>
    </row>
    <row r="15" spans="1:15">
      <c r="A15" s="27" t="s">
        <v>118</v>
      </c>
      <c r="B15" s="26">
        <v>7562</v>
      </c>
      <c r="C15" s="10">
        <v>1</v>
      </c>
      <c r="D15" s="17">
        <v>0</v>
      </c>
      <c r="E15" s="10">
        <v>-2</v>
      </c>
      <c r="F15" s="10">
        <v>6</v>
      </c>
      <c r="G15" s="10">
        <v>20</v>
      </c>
      <c r="H15" s="28">
        <f>B15/40000*'Goods values'!$B$3*(1+D15+$L$2+MAX(($K$2+E15)*0.16,0))</f>
        <v>1.2250440000000002</v>
      </c>
      <c r="I15" s="29">
        <f>H15*'Goods values'!$C$3*3*MAX($M$2-(C15*0.075),0)*$N$2+H15</f>
        <v>3.7719104760000004</v>
      </c>
      <c r="J15" s="17"/>
      <c r="K15" s="17"/>
      <c r="L15" s="14"/>
    </row>
    <row r="16" spans="1:15">
      <c r="A16" s="27" t="s">
        <v>119</v>
      </c>
      <c r="B16" s="26">
        <v>6375</v>
      </c>
      <c r="C16" s="10">
        <v>1</v>
      </c>
      <c r="D16" s="17">
        <v>0</v>
      </c>
      <c r="E16" s="10">
        <v>0</v>
      </c>
      <c r="F16" s="10">
        <v>6</v>
      </c>
      <c r="G16" s="10">
        <v>32</v>
      </c>
      <c r="H16" s="28">
        <f>B16/40000*'Goods values'!$B$3*(1+D16+$L$2+MAX(($K$2+E16)*0.16,0))</f>
        <v>1.1857499999999999</v>
      </c>
      <c r="I16" s="29">
        <f>H16*'Goods values'!$C$3*3*MAX($M$2-(C16*0.075),0)*$N$2+H16</f>
        <v>3.6509242499999992</v>
      </c>
      <c r="J16" s="17"/>
      <c r="K16" s="17"/>
      <c r="L16" s="14"/>
    </row>
    <row r="17" spans="1:12">
      <c r="A17" s="27" t="s">
        <v>120</v>
      </c>
      <c r="B17" s="26">
        <v>5475</v>
      </c>
      <c r="C17" s="10">
        <v>1</v>
      </c>
      <c r="D17" s="17">
        <v>0</v>
      </c>
      <c r="E17" s="10">
        <v>0</v>
      </c>
      <c r="F17" s="10">
        <v>6</v>
      </c>
      <c r="G17" s="10">
        <v>32</v>
      </c>
      <c r="H17" s="28">
        <f>B17/40000*'Goods values'!$B$3*(1+D17+$L$2+MAX(($K$2+E17)*0.16,0))</f>
        <v>1.0183500000000001</v>
      </c>
      <c r="I17" s="29">
        <f>H17*'Goods values'!$C$3*3*MAX($M$2-(C17*0.075),0)*$N$2+H17</f>
        <v>3.1354996499999999</v>
      </c>
      <c r="J17" s="17"/>
      <c r="K17" s="17"/>
      <c r="L17" s="14"/>
    </row>
    <row r="18" spans="1:12">
      <c r="A18" s="27" t="s">
        <v>121</v>
      </c>
      <c r="B18" s="26">
        <f>5375+500</f>
        <v>5875</v>
      </c>
      <c r="C18" s="10">
        <v>1</v>
      </c>
      <c r="D18" s="17">
        <v>0</v>
      </c>
      <c r="E18" s="10">
        <v>-3</v>
      </c>
      <c r="F18" s="10">
        <v>6</v>
      </c>
      <c r="G18" s="10">
        <v>31</v>
      </c>
      <c r="H18" s="28">
        <f>B18/40000*'Goods values'!$B$3*(1+D18+$L$2+MAX(($K$2+E18)*0.16,0))</f>
        <v>0.88125000000000009</v>
      </c>
      <c r="I18" s="29">
        <f>H18*'Goods values'!$C$3*3*MAX($M$2-(C18*0.075),0)*$N$2+H18</f>
        <v>2.7133687499999999</v>
      </c>
      <c r="J18" s="17"/>
      <c r="K18" s="17"/>
      <c r="L18" s="14"/>
    </row>
    <row r="19" spans="1:12">
      <c r="A19" s="27" t="s">
        <v>122</v>
      </c>
      <c r="B19" s="26">
        <v>5000</v>
      </c>
      <c r="C19" s="10">
        <v>1</v>
      </c>
      <c r="D19" s="17">
        <v>0</v>
      </c>
      <c r="E19" s="10">
        <v>-2</v>
      </c>
      <c r="F19" s="10">
        <v>6</v>
      </c>
      <c r="G19" s="10">
        <v>31</v>
      </c>
      <c r="H19" s="28">
        <f>B19/40000*'Goods values'!$B$3*(1+D19+$L$2+MAX(($K$2+E19)*0.16,0))</f>
        <v>0.81</v>
      </c>
      <c r="I19" s="29">
        <f>H19*'Goods values'!$C$3*3*MAX($M$2-(C19*0.075),0)*$N$2+H19</f>
        <v>2.4939900000000002</v>
      </c>
      <c r="J19" s="17"/>
      <c r="K19" s="17"/>
      <c r="L19" s="14"/>
    </row>
    <row r="20" spans="1:12">
      <c r="A20" s="27" t="s">
        <v>123</v>
      </c>
      <c r="B20" s="26">
        <v>4325</v>
      </c>
      <c r="C20" s="10">
        <v>1</v>
      </c>
      <c r="D20" s="17">
        <v>0</v>
      </c>
      <c r="E20" s="10">
        <v>-3</v>
      </c>
      <c r="F20" s="10">
        <v>6</v>
      </c>
      <c r="G20" s="10">
        <v>30</v>
      </c>
      <c r="H20" s="28">
        <f>B20/40000*'Goods values'!$B$3*(1+D20+$L$2+MAX(($K$2+E20)*0.16,0))</f>
        <v>0.64874999999999994</v>
      </c>
      <c r="I20" s="29">
        <f>H20*'Goods values'!$C$3*3*MAX($M$2-(C20*0.075),0)*$N$2+H20</f>
        <v>1.9975012499999998</v>
      </c>
      <c r="J20" s="17"/>
      <c r="K20" s="17"/>
      <c r="L20" s="14"/>
    </row>
    <row r="21" spans="1:12">
      <c r="A21" s="27" t="s">
        <v>124</v>
      </c>
      <c r="B21" s="26">
        <v>2750</v>
      </c>
      <c r="C21" s="10">
        <v>1</v>
      </c>
      <c r="D21" s="17">
        <v>0.25</v>
      </c>
      <c r="E21" s="10">
        <v>0</v>
      </c>
      <c r="F21" s="10">
        <v>3</v>
      </c>
      <c r="G21" s="10">
        <v>32</v>
      </c>
      <c r="H21" s="28">
        <f>B21/40000*'Goods values'!$B$3*(1+D21+$L$2+MAX(($K$2+E21)*0.16,0))</f>
        <v>0.56306250000000002</v>
      </c>
      <c r="I21" s="29">
        <f>H21*'Goods values'!$C$3*3*MAX($M$2-(C21*0.075),0)*$N$2+H21</f>
        <v>1.7336694375000001</v>
      </c>
      <c r="J21" s="17"/>
      <c r="K21" s="17"/>
      <c r="L21" s="14"/>
    </row>
    <row r="22" spans="1:12">
      <c r="A22" s="27" t="s">
        <v>125</v>
      </c>
      <c r="B22" s="26">
        <v>3263</v>
      </c>
      <c r="C22" s="10">
        <v>1</v>
      </c>
      <c r="D22" s="17">
        <v>0</v>
      </c>
      <c r="E22" s="10">
        <v>-2</v>
      </c>
      <c r="F22" s="10">
        <v>6</v>
      </c>
      <c r="G22" s="10">
        <v>31</v>
      </c>
      <c r="H22" s="28">
        <f>B22/40000*'Goods values'!$B$3*(1+D22+$L$2+MAX(($K$2+E22)*0.16,0))</f>
        <v>0.52860600000000002</v>
      </c>
      <c r="I22" s="29">
        <f>H22*'Goods values'!$C$3*3*MAX($M$2-(C22*0.075),0)*$N$2+H22</f>
        <v>1.627577874</v>
      </c>
      <c r="J22" s="17"/>
      <c r="K22" s="17"/>
      <c r="L22" s="14"/>
    </row>
    <row r="23" spans="1:12">
      <c r="A23" s="27" t="s">
        <v>126</v>
      </c>
      <c r="B23" s="26">
        <v>1950</v>
      </c>
      <c r="C23" s="10">
        <v>1</v>
      </c>
      <c r="D23" s="17">
        <v>0</v>
      </c>
      <c r="E23" s="10">
        <v>-2</v>
      </c>
      <c r="F23" s="10">
        <v>6</v>
      </c>
      <c r="G23" s="10">
        <v>35</v>
      </c>
      <c r="H23" s="28">
        <f>B23/40000*'Goods values'!$B$3*(1+D23+$L$2+MAX(($K$2+E23)*0.16,0))</f>
        <v>0.31590000000000001</v>
      </c>
      <c r="I23" s="29">
        <f>H23*'Goods values'!$C$3*3*MAX($M$2-(C23*0.075),0)*$N$2+H23</f>
        <v>0.97265610000000002</v>
      </c>
      <c r="J23" s="17"/>
      <c r="K23" s="17"/>
      <c r="L23" s="14"/>
    </row>
    <row r="24" spans="1:12">
      <c r="A24" s="27" t="s">
        <v>127</v>
      </c>
      <c r="B24" s="26">
        <f>1250+200</f>
        <v>1450</v>
      </c>
      <c r="C24" s="10">
        <v>1</v>
      </c>
      <c r="D24" s="17">
        <v>0</v>
      </c>
      <c r="E24" s="10">
        <v>-2</v>
      </c>
      <c r="F24" s="10">
        <v>6</v>
      </c>
      <c r="G24" s="10">
        <v>35</v>
      </c>
      <c r="H24" s="28">
        <f>B24/40000*'Goods values'!$B$3*(1+D24+$L$2+MAX(($K$2+E24)*0.16,0))</f>
        <v>0.2349</v>
      </c>
      <c r="I24" s="29">
        <f>H24*'Goods values'!$C$3*3*MAX($M$2-(C24*0.075),0)*$N$2+H24</f>
        <v>0.72325709999999988</v>
      </c>
      <c r="J24" s="17"/>
      <c r="K24" s="17"/>
      <c r="L24" s="14"/>
    </row>
    <row r="25" spans="1:12">
      <c r="A25" s="27" t="s">
        <v>128</v>
      </c>
      <c r="B25" s="26">
        <v>1250</v>
      </c>
      <c r="C25" s="10">
        <v>1</v>
      </c>
      <c r="D25" s="17">
        <v>0</v>
      </c>
      <c r="E25" s="10">
        <v>-2</v>
      </c>
      <c r="F25" s="10">
        <v>6</v>
      </c>
      <c r="G25" s="10">
        <v>35</v>
      </c>
      <c r="H25" s="28">
        <f>B25/40000*'Goods values'!$B$3*(1+D25+$L$2+MAX(($K$2+E25)*0.16,0))</f>
        <v>0.20250000000000001</v>
      </c>
      <c r="I25" s="29">
        <f>H25*'Goods values'!$C$3*3*MAX($M$2-(C25*0.075),0)*$N$2+H25</f>
        <v>0.62349750000000004</v>
      </c>
      <c r="J25" s="17"/>
      <c r="K25" s="17"/>
      <c r="L25" s="14"/>
    </row>
    <row r="26" spans="1:12">
      <c r="A26" s="27" t="s">
        <v>129</v>
      </c>
      <c r="B26" s="26">
        <v>555</v>
      </c>
      <c r="C26" s="10">
        <v>1</v>
      </c>
      <c r="D26" s="17">
        <v>0.25</v>
      </c>
      <c r="E26" s="10">
        <v>0</v>
      </c>
      <c r="F26" s="10">
        <v>6</v>
      </c>
      <c r="G26" s="10">
        <v>15</v>
      </c>
      <c r="H26" s="28">
        <f>B26/40000*'Goods values'!$B$3*(1+D26+$L$2+MAX(($K$2+E26)*0.16,0))</f>
        <v>0.11363625000000001</v>
      </c>
      <c r="I26" s="29">
        <f>H26*'Goods values'!$C$3*3*MAX($M$2-(C26*0.075),0)*$N$2+H26</f>
        <v>0.34988601375000006</v>
      </c>
      <c r="J26" s="17"/>
      <c r="K26" s="17"/>
      <c r="L26" s="14"/>
    </row>
    <row r="27" spans="1:12">
      <c r="A27" s="27" t="s">
        <v>130</v>
      </c>
      <c r="B27" s="26">
        <v>35</v>
      </c>
      <c r="C27" s="10">
        <v>1</v>
      </c>
      <c r="D27" s="17">
        <v>0</v>
      </c>
      <c r="E27" s="10">
        <v>-2</v>
      </c>
      <c r="F27" s="10">
        <v>6</v>
      </c>
      <c r="G27" s="10">
        <v>10</v>
      </c>
      <c r="H27" s="28">
        <f>B27/40000*'Goods values'!$B$3*(1+D27+$L$2+MAX(($K$2+E27)*0.16,0))</f>
        <v>5.6700000000000006E-3</v>
      </c>
      <c r="I27" s="29">
        <f>H27*'Goods values'!$C$3*3*MAX($M$2-(C27*0.075),0)*$N$2+H27</f>
        <v>1.745793E-2</v>
      </c>
      <c r="J27" s="17"/>
      <c r="K27" s="17"/>
      <c r="L27" s="14"/>
    </row>
    <row r="29" spans="1:12">
      <c r="A29" s="30" t="s">
        <v>131</v>
      </c>
      <c r="B29" s="26">
        <f>632620+146420</f>
        <v>779040</v>
      </c>
      <c r="C29" s="10">
        <v>1</v>
      </c>
      <c r="D29" s="17">
        <v>0</v>
      </c>
      <c r="E29" s="10">
        <v>-3</v>
      </c>
      <c r="F29" s="10">
        <v>3</v>
      </c>
      <c r="H29" s="28">
        <f>B29/40000*'Goods values'!$B$3*(1+D29+MAX(($K$2+E29)*0.16,0))</f>
        <v>58.427999999999997</v>
      </c>
      <c r="I29" s="29">
        <f>H29*'Goods values'!$C$24*MAX($M$2-(C29*0.075),0)*$N$2</f>
        <v>3.3742169999999998</v>
      </c>
    </row>
    <row r="30" spans="1:12">
      <c r="A30" s="30" t="s">
        <v>132</v>
      </c>
      <c r="B30" s="26">
        <v>48171</v>
      </c>
      <c r="C30" s="10">
        <v>1</v>
      </c>
      <c r="D30" s="17">
        <v>0</v>
      </c>
      <c r="E30" s="10">
        <v>0</v>
      </c>
      <c r="F30" s="10">
        <v>6</v>
      </c>
      <c r="H30" s="28">
        <f>B30/40000*'Goods values'!$B$3*(1+D30+MAX(($K$2+E30)*0.16,0))</f>
        <v>5.3469809999999995</v>
      </c>
      <c r="I30" s="29">
        <f>H30*'Goods values'!$C$24*MAX($M$2-(C30*0.075),0)*$N$2</f>
        <v>0.30878815274999993</v>
      </c>
    </row>
    <row r="31" spans="1:12">
      <c r="A31" s="30" t="s">
        <v>133</v>
      </c>
      <c r="B31" s="26">
        <v>42720</v>
      </c>
      <c r="C31" s="10">
        <v>1</v>
      </c>
      <c r="D31" s="17">
        <v>0</v>
      </c>
      <c r="E31" s="10">
        <v>-2</v>
      </c>
      <c r="F31" s="10">
        <v>6</v>
      </c>
      <c r="H31" s="28">
        <f>B31/40000*'Goods values'!$B$3*(1+D31+MAX(($K$2+E31)*0.16,0))</f>
        <v>3.7166399999999999</v>
      </c>
      <c r="I31" s="29">
        <f>H31*'Goods values'!$C$24*MAX($M$2-(C31*0.075),0)*$N$2</f>
        <v>0.21463596000000001</v>
      </c>
    </row>
    <row r="32" spans="1:12">
      <c r="A32" s="30" t="s">
        <v>134</v>
      </c>
      <c r="B32" s="26">
        <v>21165</v>
      </c>
      <c r="C32" s="10">
        <v>1</v>
      </c>
      <c r="D32" s="17">
        <v>0</v>
      </c>
      <c r="E32" s="10">
        <v>-2</v>
      </c>
      <c r="F32" s="10">
        <v>3</v>
      </c>
      <c r="H32" s="28">
        <f>B32/40000*'Goods values'!$B$3*(1+D32+MAX(($K$2+E32)*0.16,0))</f>
        <v>1.8413549999999996</v>
      </c>
      <c r="I32" s="29">
        <f>H32*'Goods values'!$C$24*MAX($M$2-(C32*0.075),0)*$N$2</f>
        <v>0.10633825124999997</v>
      </c>
    </row>
    <row r="33" spans="1:9">
      <c r="A33" s="30" t="s">
        <v>135</v>
      </c>
      <c r="B33" s="26">
        <v>20505</v>
      </c>
      <c r="C33" s="10">
        <v>1</v>
      </c>
      <c r="D33" s="17">
        <v>0</v>
      </c>
      <c r="E33" s="10">
        <v>-2</v>
      </c>
      <c r="F33" s="10">
        <v>3</v>
      </c>
      <c r="H33" s="28">
        <f>B33/40000*'Goods values'!$B$3*(1+D33+MAX(($K$2+E33)*0.16,0))</f>
        <v>1.783935</v>
      </c>
      <c r="I33" s="29">
        <f>H33*'Goods values'!$C$24*MAX($M$2-(C33*0.075),0)*$N$2</f>
        <v>0.10302224625</v>
      </c>
    </row>
    <row r="34" spans="1:9">
      <c r="A34" s="30" t="s">
        <v>136</v>
      </c>
      <c r="B34" s="26">
        <f>243850+397100+16000+41000</f>
        <v>697950</v>
      </c>
      <c r="C34" s="10">
        <v>5</v>
      </c>
      <c r="D34" s="17">
        <v>0.01</v>
      </c>
      <c r="E34" s="10">
        <f>-11/5</f>
        <v>-2.2000000000000002</v>
      </c>
      <c r="F34" s="10">
        <v>6</v>
      </c>
      <c r="H34" s="28">
        <f>B34/40000*'Goods values'!$B$3*(1+D34+MAX(($K$2+E34)*0.16,0))</f>
        <v>59.570032499999989</v>
      </c>
      <c r="I34" s="29">
        <f>H34*'Goods values'!$C$24*MAX($M$2-(C34*0.075),0)*$N$2</f>
        <v>0</v>
      </c>
    </row>
  </sheetData>
  <autoFilter ref="A1:H27" xr:uid="{00000000-0009-0000-0000-000004000000}"/>
  <dataValidations count="1">
    <dataValidation type="list" operator="equal" allowBlank="1" showErrorMessage="1" sqref="K2" xr:uid="{00000000-0002-0000-0400-000000000000}">
      <formula1>"0,1,2,3,4,5,6"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9"/>
  <sheetViews>
    <sheetView zoomScale="120" zoomScaleNormal="120" workbookViewId="0">
      <selection activeCell="A2" sqref="A2"/>
    </sheetView>
  </sheetViews>
  <sheetFormatPr defaultColWidth="13.42578125" defaultRowHeight="15"/>
  <cols>
    <col min="1" max="1" width="17.7109375" style="6" customWidth="1"/>
    <col min="2" max="2" width="7.85546875" style="6" customWidth="1"/>
    <col min="3" max="3" width="6.85546875" style="6" customWidth="1"/>
    <col min="4" max="4" width="14.5703125" style="6" customWidth="1"/>
    <col min="5" max="5" width="13.42578125" style="6"/>
    <col min="6" max="6" width="7" style="10" customWidth="1"/>
    <col min="7" max="7" width="7.85546875" style="31" customWidth="1"/>
    <col min="8" max="8" width="13.42578125" style="32"/>
    <col min="9" max="9" width="12.42578125" style="32" customWidth="1"/>
    <col min="10" max="10" width="12.140625" style="32" customWidth="1"/>
    <col min="11" max="11" width="15.85546875" style="32" customWidth="1"/>
    <col min="12" max="12" width="10.28515625" style="33" customWidth="1"/>
    <col min="13" max="13" width="14.28515625" style="32" customWidth="1"/>
    <col min="14" max="14" width="13.42578125" style="6"/>
    <col min="15" max="15" width="17.140625" style="10" customWidth="1"/>
    <col min="16" max="16" width="13.5703125" style="26" customWidth="1"/>
    <col min="17" max="17" width="15.42578125" style="10" customWidth="1"/>
    <col min="18" max="18" width="9.140625" style="10" customWidth="1"/>
    <col min="19" max="19" width="15.42578125" style="10" customWidth="1"/>
    <col min="20" max="20" width="17.7109375" style="34" customWidth="1"/>
    <col min="21" max="16384" width="13.42578125" style="6"/>
  </cols>
  <sheetData>
    <row r="1" spans="1:20">
      <c r="A1" s="35" t="s">
        <v>137</v>
      </c>
      <c r="B1" s="35" t="s">
        <v>138</v>
      </c>
      <c r="C1" s="35" t="s">
        <v>139</v>
      </c>
      <c r="D1" s="35" t="s">
        <v>140</v>
      </c>
      <c r="F1" s="10" t="s">
        <v>0</v>
      </c>
      <c r="G1" s="10" t="s">
        <v>141</v>
      </c>
      <c r="H1" s="10" t="s">
        <v>142</v>
      </c>
      <c r="I1" s="10" t="s">
        <v>143</v>
      </c>
      <c r="J1" s="10" t="s">
        <v>144</v>
      </c>
      <c r="K1" s="10" t="s">
        <v>145</v>
      </c>
      <c r="L1" s="7" t="s">
        <v>146</v>
      </c>
      <c r="M1" s="10" t="s">
        <v>147</v>
      </c>
      <c r="O1" s="6"/>
      <c r="P1" s="6"/>
      <c r="Q1" s="6"/>
      <c r="R1" s="6"/>
      <c r="S1" s="6"/>
      <c r="T1" s="6"/>
    </row>
    <row r="2" spans="1:20">
      <c r="A2" s="35" t="s">
        <v>148</v>
      </c>
      <c r="B2" s="36">
        <v>3</v>
      </c>
      <c r="C2" s="6">
        <v>20</v>
      </c>
      <c r="D2" s="6">
        <f t="shared" ref="D2:D9" si="0">B2*C2*3</f>
        <v>180</v>
      </c>
      <c r="F2" s="10" t="s">
        <v>149</v>
      </c>
      <c r="G2" s="31">
        <f t="shared" ref="G2:G11" si="1">$D$3*(1+I2+J2+(L2*0.16)+$M$2)*(1+K2)</f>
        <v>162</v>
      </c>
      <c r="I2" s="32">
        <v>0</v>
      </c>
      <c r="J2" s="32">
        <v>0</v>
      </c>
      <c r="K2" s="32">
        <v>0</v>
      </c>
      <c r="L2" s="33">
        <v>0</v>
      </c>
      <c r="M2" s="7">
        <v>0</v>
      </c>
      <c r="O2" s="6"/>
      <c r="P2" s="6"/>
      <c r="Q2" s="6"/>
      <c r="R2" s="6"/>
      <c r="S2" s="6"/>
      <c r="T2" s="6"/>
    </row>
    <row r="3" spans="1:20">
      <c r="A3" s="35" t="s">
        <v>150</v>
      </c>
      <c r="B3" s="36">
        <v>3</v>
      </c>
      <c r="C3" s="6">
        <v>18</v>
      </c>
      <c r="D3" s="6">
        <f t="shared" si="0"/>
        <v>162</v>
      </c>
      <c r="F3" s="10" t="s">
        <v>151</v>
      </c>
      <c r="G3" s="31">
        <f t="shared" si="1"/>
        <v>309.41999999999996</v>
      </c>
      <c r="I3" s="32">
        <v>0.65</v>
      </c>
      <c r="J3" s="32">
        <v>0.1</v>
      </c>
      <c r="K3" s="32">
        <v>0</v>
      </c>
      <c r="L3" s="33">
        <v>1</v>
      </c>
      <c r="O3" s="6"/>
      <c r="P3" s="6"/>
      <c r="Q3" s="6"/>
      <c r="R3" s="6"/>
      <c r="S3" s="6"/>
      <c r="T3" s="6"/>
    </row>
    <row r="4" spans="1:20">
      <c r="A4" s="35" t="s">
        <v>152</v>
      </c>
      <c r="B4" s="36">
        <v>3</v>
      </c>
      <c r="C4" s="6">
        <v>18</v>
      </c>
      <c r="D4" s="6">
        <f t="shared" si="0"/>
        <v>162</v>
      </c>
      <c r="F4" s="10">
        <v>1830</v>
      </c>
      <c r="G4" s="31">
        <f t="shared" si="1"/>
        <v>447.11999999999995</v>
      </c>
      <c r="I4" s="32">
        <v>1.05</v>
      </c>
      <c r="J4" s="32">
        <v>0.55000000000000004</v>
      </c>
      <c r="K4" s="32">
        <v>0</v>
      </c>
      <c r="L4" s="33">
        <v>1</v>
      </c>
      <c r="O4" s="6"/>
      <c r="P4" s="6"/>
      <c r="Q4" s="6"/>
      <c r="R4" s="6"/>
      <c r="S4" s="6"/>
      <c r="T4" s="6"/>
    </row>
    <row r="5" spans="1:20">
      <c r="A5" s="35" t="s">
        <v>153</v>
      </c>
      <c r="B5" s="36">
        <v>3</v>
      </c>
      <c r="C5" s="6">
        <v>18</v>
      </c>
      <c r="D5" s="6">
        <f t="shared" si="0"/>
        <v>162</v>
      </c>
      <c r="F5" s="10">
        <v>1840</v>
      </c>
      <c r="G5" s="31">
        <f t="shared" si="1"/>
        <v>473.03999999999991</v>
      </c>
      <c r="I5" s="32">
        <v>1.05</v>
      </c>
      <c r="J5" s="32">
        <v>0.55000000000000004</v>
      </c>
      <c r="K5" s="32">
        <v>0</v>
      </c>
      <c r="L5" s="33">
        <v>2</v>
      </c>
      <c r="O5" s="6"/>
      <c r="P5" s="6"/>
      <c r="Q5" s="6"/>
      <c r="R5" s="6"/>
      <c r="S5" s="6"/>
      <c r="T5" s="6"/>
    </row>
    <row r="6" spans="1:20">
      <c r="A6" s="35" t="s">
        <v>154</v>
      </c>
      <c r="B6" s="36">
        <v>3</v>
      </c>
      <c r="C6" s="6">
        <v>18</v>
      </c>
      <c r="D6" s="6">
        <f t="shared" si="0"/>
        <v>162</v>
      </c>
      <c r="F6" s="10">
        <v>1850</v>
      </c>
      <c r="G6" s="31">
        <f t="shared" si="1"/>
        <v>563.76</v>
      </c>
      <c r="I6" s="32">
        <v>1.2</v>
      </c>
      <c r="J6" s="32">
        <v>0.8</v>
      </c>
      <c r="K6" s="32">
        <v>0</v>
      </c>
      <c r="L6" s="33">
        <v>3</v>
      </c>
      <c r="O6" s="6"/>
      <c r="P6" s="6"/>
      <c r="Q6" s="6"/>
      <c r="R6" s="6"/>
      <c r="S6" s="6"/>
      <c r="T6" s="6"/>
    </row>
    <row r="7" spans="1:20">
      <c r="A7" s="35" t="s">
        <v>155</v>
      </c>
      <c r="B7" s="36">
        <v>2.25</v>
      </c>
      <c r="C7" s="6">
        <v>20</v>
      </c>
      <c r="D7" s="6">
        <f t="shared" si="0"/>
        <v>135</v>
      </c>
      <c r="F7" s="10">
        <v>1870</v>
      </c>
      <c r="G7" s="31">
        <f t="shared" si="1"/>
        <v>654.48</v>
      </c>
      <c r="I7" s="32">
        <v>1.2</v>
      </c>
      <c r="J7" s="32">
        <v>1.2</v>
      </c>
      <c r="K7" s="32">
        <v>0</v>
      </c>
      <c r="L7" s="33">
        <v>4</v>
      </c>
      <c r="O7" s="6"/>
      <c r="P7" s="6"/>
      <c r="Q7" s="6"/>
      <c r="R7" s="6"/>
      <c r="S7" s="6"/>
      <c r="T7" s="6"/>
    </row>
    <row r="8" spans="1:20">
      <c r="A8" s="35" t="s">
        <v>156</v>
      </c>
      <c r="B8" s="36">
        <v>3</v>
      </c>
      <c r="C8" s="6">
        <v>13</v>
      </c>
      <c r="D8" s="6">
        <f t="shared" si="0"/>
        <v>117</v>
      </c>
      <c r="F8" s="10">
        <v>1880</v>
      </c>
      <c r="G8" s="31">
        <f t="shared" si="1"/>
        <v>678.78</v>
      </c>
      <c r="I8" s="32">
        <v>1.35</v>
      </c>
      <c r="J8" s="32">
        <v>1.2</v>
      </c>
      <c r="K8" s="32">
        <v>0</v>
      </c>
      <c r="L8" s="33">
        <v>4</v>
      </c>
      <c r="O8" s="6"/>
      <c r="P8" s="6"/>
      <c r="Q8" s="6"/>
      <c r="R8" s="6"/>
      <c r="S8" s="6"/>
      <c r="T8" s="6"/>
    </row>
    <row r="9" spans="1:20">
      <c r="A9" s="35" t="s">
        <v>157</v>
      </c>
      <c r="B9" s="36">
        <v>3</v>
      </c>
      <c r="C9" s="6">
        <v>10</v>
      </c>
      <c r="D9" s="6">
        <f t="shared" si="0"/>
        <v>90</v>
      </c>
      <c r="F9" s="10">
        <v>1898</v>
      </c>
      <c r="G9" s="31">
        <f t="shared" si="1"/>
        <v>704.69999999999993</v>
      </c>
      <c r="I9" s="32">
        <v>1.35</v>
      </c>
      <c r="J9" s="32">
        <v>1.2</v>
      </c>
      <c r="K9" s="32">
        <v>0</v>
      </c>
      <c r="L9" s="33">
        <v>5</v>
      </c>
      <c r="O9" s="6"/>
      <c r="P9" s="6"/>
      <c r="Q9" s="6"/>
      <c r="R9" s="6"/>
      <c r="S9" s="6"/>
      <c r="T9" s="6"/>
    </row>
    <row r="10" spans="1:20">
      <c r="A10" s="35" t="s">
        <v>158</v>
      </c>
      <c r="B10" s="36">
        <v>4</v>
      </c>
      <c r="C10" s="6">
        <v>5.4</v>
      </c>
      <c r="D10" s="6">
        <f t="shared" ref="D10:D29" si="2">B10*C10</f>
        <v>21.6</v>
      </c>
      <c r="F10" s="10">
        <v>1900</v>
      </c>
      <c r="G10" s="31">
        <f t="shared" si="1"/>
        <v>907.2</v>
      </c>
      <c r="I10" s="32">
        <v>2.2000000000000002</v>
      </c>
      <c r="J10" s="32">
        <v>1.6</v>
      </c>
      <c r="K10" s="32">
        <v>0</v>
      </c>
      <c r="L10" s="33">
        <v>5</v>
      </c>
      <c r="O10" s="6"/>
      <c r="P10" s="6"/>
      <c r="Q10" s="6"/>
      <c r="R10" s="6"/>
      <c r="S10" s="6"/>
      <c r="T10" s="6"/>
    </row>
    <row r="11" spans="1:20">
      <c r="A11" s="35" t="s">
        <v>159</v>
      </c>
      <c r="B11" s="36">
        <v>3</v>
      </c>
      <c r="C11" s="6">
        <v>6</v>
      </c>
      <c r="D11" s="6">
        <f t="shared" si="2"/>
        <v>18</v>
      </c>
      <c r="F11" s="10">
        <v>1915</v>
      </c>
      <c r="G11" s="31">
        <f t="shared" si="1"/>
        <v>933.12000000000012</v>
      </c>
      <c r="I11" s="32">
        <v>2.2000000000000002</v>
      </c>
      <c r="J11" s="32">
        <v>1.6</v>
      </c>
      <c r="K11" s="32">
        <v>0</v>
      </c>
      <c r="L11" s="33">
        <v>6</v>
      </c>
      <c r="O11" s="6"/>
      <c r="P11" s="6"/>
      <c r="Q11" s="6"/>
      <c r="R11" s="6"/>
      <c r="S11" s="6"/>
      <c r="T11" s="6"/>
    </row>
    <row r="12" spans="1:20">
      <c r="A12" s="35" t="s">
        <v>160</v>
      </c>
      <c r="B12" s="36">
        <v>1</v>
      </c>
      <c r="C12" s="6">
        <v>12</v>
      </c>
      <c r="D12" s="6">
        <f t="shared" si="2"/>
        <v>12</v>
      </c>
      <c r="O12" s="6"/>
      <c r="P12" s="6"/>
      <c r="Q12" s="6"/>
      <c r="R12" s="6"/>
      <c r="S12" s="6"/>
      <c r="T12" s="6"/>
    </row>
    <row r="13" spans="1:20">
      <c r="A13" s="35" t="s">
        <v>161</v>
      </c>
      <c r="B13" s="36">
        <v>8</v>
      </c>
      <c r="C13" s="6">
        <v>0.9</v>
      </c>
      <c r="D13" s="6">
        <f t="shared" si="2"/>
        <v>7.2</v>
      </c>
      <c r="O13" s="6"/>
      <c r="P13" s="6"/>
      <c r="Q13" s="6"/>
      <c r="R13" s="6"/>
      <c r="S13" s="6"/>
      <c r="T13" s="6"/>
    </row>
    <row r="14" spans="1:20">
      <c r="A14" s="35" t="s">
        <v>162</v>
      </c>
      <c r="B14" s="36">
        <v>2</v>
      </c>
      <c r="C14" s="6">
        <v>3.5</v>
      </c>
      <c r="D14" s="6">
        <f t="shared" si="2"/>
        <v>7</v>
      </c>
      <c r="O14" s="6"/>
      <c r="P14" s="6"/>
      <c r="Q14" s="6"/>
      <c r="R14" s="6"/>
      <c r="S14" s="6"/>
      <c r="T14" s="6"/>
    </row>
    <row r="15" spans="1:20">
      <c r="A15" s="35" t="s">
        <v>163</v>
      </c>
      <c r="B15" s="36">
        <v>2.4</v>
      </c>
      <c r="C15" s="6">
        <v>2.2999999999999998</v>
      </c>
      <c r="D15" s="6">
        <f t="shared" si="2"/>
        <v>5.52</v>
      </c>
      <c r="O15" s="6"/>
      <c r="P15" s="6"/>
      <c r="Q15" s="6"/>
      <c r="R15" s="6"/>
      <c r="S15" s="6"/>
      <c r="T15" s="6"/>
    </row>
    <row r="16" spans="1:20">
      <c r="A16" s="35" t="s">
        <v>164</v>
      </c>
      <c r="B16" s="36">
        <v>0.75</v>
      </c>
      <c r="C16" s="6">
        <v>7</v>
      </c>
      <c r="D16" s="6">
        <f t="shared" si="2"/>
        <v>5.25</v>
      </c>
      <c r="O16" s="6"/>
      <c r="P16" s="6"/>
      <c r="Q16" s="6"/>
      <c r="R16" s="6"/>
      <c r="S16" s="6"/>
      <c r="T16" s="6"/>
    </row>
    <row r="17" spans="1:20">
      <c r="A17" s="35" t="s">
        <v>165</v>
      </c>
      <c r="B17" s="36">
        <v>2.7</v>
      </c>
      <c r="C17" s="6">
        <v>1.8</v>
      </c>
      <c r="D17" s="6">
        <f t="shared" si="2"/>
        <v>4.8600000000000003</v>
      </c>
      <c r="O17" s="6"/>
      <c r="P17" s="6"/>
      <c r="Q17" s="6"/>
      <c r="R17" s="6"/>
      <c r="S17" s="6"/>
      <c r="T17" s="6"/>
    </row>
    <row r="18" spans="1:20">
      <c r="A18" s="35" t="s">
        <v>166</v>
      </c>
      <c r="B18" s="36">
        <v>1.75</v>
      </c>
      <c r="C18" s="6">
        <v>2.6</v>
      </c>
      <c r="D18" s="6">
        <f t="shared" si="2"/>
        <v>4.55</v>
      </c>
      <c r="O18" s="6"/>
      <c r="P18" s="6"/>
      <c r="Q18" s="6"/>
      <c r="R18" s="6"/>
      <c r="S18" s="6"/>
      <c r="T18" s="6"/>
    </row>
    <row r="19" spans="1:20">
      <c r="A19" s="35" t="s">
        <v>167</v>
      </c>
      <c r="B19" s="36">
        <v>1.7</v>
      </c>
      <c r="C19" s="6">
        <v>2.2000000000000002</v>
      </c>
      <c r="D19" s="6">
        <f t="shared" si="2"/>
        <v>3.74</v>
      </c>
      <c r="O19" s="6"/>
      <c r="P19" s="6"/>
      <c r="Q19" s="6"/>
      <c r="R19" s="6"/>
      <c r="S19" s="6"/>
      <c r="T19" s="6"/>
    </row>
    <row r="20" spans="1:20">
      <c r="A20" s="35" t="s">
        <v>168</v>
      </c>
      <c r="B20" s="36">
        <v>1.8</v>
      </c>
      <c r="C20" s="6">
        <v>2</v>
      </c>
      <c r="D20" s="6">
        <f t="shared" si="2"/>
        <v>3.6</v>
      </c>
      <c r="O20" s="6"/>
      <c r="P20" s="6"/>
      <c r="Q20" s="6"/>
      <c r="R20" s="6"/>
      <c r="S20" s="6"/>
      <c r="T20" s="6"/>
    </row>
    <row r="21" spans="1:20">
      <c r="A21" s="35" t="s">
        <v>169</v>
      </c>
      <c r="B21" s="36">
        <v>1.7</v>
      </c>
      <c r="C21" s="6">
        <v>2</v>
      </c>
      <c r="D21" s="6">
        <f t="shared" si="2"/>
        <v>3.4</v>
      </c>
      <c r="O21" s="6"/>
      <c r="P21" s="6"/>
      <c r="Q21" s="6"/>
      <c r="R21" s="6"/>
      <c r="S21" s="6"/>
      <c r="T21" s="6"/>
    </row>
    <row r="22" spans="1:20">
      <c r="A22" s="35" t="s">
        <v>170</v>
      </c>
      <c r="B22" s="36">
        <v>4.8</v>
      </c>
      <c r="C22" s="6">
        <v>0.7</v>
      </c>
      <c r="D22" s="6">
        <f t="shared" si="2"/>
        <v>3.36</v>
      </c>
    </row>
    <row r="23" spans="1:20">
      <c r="A23" s="35" t="s">
        <v>171</v>
      </c>
      <c r="B23" s="36">
        <v>1</v>
      </c>
      <c r="C23" s="6">
        <v>3.2</v>
      </c>
      <c r="D23" s="6">
        <f t="shared" si="2"/>
        <v>3.2</v>
      </c>
    </row>
    <row r="24" spans="1:20">
      <c r="A24" s="35" t="s">
        <v>172</v>
      </c>
      <c r="B24" s="36">
        <v>2.1</v>
      </c>
      <c r="C24" s="6">
        <v>1.5</v>
      </c>
      <c r="D24" s="6">
        <f t="shared" si="2"/>
        <v>3.1500000000000004</v>
      </c>
    </row>
    <row r="25" spans="1:20">
      <c r="A25" s="35" t="s">
        <v>173</v>
      </c>
      <c r="B25" s="36">
        <v>1.5</v>
      </c>
      <c r="C25" s="6">
        <v>2.1</v>
      </c>
      <c r="D25" s="6">
        <f t="shared" si="2"/>
        <v>3.1500000000000004</v>
      </c>
    </row>
    <row r="26" spans="1:20">
      <c r="A26" s="35" t="s">
        <v>174</v>
      </c>
      <c r="B26" s="36">
        <v>2.5</v>
      </c>
      <c r="C26" s="6">
        <v>1.1000000000000001</v>
      </c>
      <c r="D26" s="6">
        <f t="shared" si="2"/>
        <v>2.75</v>
      </c>
    </row>
    <row r="27" spans="1:20">
      <c r="A27" s="35" t="s">
        <v>175</v>
      </c>
      <c r="B27" s="36">
        <v>0.22</v>
      </c>
      <c r="C27" s="6">
        <v>12</v>
      </c>
      <c r="D27" s="6">
        <f t="shared" si="2"/>
        <v>2.64</v>
      </c>
    </row>
    <row r="28" spans="1:20">
      <c r="A28" s="35" t="s">
        <v>176</v>
      </c>
      <c r="B28" s="36">
        <v>0.25</v>
      </c>
      <c r="C28" s="6">
        <v>10</v>
      </c>
      <c r="D28" s="6">
        <f t="shared" si="2"/>
        <v>2.5</v>
      </c>
    </row>
    <row r="29" spans="1:20">
      <c r="A29" s="35" t="s">
        <v>177</v>
      </c>
      <c r="B29" s="36">
        <v>0.7</v>
      </c>
      <c r="C29" s="6">
        <v>3.2</v>
      </c>
      <c r="D29" s="6">
        <f t="shared" si="2"/>
        <v>2.2399999999999998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8"/>
  <sheetViews>
    <sheetView zoomScale="120" zoomScaleNormal="120" workbookViewId="0">
      <selection activeCell="E3" sqref="E3"/>
    </sheetView>
  </sheetViews>
  <sheetFormatPr defaultColWidth="13.42578125" defaultRowHeight="15"/>
  <cols>
    <col min="1" max="1" width="6.5703125" style="10" customWidth="1"/>
    <col min="2" max="2" width="9.7109375" style="37" customWidth="1"/>
    <col min="3" max="3" width="14.28515625" style="10" customWidth="1"/>
    <col min="4" max="4" width="13.42578125" style="6"/>
    <col min="5" max="5" width="13" style="6" customWidth="1"/>
    <col min="6" max="6" width="14.5703125" style="26" customWidth="1"/>
    <col min="7" max="16384" width="13.42578125" style="6"/>
  </cols>
  <sheetData>
    <row r="1" spans="1:7">
      <c r="A1" s="10" t="s">
        <v>0</v>
      </c>
      <c r="B1" s="38" t="s">
        <v>178</v>
      </c>
      <c r="C1" s="10" t="s">
        <v>85</v>
      </c>
      <c r="E1" s="10" t="s">
        <v>84</v>
      </c>
      <c r="F1" s="10" t="s">
        <v>179</v>
      </c>
    </row>
    <row r="2" spans="1:7">
      <c r="A2" s="10">
        <v>1830</v>
      </c>
      <c r="B2" s="26">
        <f>F2</f>
        <v>452530</v>
      </c>
      <c r="C2" s="18">
        <v>0</v>
      </c>
      <c r="E2" s="10">
        <v>30</v>
      </c>
      <c r="F2" s="26">
        <v>452530</v>
      </c>
    </row>
    <row r="3" spans="1:7">
      <c r="A3" s="10">
        <v>1831</v>
      </c>
      <c r="B3" s="26">
        <f t="shared" ref="B3:B34" si="0">B2*(1+0.0001+MAX(($E$2-36),0)*0.0001+C2)</f>
        <v>452575.25299999997</v>
      </c>
      <c r="C3" s="18">
        <v>0</v>
      </c>
      <c r="G3" s="15"/>
    </row>
    <row r="4" spans="1:7">
      <c r="A4" s="10">
        <v>1832</v>
      </c>
      <c r="B4" s="26">
        <f t="shared" si="0"/>
        <v>452620.51052529993</v>
      </c>
      <c r="C4" s="18">
        <v>0</v>
      </c>
    </row>
    <row r="5" spans="1:7">
      <c r="A5" s="10">
        <v>1833</v>
      </c>
      <c r="B5" s="26">
        <f t="shared" si="0"/>
        <v>452665.77257635246</v>
      </c>
      <c r="C5" s="18">
        <v>0</v>
      </c>
    </row>
    <row r="6" spans="1:7">
      <c r="A6" s="10">
        <v>1834</v>
      </c>
      <c r="B6" s="26">
        <f t="shared" si="0"/>
        <v>452711.03915361012</v>
      </c>
      <c r="C6" s="39">
        <v>1E-4</v>
      </c>
    </row>
    <row r="7" spans="1:7">
      <c r="A7" s="10">
        <v>1835</v>
      </c>
      <c r="B7" s="26">
        <f t="shared" si="0"/>
        <v>452801.58136144083</v>
      </c>
      <c r="C7" s="39">
        <v>1E-4</v>
      </c>
    </row>
    <row r="8" spans="1:7">
      <c r="A8" s="10">
        <v>1836</v>
      </c>
      <c r="B8" s="26">
        <f t="shared" si="0"/>
        <v>452892.14167771308</v>
      </c>
      <c r="C8" s="39">
        <v>2.0000000000000001E-4</v>
      </c>
    </row>
    <row r="9" spans="1:7">
      <c r="A9" s="10">
        <v>1837</v>
      </c>
      <c r="B9" s="26">
        <f t="shared" si="0"/>
        <v>453028.00932021637</v>
      </c>
      <c r="C9" s="39">
        <v>2.9999999999999997E-4</v>
      </c>
    </row>
    <row r="10" spans="1:7">
      <c r="A10" s="10">
        <v>1838</v>
      </c>
      <c r="B10" s="26">
        <f t="shared" si="0"/>
        <v>453209.22052394442</v>
      </c>
      <c r="C10" s="39">
        <v>4.0000000000000002E-4</v>
      </c>
    </row>
    <row r="11" spans="1:7">
      <c r="A11" s="10">
        <v>1839</v>
      </c>
      <c r="B11" s="26">
        <f t="shared" si="0"/>
        <v>453435.82513420639</v>
      </c>
      <c r="C11" s="39">
        <v>4.0000000000000002E-4</v>
      </c>
    </row>
    <row r="12" spans="1:7">
      <c r="A12" s="10">
        <v>1840</v>
      </c>
      <c r="B12" s="26">
        <f t="shared" si="0"/>
        <v>453662.54304677347</v>
      </c>
      <c r="C12" s="39">
        <v>5.0000000000000001E-4</v>
      </c>
    </row>
    <row r="13" spans="1:7">
      <c r="A13" s="10">
        <v>1841</v>
      </c>
      <c r="B13" s="26">
        <f t="shared" si="0"/>
        <v>453934.7405726015</v>
      </c>
      <c r="C13" s="39">
        <v>5.0000000000000001E-4</v>
      </c>
    </row>
    <row r="14" spans="1:7">
      <c r="A14" s="10">
        <v>1842</v>
      </c>
      <c r="B14" s="26">
        <f t="shared" si="0"/>
        <v>454207.10141694505</v>
      </c>
      <c r="C14" s="39">
        <v>5.0000000000000001E-4</v>
      </c>
    </row>
    <row r="15" spans="1:7">
      <c r="A15" s="10">
        <v>1843</v>
      </c>
      <c r="B15" s="26">
        <f t="shared" si="0"/>
        <v>454479.62567779521</v>
      </c>
      <c r="C15" s="39">
        <v>5.0000000000000001E-4</v>
      </c>
    </row>
    <row r="16" spans="1:7">
      <c r="A16" s="10">
        <v>1844</v>
      </c>
      <c r="B16" s="26">
        <f t="shared" si="0"/>
        <v>454752.31345320184</v>
      </c>
      <c r="C16" s="39">
        <v>5.0000000000000001E-4</v>
      </c>
    </row>
    <row r="17" spans="1:3">
      <c r="A17" s="10">
        <v>1845</v>
      </c>
      <c r="B17" s="26">
        <f t="shared" si="0"/>
        <v>455025.16484127374</v>
      </c>
      <c r="C17" s="39">
        <v>5.0000000000000001E-4</v>
      </c>
    </row>
    <row r="18" spans="1:3">
      <c r="A18" s="10">
        <v>1846</v>
      </c>
      <c r="B18" s="26">
        <f t="shared" si="0"/>
        <v>455298.17994017847</v>
      </c>
      <c r="C18" s="39">
        <v>5.0000000000000001E-4</v>
      </c>
    </row>
    <row r="19" spans="1:3">
      <c r="A19" s="10">
        <v>1847</v>
      </c>
      <c r="B19" s="26">
        <f t="shared" si="0"/>
        <v>455571.35884814255</v>
      </c>
      <c r="C19" s="39">
        <v>5.0000000000000001E-4</v>
      </c>
    </row>
    <row r="20" spans="1:3">
      <c r="A20" s="10">
        <v>1848</v>
      </c>
      <c r="B20" s="26">
        <f t="shared" si="0"/>
        <v>455844.70166345139</v>
      </c>
      <c r="C20" s="39">
        <v>5.0000000000000001E-4</v>
      </c>
    </row>
    <row r="21" spans="1:3">
      <c r="A21" s="10">
        <v>1849</v>
      </c>
      <c r="B21" s="26">
        <f t="shared" si="0"/>
        <v>456118.20848444942</v>
      </c>
      <c r="C21" s="39">
        <v>5.0000000000000001E-4</v>
      </c>
    </row>
    <row r="22" spans="1:3">
      <c r="A22" s="10">
        <v>1850</v>
      </c>
      <c r="B22" s="26">
        <f t="shared" si="0"/>
        <v>456391.87940954004</v>
      </c>
      <c r="C22" s="39">
        <v>5.0000000000000001E-4</v>
      </c>
    </row>
    <row r="23" spans="1:3">
      <c r="A23" s="10">
        <v>1851</v>
      </c>
      <c r="B23" s="26">
        <f t="shared" si="0"/>
        <v>456665.71453718573</v>
      </c>
      <c r="C23" s="39">
        <v>5.0000000000000001E-4</v>
      </c>
    </row>
    <row r="24" spans="1:3">
      <c r="A24" s="10">
        <v>1852</v>
      </c>
      <c r="B24" s="26">
        <f t="shared" si="0"/>
        <v>456939.71396590804</v>
      </c>
      <c r="C24" s="39">
        <v>5.0000000000000001E-4</v>
      </c>
    </row>
    <row r="25" spans="1:3">
      <c r="A25" s="10">
        <v>1853</v>
      </c>
      <c r="B25" s="26">
        <f t="shared" si="0"/>
        <v>457213.87779428757</v>
      </c>
      <c r="C25" s="39">
        <v>5.0000000000000001E-4</v>
      </c>
    </row>
    <row r="26" spans="1:3">
      <c r="A26" s="10">
        <v>1854</v>
      </c>
      <c r="B26" s="26">
        <f t="shared" si="0"/>
        <v>457488.20612096414</v>
      </c>
      <c r="C26" s="39">
        <v>5.0000000000000001E-4</v>
      </c>
    </row>
    <row r="27" spans="1:3">
      <c r="A27" s="10">
        <v>1855</v>
      </c>
      <c r="B27" s="26">
        <f t="shared" si="0"/>
        <v>457762.69904463668</v>
      </c>
      <c r="C27" s="39">
        <v>5.0000000000000001E-4</v>
      </c>
    </row>
    <row r="28" spans="1:3">
      <c r="A28" s="10">
        <v>1856</v>
      </c>
      <c r="B28" s="26">
        <f t="shared" si="0"/>
        <v>458037.35666406341</v>
      </c>
      <c r="C28" s="39">
        <v>5.0000000000000001E-4</v>
      </c>
    </row>
    <row r="29" spans="1:3">
      <c r="A29" s="10">
        <v>1857</v>
      </c>
      <c r="B29" s="26">
        <f t="shared" si="0"/>
        <v>458312.17907806183</v>
      </c>
      <c r="C29" s="39">
        <v>5.0000000000000001E-4</v>
      </c>
    </row>
    <row r="30" spans="1:3">
      <c r="A30" s="10">
        <v>1858</v>
      </c>
      <c r="B30" s="26">
        <f t="shared" si="0"/>
        <v>458587.16638550867</v>
      </c>
      <c r="C30" s="39">
        <v>5.0000000000000001E-4</v>
      </c>
    </row>
    <row r="31" spans="1:3">
      <c r="A31" s="10">
        <v>1859</v>
      </c>
      <c r="B31" s="26">
        <f t="shared" si="0"/>
        <v>458862.31868533994</v>
      </c>
      <c r="C31" s="39">
        <v>5.0000000000000001E-4</v>
      </c>
    </row>
    <row r="32" spans="1:3">
      <c r="A32" s="10">
        <v>1860</v>
      </c>
      <c r="B32" s="26">
        <f t="shared" si="0"/>
        <v>459137.63607655111</v>
      </c>
      <c r="C32" s="39">
        <v>5.0000000000000001E-4</v>
      </c>
    </row>
    <row r="33" spans="1:3">
      <c r="A33" s="10">
        <v>1861</v>
      </c>
      <c r="B33" s="26">
        <f t="shared" si="0"/>
        <v>459413.118658197</v>
      </c>
      <c r="C33" s="39">
        <v>5.0000000000000001E-4</v>
      </c>
    </row>
    <row r="34" spans="1:3">
      <c r="A34" s="10">
        <v>1862</v>
      </c>
      <c r="B34" s="26">
        <f t="shared" si="0"/>
        <v>459688.76652939187</v>
      </c>
      <c r="C34" s="39">
        <v>5.0000000000000001E-4</v>
      </c>
    </row>
    <row r="35" spans="1:3">
      <c r="A35" s="10">
        <v>1863</v>
      </c>
      <c r="B35" s="26">
        <f t="shared" ref="B35:B66" si="1">B34*(1+0.0001+MAX(($E$2-36),0)*0.0001+C34)</f>
        <v>459964.57978930947</v>
      </c>
      <c r="C35" s="39">
        <v>5.0000000000000001E-4</v>
      </c>
    </row>
    <row r="36" spans="1:3">
      <c r="A36" s="10">
        <v>1864</v>
      </c>
      <c r="B36" s="26">
        <f t="shared" si="1"/>
        <v>460240.55853718304</v>
      </c>
      <c r="C36" s="39">
        <v>5.0000000000000001E-4</v>
      </c>
    </row>
    <row r="37" spans="1:3">
      <c r="A37" s="10">
        <v>1865</v>
      </c>
      <c r="B37" s="26">
        <f t="shared" si="1"/>
        <v>460516.70287230529</v>
      </c>
      <c r="C37" s="39">
        <v>5.0000000000000001E-4</v>
      </c>
    </row>
    <row r="38" spans="1:3">
      <c r="A38" s="10">
        <v>1866</v>
      </c>
      <c r="B38" s="26">
        <f t="shared" si="1"/>
        <v>460793.01289402862</v>
      </c>
      <c r="C38" s="39">
        <v>5.0000000000000001E-4</v>
      </c>
    </row>
    <row r="39" spans="1:3">
      <c r="A39" s="10">
        <v>1867</v>
      </c>
      <c r="B39" s="26">
        <f t="shared" si="1"/>
        <v>461069.48870176502</v>
      </c>
      <c r="C39" s="39">
        <v>5.0000000000000001E-4</v>
      </c>
    </row>
    <row r="40" spans="1:3">
      <c r="A40" s="10">
        <v>1868</v>
      </c>
      <c r="B40" s="26">
        <f t="shared" si="1"/>
        <v>461346.13039498607</v>
      </c>
      <c r="C40" s="39">
        <v>5.0000000000000001E-4</v>
      </c>
    </row>
    <row r="41" spans="1:3">
      <c r="A41" s="10">
        <v>1869</v>
      </c>
      <c r="B41" s="26">
        <f t="shared" si="1"/>
        <v>461622.93807322305</v>
      </c>
      <c r="C41" s="39">
        <v>5.0000000000000001E-4</v>
      </c>
    </row>
    <row r="42" spans="1:3">
      <c r="A42" s="10">
        <v>1870</v>
      </c>
      <c r="B42" s="26">
        <f t="shared" si="1"/>
        <v>461899.91183606692</v>
      </c>
      <c r="C42" s="39">
        <v>5.0000000000000001E-4</v>
      </c>
    </row>
    <row r="43" spans="1:3">
      <c r="A43" s="10">
        <v>1871</v>
      </c>
      <c r="B43" s="26">
        <f t="shared" si="1"/>
        <v>462177.05178316851</v>
      </c>
      <c r="C43" s="39">
        <v>5.0000000000000001E-4</v>
      </c>
    </row>
    <row r="44" spans="1:3">
      <c r="A44" s="10">
        <v>1872</v>
      </c>
      <c r="B44" s="26">
        <f t="shared" si="1"/>
        <v>462454.35801423836</v>
      </c>
      <c r="C44" s="39">
        <v>5.0000000000000001E-4</v>
      </c>
    </row>
    <row r="45" spans="1:3">
      <c r="A45" s="10">
        <v>1873</v>
      </c>
      <c r="B45" s="26">
        <f t="shared" si="1"/>
        <v>462731.83062904689</v>
      </c>
      <c r="C45" s="39">
        <v>5.0000000000000001E-4</v>
      </c>
    </row>
    <row r="46" spans="1:3">
      <c r="A46" s="10">
        <v>1874</v>
      </c>
      <c r="B46" s="26">
        <f t="shared" si="1"/>
        <v>463009.46972742426</v>
      </c>
      <c r="C46" s="39">
        <v>5.9999999999999995E-4</v>
      </c>
    </row>
    <row r="47" spans="1:3">
      <c r="A47" s="10">
        <v>1875</v>
      </c>
      <c r="B47" s="26">
        <f t="shared" si="1"/>
        <v>463333.57635623345</v>
      </c>
      <c r="C47" s="39">
        <v>5.9999999999999995E-4</v>
      </c>
    </row>
    <row r="48" spans="1:3">
      <c r="A48" s="10">
        <v>1876</v>
      </c>
      <c r="B48" s="26">
        <f t="shared" si="1"/>
        <v>463657.90985968278</v>
      </c>
      <c r="C48" s="39">
        <v>5.9999999999999995E-4</v>
      </c>
    </row>
    <row r="49" spans="1:3">
      <c r="A49" s="10">
        <v>1877</v>
      </c>
      <c r="B49" s="26">
        <f t="shared" si="1"/>
        <v>463982.47039658454</v>
      </c>
      <c r="C49" s="39">
        <v>5.9999999999999995E-4</v>
      </c>
    </row>
    <row r="50" spans="1:3">
      <c r="A50" s="10">
        <v>1878</v>
      </c>
      <c r="B50" s="26">
        <f t="shared" si="1"/>
        <v>464307.25812586211</v>
      </c>
      <c r="C50" s="39">
        <v>5.9999999999999995E-4</v>
      </c>
    </row>
    <row r="51" spans="1:3">
      <c r="A51" s="10">
        <v>1879</v>
      </c>
      <c r="B51" s="26">
        <f t="shared" si="1"/>
        <v>464632.27320655016</v>
      </c>
      <c r="C51" s="39">
        <v>5.9999999999999995E-4</v>
      </c>
    </row>
    <row r="52" spans="1:3">
      <c r="A52" s="10">
        <v>1880</v>
      </c>
      <c r="B52" s="26">
        <f t="shared" si="1"/>
        <v>464957.51579779474</v>
      </c>
      <c r="C52" s="39">
        <v>5.9999999999999995E-4</v>
      </c>
    </row>
    <row r="53" spans="1:3">
      <c r="A53" s="10">
        <v>1881</v>
      </c>
      <c r="B53" s="26">
        <f t="shared" si="1"/>
        <v>465282.98605885316</v>
      </c>
      <c r="C53" s="39">
        <v>5.9999999999999995E-4</v>
      </c>
    </row>
    <row r="54" spans="1:3">
      <c r="A54" s="10">
        <v>1882</v>
      </c>
      <c r="B54" s="26">
        <f t="shared" si="1"/>
        <v>465608.68414909433</v>
      </c>
      <c r="C54" s="39">
        <v>5.9999999999999995E-4</v>
      </c>
    </row>
    <row r="55" spans="1:3">
      <c r="A55" s="10">
        <v>1883</v>
      </c>
      <c r="B55" s="26">
        <f t="shared" si="1"/>
        <v>465934.61022799864</v>
      </c>
      <c r="C55" s="39">
        <v>5.9999999999999995E-4</v>
      </c>
    </row>
    <row r="56" spans="1:3">
      <c r="A56" s="10">
        <v>1884</v>
      </c>
      <c r="B56" s="26">
        <f t="shared" si="1"/>
        <v>466260.76445515821</v>
      </c>
      <c r="C56" s="39">
        <v>5.9999999999999995E-4</v>
      </c>
    </row>
    <row r="57" spans="1:3">
      <c r="A57" s="10">
        <v>1885</v>
      </c>
      <c r="B57" s="26">
        <f t="shared" si="1"/>
        <v>466587.14699027676</v>
      </c>
      <c r="C57" s="39">
        <v>5.9999999999999995E-4</v>
      </c>
    </row>
    <row r="58" spans="1:3">
      <c r="A58" s="10">
        <v>1886</v>
      </c>
      <c r="B58" s="26">
        <f t="shared" si="1"/>
        <v>466913.75799316989</v>
      </c>
      <c r="C58" s="39">
        <v>5.9999999999999995E-4</v>
      </c>
    </row>
    <row r="59" spans="1:3">
      <c r="A59" s="10">
        <v>1887</v>
      </c>
      <c r="B59" s="26">
        <f t="shared" si="1"/>
        <v>467240.59762376506</v>
      </c>
      <c r="C59" s="39">
        <v>5.9999999999999995E-4</v>
      </c>
    </row>
    <row r="60" spans="1:3">
      <c r="A60" s="10">
        <v>1888</v>
      </c>
      <c r="B60" s="26">
        <f t="shared" si="1"/>
        <v>467567.66604210169</v>
      </c>
      <c r="C60" s="39">
        <v>5.9999999999999995E-4</v>
      </c>
    </row>
    <row r="61" spans="1:3">
      <c r="A61" s="10">
        <v>1889</v>
      </c>
      <c r="B61" s="26">
        <f t="shared" si="1"/>
        <v>467894.9634083311</v>
      </c>
      <c r="C61" s="39">
        <v>5.9999999999999995E-4</v>
      </c>
    </row>
    <row r="62" spans="1:3">
      <c r="A62" s="10">
        <v>1890</v>
      </c>
      <c r="B62" s="26">
        <f t="shared" si="1"/>
        <v>468222.48988271691</v>
      </c>
      <c r="C62" s="39">
        <v>5.9999999999999995E-4</v>
      </c>
    </row>
    <row r="63" spans="1:3">
      <c r="A63" s="10">
        <v>1891</v>
      </c>
      <c r="B63" s="26">
        <f t="shared" si="1"/>
        <v>468550.24562563479</v>
      </c>
      <c r="C63" s="39">
        <v>5.9999999999999995E-4</v>
      </c>
    </row>
    <row r="64" spans="1:3">
      <c r="A64" s="10">
        <v>1892</v>
      </c>
      <c r="B64" s="26">
        <f t="shared" si="1"/>
        <v>468878.2307975727</v>
      </c>
      <c r="C64" s="39">
        <v>5.9999999999999995E-4</v>
      </c>
    </row>
    <row r="65" spans="1:3">
      <c r="A65" s="10">
        <v>1893</v>
      </c>
      <c r="B65" s="26">
        <f t="shared" si="1"/>
        <v>469206.44555913098</v>
      </c>
      <c r="C65" s="39">
        <v>5.9999999999999995E-4</v>
      </c>
    </row>
    <row r="66" spans="1:3">
      <c r="A66" s="10">
        <v>1894</v>
      </c>
      <c r="B66" s="26">
        <f t="shared" si="1"/>
        <v>469534.89007102232</v>
      </c>
      <c r="C66" s="39">
        <v>5.9999999999999995E-4</v>
      </c>
    </row>
    <row r="67" spans="1:3">
      <c r="A67" s="10">
        <v>1895</v>
      </c>
      <c r="B67" s="26">
        <f t="shared" ref="B67:B98" si="2">B66*(1+0.0001+MAX(($E$2-36),0)*0.0001+C66)</f>
        <v>469863.56449407199</v>
      </c>
      <c r="C67" s="39">
        <v>5.9999999999999995E-4</v>
      </c>
    </row>
    <row r="68" spans="1:3">
      <c r="A68" s="10">
        <v>1896</v>
      </c>
      <c r="B68" s="26">
        <f t="shared" si="2"/>
        <v>470192.46898921783</v>
      </c>
      <c r="C68" s="39">
        <v>5.9999999999999995E-4</v>
      </c>
    </row>
    <row r="69" spans="1:3">
      <c r="A69" s="10">
        <v>1897</v>
      </c>
      <c r="B69" s="26">
        <f t="shared" si="2"/>
        <v>470521.60371751024</v>
      </c>
      <c r="C69" s="39">
        <v>5.9999999999999995E-4</v>
      </c>
    </row>
    <row r="70" spans="1:3">
      <c r="A70" s="10">
        <v>1898</v>
      </c>
      <c r="B70" s="26">
        <f t="shared" si="2"/>
        <v>470850.96884011244</v>
      </c>
      <c r="C70" s="39">
        <v>5.9999999999999995E-4</v>
      </c>
    </row>
    <row r="71" spans="1:3">
      <c r="A71" s="10">
        <v>1899</v>
      </c>
      <c r="B71" s="26">
        <f t="shared" si="2"/>
        <v>471180.56451830047</v>
      </c>
      <c r="C71" s="39">
        <v>5.9999999999999995E-4</v>
      </c>
    </row>
    <row r="72" spans="1:3">
      <c r="A72" s="10">
        <v>1900</v>
      </c>
      <c r="B72" s="26">
        <f t="shared" si="2"/>
        <v>471510.39091346326</v>
      </c>
      <c r="C72" s="39">
        <v>5.9999999999999995E-4</v>
      </c>
    </row>
    <row r="73" spans="1:3">
      <c r="A73" s="10">
        <v>1901</v>
      </c>
      <c r="B73" s="26">
        <f t="shared" si="2"/>
        <v>471840.44818710262</v>
      </c>
      <c r="C73" s="39">
        <v>5.9999999999999995E-4</v>
      </c>
    </row>
    <row r="74" spans="1:3">
      <c r="A74" s="10">
        <v>1902</v>
      </c>
      <c r="B74" s="26">
        <f t="shared" si="2"/>
        <v>472170.73650083353</v>
      </c>
      <c r="C74" s="39">
        <v>5.9999999999999995E-4</v>
      </c>
    </row>
    <row r="75" spans="1:3">
      <c r="A75" s="10">
        <v>1903</v>
      </c>
      <c r="B75" s="26">
        <f t="shared" si="2"/>
        <v>472501.25601638405</v>
      </c>
      <c r="C75" s="39">
        <v>5.9999999999999995E-4</v>
      </c>
    </row>
    <row r="76" spans="1:3">
      <c r="A76" s="10">
        <v>1904</v>
      </c>
      <c r="B76" s="26">
        <f t="shared" si="2"/>
        <v>472832.00689559546</v>
      </c>
      <c r="C76" s="39">
        <v>5.9999999999999995E-4</v>
      </c>
    </row>
    <row r="77" spans="1:3">
      <c r="A77" s="10">
        <v>1905</v>
      </c>
      <c r="B77" s="26">
        <f t="shared" si="2"/>
        <v>473162.98930042237</v>
      </c>
      <c r="C77" s="39">
        <v>5.9999999999999995E-4</v>
      </c>
    </row>
    <row r="78" spans="1:3">
      <c r="A78" s="10">
        <v>1906</v>
      </c>
      <c r="B78" s="26">
        <f t="shared" si="2"/>
        <v>473494.20339293266</v>
      </c>
      <c r="C78" s="39">
        <v>5.9999999999999995E-4</v>
      </c>
    </row>
    <row r="79" spans="1:3">
      <c r="A79" s="10">
        <v>1907</v>
      </c>
      <c r="B79" s="26">
        <f t="shared" si="2"/>
        <v>473825.64933530765</v>
      </c>
      <c r="C79" s="39">
        <v>5.9999999999999995E-4</v>
      </c>
    </row>
    <row r="80" spans="1:3">
      <c r="A80" s="10">
        <v>1908</v>
      </c>
      <c r="B80" s="26">
        <f t="shared" si="2"/>
        <v>474157.3272898423</v>
      </c>
      <c r="C80" s="39">
        <v>6.9999999999999999E-4</v>
      </c>
    </row>
    <row r="81" spans="1:3">
      <c r="A81" s="10">
        <v>1909</v>
      </c>
      <c r="B81" s="26">
        <f t="shared" si="2"/>
        <v>474536.65315167414</v>
      </c>
      <c r="C81" s="39">
        <v>6.9999999999999999E-4</v>
      </c>
    </row>
    <row r="82" spans="1:3">
      <c r="A82" s="10">
        <v>1910</v>
      </c>
      <c r="B82" s="26">
        <f t="shared" si="2"/>
        <v>474916.28247419541</v>
      </c>
      <c r="C82" s="39">
        <v>6.9999999999999999E-4</v>
      </c>
    </row>
    <row r="83" spans="1:3">
      <c r="A83" s="10">
        <v>1911</v>
      </c>
      <c r="B83" s="26">
        <f t="shared" si="2"/>
        <v>475296.21550017473</v>
      </c>
      <c r="C83" s="39">
        <v>6.9999999999999999E-4</v>
      </c>
    </row>
    <row r="84" spans="1:3">
      <c r="A84" s="10">
        <v>1912</v>
      </c>
      <c r="B84" s="26">
        <f t="shared" si="2"/>
        <v>475676.45247257483</v>
      </c>
      <c r="C84" s="39">
        <v>8.0000000000000004E-4</v>
      </c>
    </row>
    <row r="85" spans="1:3">
      <c r="A85" s="10">
        <v>1913</v>
      </c>
      <c r="B85" s="26">
        <f t="shared" si="2"/>
        <v>476104.56127980008</v>
      </c>
      <c r="C85" s="39">
        <v>8.0000000000000004E-4</v>
      </c>
    </row>
    <row r="86" spans="1:3">
      <c r="A86" s="10">
        <v>1914</v>
      </c>
      <c r="B86" s="26">
        <f t="shared" si="2"/>
        <v>476533.05538495188</v>
      </c>
      <c r="C86" s="39">
        <v>8.0000000000000004E-4</v>
      </c>
    </row>
    <row r="87" spans="1:3">
      <c r="A87" s="10">
        <v>1915</v>
      </c>
      <c r="B87" s="26">
        <f t="shared" si="2"/>
        <v>476961.93513479829</v>
      </c>
      <c r="C87" s="39">
        <v>8.0000000000000004E-4</v>
      </c>
    </row>
    <row r="88" spans="1:3">
      <c r="A88" s="10">
        <v>1916</v>
      </c>
      <c r="B88" s="26">
        <f t="shared" si="2"/>
        <v>477391.20087641955</v>
      </c>
      <c r="C88" s="39">
        <v>8.0000000000000004E-4</v>
      </c>
    </row>
    <row r="89" spans="1:3">
      <c r="A89" s="10">
        <v>1917</v>
      </c>
      <c r="B89" s="26">
        <f t="shared" si="2"/>
        <v>477820.85295720829</v>
      </c>
      <c r="C89" s="39">
        <v>8.0000000000000004E-4</v>
      </c>
    </row>
    <row r="90" spans="1:3">
      <c r="A90" s="10">
        <v>1918</v>
      </c>
      <c r="B90" s="26">
        <f t="shared" si="2"/>
        <v>478250.89172486973</v>
      </c>
      <c r="C90" s="39">
        <v>8.0000000000000004E-4</v>
      </c>
    </row>
    <row r="91" spans="1:3">
      <c r="A91" s="10">
        <v>1919</v>
      </c>
      <c r="B91" s="26">
        <f t="shared" si="2"/>
        <v>478681.31752742204</v>
      </c>
      <c r="C91" s="39">
        <v>8.0000000000000004E-4</v>
      </c>
    </row>
    <row r="92" spans="1:3">
      <c r="A92" s="10">
        <v>1920</v>
      </c>
      <c r="B92" s="26">
        <f t="shared" si="2"/>
        <v>479112.13071319665</v>
      </c>
      <c r="C92" s="39">
        <v>8.0000000000000004E-4</v>
      </c>
    </row>
    <row r="93" spans="1:3">
      <c r="A93" s="10">
        <v>1921</v>
      </c>
      <c r="B93" s="26">
        <f t="shared" si="2"/>
        <v>479543.33163083845</v>
      </c>
      <c r="C93" s="39">
        <v>8.0000000000000004E-4</v>
      </c>
    </row>
    <row r="94" spans="1:3">
      <c r="A94" s="10">
        <v>1922</v>
      </c>
      <c r="B94" s="26">
        <f t="shared" si="2"/>
        <v>479974.92062930617</v>
      </c>
      <c r="C94" s="39">
        <v>8.0000000000000004E-4</v>
      </c>
    </row>
    <row r="95" spans="1:3">
      <c r="A95" s="10">
        <v>1923</v>
      </c>
      <c r="B95" s="26">
        <f t="shared" si="2"/>
        <v>480406.89805787249</v>
      </c>
      <c r="C95" s="39">
        <v>8.0000000000000004E-4</v>
      </c>
    </row>
    <row r="96" spans="1:3">
      <c r="A96" s="10">
        <v>1924</v>
      </c>
      <c r="B96" s="26">
        <f t="shared" si="2"/>
        <v>480839.26426612452</v>
      </c>
      <c r="C96" s="39">
        <v>8.0000000000000004E-4</v>
      </c>
    </row>
    <row r="97" spans="1:3">
      <c r="A97" s="10">
        <v>1925</v>
      </c>
      <c r="B97" s="26">
        <f t="shared" si="2"/>
        <v>481272.019603964</v>
      </c>
      <c r="C97" s="39">
        <v>8.0000000000000004E-4</v>
      </c>
    </row>
    <row r="98" spans="1:3">
      <c r="A98" s="10">
        <v>1926</v>
      </c>
      <c r="B98" s="26">
        <f t="shared" si="2"/>
        <v>481705.16442160751</v>
      </c>
      <c r="C98" s="39">
        <v>8.0000000000000004E-4</v>
      </c>
    </row>
    <row r="99" spans="1:3">
      <c r="A99" s="10">
        <v>1927</v>
      </c>
      <c r="B99" s="26">
        <f t="shared" ref="B99:B108" si="3">B98*(1+0.0001+MAX(($E$2-36),0)*0.0001+C98)</f>
        <v>482138.69906958693</v>
      </c>
      <c r="C99" s="39">
        <v>8.0000000000000004E-4</v>
      </c>
    </row>
    <row r="100" spans="1:3">
      <c r="A100" s="10">
        <v>1928</v>
      </c>
      <c r="B100" s="26">
        <f t="shared" si="3"/>
        <v>482572.62389874953</v>
      </c>
      <c r="C100" s="39">
        <v>8.0000000000000004E-4</v>
      </c>
    </row>
    <row r="101" spans="1:3">
      <c r="A101" s="10">
        <v>1929</v>
      </c>
      <c r="B101" s="26">
        <f t="shared" si="3"/>
        <v>483006.93926025834</v>
      </c>
      <c r="C101" s="39">
        <v>8.0000000000000004E-4</v>
      </c>
    </row>
    <row r="102" spans="1:3">
      <c r="A102" s="10">
        <v>1930</v>
      </c>
      <c r="B102" s="26">
        <f t="shared" si="3"/>
        <v>483441.64550559252</v>
      </c>
      <c r="C102" s="39">
        <v>8.0000000000000004E-4</v>
      </c>
    </row>
    <row r="103" spans="1:3">
      <c r="A103" s="10">
        <v>1931</v>
      </c>
      <c r="B103" s="26">
        <f t="shared" si="3"/>
        <v>483876.74298654753</v>
      </c>
      <c r="C103" s="39">
        <v>8.0000000000000004E-4</v>
      </c>
    </row>
    <row r="104" spans="1:3">
      <c r="A104" s="10">
        <v>1932</v>
      </c>
      <c r="B104" s="26">
        <f t="shared" si="3"/>
        <v>484312.23205523536</v>
      </c>
      <c r="C104" s="39">
        <v>8.0000000000000004E-4</v>
      </c>
    </row>
    <row r="105" spans="1:3">
      <c r="A105" s="10">
        <v>1933</v>
      </c>
      <c r="B105" s="26">
        <f t="shared" si="3"/>
        <v>484748.11306408502</v>
      </c>
      <c r="C105" s="39">
        <v>8.0000000000000004E-4</v>
      </c>
    </row>
    <row r="106" spans="1:3">
      <c r="A106" s="10">
        <v>1934</v>
      </c>
      <c r="B106" s="26">
        <f t="shared" si="3"/>
        <v>485184.38636584266</v>
      </c>
      <c r="C106" s="39">
        <v>8.0000000000000004E-4</v>
      </c>
    </row>
    <row r="107" spans="1:3">
      <c r="A107" s="10">
        <v>1935</v>
      </c>
      <c r="B107" s="26">
        <f t="shared" si="3"/>
        <v>485621.05231357185</v>
      </c>
      <c r="C107" s="39">
        <v>8.0000000000000004E-4</v>
      </c>
    </row>
    <row r="108" spans="1:3">
      <c r="A108" s="10">
        <v>1936</v>
      </c>
      <c r="B108" s="26">
        <f t="shared" si="3"/>
        <v>486058.111260654</v>
      </c>
      <c r="C108" s="39">
        <v>8.0000000000000004E-4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23"/>
  <sheetViews>
    <sheetView zoomScale="120" zoomScaleNormal="120" workbookViewId="0">
      <selection activeCell="K3" sqref="K3"/>
    </sheetView>
  </sheetViews>
  <sheetFormatPr defaultColWidth="8.85546875" defaultRowHeight="15"/>
  <cols>
    <col min="9" max="9" width="9" customWidth="1"/>
    <col min="13" max="13" width="9" customWidth="1"/>
    <col min="14" max="14" width="16.42578125" customWidth="1"/>
    <col min="18" max="18" width="4.42578125" customWidth="1"/>
    <col min="19" max="19" width="10.28515625" customWidth="1"/>
  </cols>
  <sheetData>
    <row r="1" spans="1:19">
      <c r="A1" s="4" t="s">
        <v>180</v>
      </c>
      <c r="B1" s="4"/>
      <c r="C1" s="4"/>
      <c r="D1" s="40" t="s">
        <v>181</v>
      </c>
      <c r="E1" s="40" t="s">
        <v>182</v>
      </c>
      <c r="F1" s="40" t="s">
        <v>183</v>
      </c>
      <c r="G1" s="40" t="s">
        <v>184</v>
      </c>
      <c r="H1" s="40" t="s">
        <v>185</v>
      </c>
      <c r="I1" s="40" t="s">
        <v>186</v>
      </c>
      <c r="K1" s="4" t="s">
        <v>187</v>
      </c>
      <c r="L1" s="4"/>
      <c r="N1" s="40" t="s">
        <v>188</v>
      </c>
      <c r="O1" s="40" t="s">
        <v>182</v>
      </c>
      <c r="P1" s="40" t="s">
        <v>185</v>
      </c>
      <c r="R1" s="40" t="s">
        <v>186</v>
      </c>
      <c r="S1" s="40" t="s">
        <v>189</v>
      </c>
    </row>
    <row r="2" spans="1:19">
      <c r="A2" s="4" t="s">
        <v>190</v>
      </c>
      <c r="B2" s="4"/>
      <c r="C2" s="4"/>
      <c r="D2" s="4">
        <v>1</v>
      </c>
      <c r="E2" s="3">
        <v>1.5</v>
      </c>
      <c r="F2" s="2">
        <v>0</v>
      </c>
      <c r="G2" s="2">
        <v>5</v>
      </c>
      <c r="H2" s="2">
        <v>30</v>
      </c>
      <c r="I2" s="2">
        <v>5</v>
      </c>
      <c r="K2" s="40" t="s">
        <v>191</v>
      </c>
      <c r="L2" s="40" t="s">
        <v>192</v>
      </c>
      <c r="N2" s="40" t="s">
        <v>193</v>
      </c>
      <c r="O2" s="41">
        <f>IF(E2=0,1,E2+1.5)</f>
        <v>3</v>
      </c>
      <c r="P2" s="41">
        <f>H2/100</f>
        <v>0.3</v>
      </c>
      <c r="R2" s="40">
        <v>0</v>
      </c>
      <c r="S2" s="40">
        <v>36</v>
      </c>
    </row>
    <row r="3" spans="1:19">
      <c r="A3" s="40" t="s">
        <v>194</v>
      </c>
      <c r="B3" s="4" t="s">
        <v>195</v>
      </c>
      <c r="C3" s="4"/>
      <c r="D3" s="4"/>
      <c r="E3" s="3"/>
      <c r="F3" s="2"/>
      <c r="G3" s="2"/>
      <c r="H3" s="2"/>
      <c r="I3" s="2"/>
      <c r="K3" s="42">
        <f>3000/3000*VLOOKUP(MAX(D2+I2,0),R2:S23,2,TRUE())*N3/10/(O10+IF(F10=0,0,(F10-G2)/10)/(1+P10))</f>
        <v>224.25</v>
      </c>
      <c r="L3" s="42">
        <f>3000/3000*VLOOKUP(MAX(D2+I2,0),R2:S23,2,TRUE())*N6/10/(O10+IF(F10=0,0,(F10-G2)/10)/(1+P10))</f>
        <v>401.45625000000007</v>
      </c>
      <c r="N3" s="40">
        <f>A4+10</f>
        <v>46</v>
      </c>
      <c r="O3" s="43"/>
      <c r="P3" s="43"/>
      <c r="R3" s="40">
        <v>1</v>
      </c>
      <c r="S3" s="40">
        <v>48</v>
      </c>
    </row>
    <row r="4" spans="1:19">
      <c r="A4" s="44">
        <v>36</v>
      </c>
      <c r="B4" s="3">
        <v>1</v>
      </c>
      <c r="C4" s="3"/>
      <c r="D4" s="4"/>
      <c r="E4" s="3"/>
      <c r="F4" s="2"/>
      <c r="G4" s="2"/>
      <c r="H4" s="2"/>
      <c r="I4" s="2"/>
      <c r="K4" s="1">
        <f>K3+L3</f>
        <v>625.70625000000007</v>
      </c>
      <c r="L4" s="1"/>
      <c r="R4" s="40">
        <v>2</v>
      </c>
      <c r="S4" s="40">
        <v>60</v>
      </c>
    </row>
    <row r="5" spans="1:19">
      <c r="A5" s="4" t="s">
        <v>196</v>
      </c>
      <c r="B5" s="4"/>
      <c r="C5" s="4"/>
      <c r="D5" s="4"/>
      <c r="E5" s="3"/>
      <c r="F5" s="2"/>
      <c r="G5" s="2"/>
      <c r="H5" s="2"/>
      <c r="I5" s="2"/>
      <c r="N5" s="40" t="s">
        <v>197</v>
      </c>
      <c r="R5" s="40">
        <v>3</v>
      </c>
      <c r="S5" s="40">
        <v>72</v>
      </c>
    </row>
    <row r="6" spans="1:19">
      <c r="A6" s="40" t="s">
        <v>194</v>
      </c>
      <c r="B6" s="40" t="s">
        <v>198</v>
      </c>
      <c r="C6" s="40" t="s">
        <v>195</v>
      </c>
      <c r="D6" s="4"/>
      <c r="E6" s="3"/>
      <c r="F6" s="2"/>
      <c r="G6" s="2"/>
      <c r="H6" s="2"/>
      <c r="I6" s="2"/>
      <c r="N6" s="40">
        <f>(A7+10)*B7</f>
        <v>82.350000000000009</v>
      </c>
      <c r="R6" s="40">
        <v>4</v>
      </c>
      <c r="S6" s="40">
        <v>96</v>
      </c>
    </row>
    <row r="7" spans="1:19">
      <c r="A7" s="44">
        <v>8.3000000000000007</v>
      </c>
      <c r="B7" s="41">
        <v>4.5</v>
      </c>
      <c r="C7" s="41">
        <v>1</v>
      </c>
      <c r="D7" s="4"/>
      <c r="E7" s="3"/>
      <c r="F7" s="2"/>
      <c r="G7" s="2"/>
      <c r="H7" s="2"/>
      <c r="I7" s="2"/>
      <c r="K7" s="3">
        <f>K4/K12</f>
        <v>0.56676290760869574</v>
      </c>
      <c r="L7" s="3"/>
      <c r="R7" s="40">
        <v>5</v>
      </c>
      <c r="S7" s="40">
        <v>120</v>
      </c>
    </row>
    <row r="8" spans="1:19">
      <c r="R8" s="40">
        <v>6</v>
      </c>
      <c r="S8" s="40">
        <v>150</v>
      </c>
    </row>
    <row r="9" spans="1:19">
      <c r="A9" s="4" t="s">
        <v>199</v>
      </c>
      <c r="B9" s="4"/>
      <c r="C9" s="4"/>
      <c r="D9" s="40" t="s">
        <v>181</v>
      </c>
      <c r="E9" s="40" t="s">
        <v>182</v>
      </c>
      <c r="F9" s="40" t="s">
        <v>183</v>
      </c>
      <c r="G9" s="40" t="s">
        <v>184</v>
      </c>
      <c r="H9" s="40" t="s">
        <v>185</v>
      </c>
      <c r="I9" s="40" t="s">
        <v>186</v>
      </c>
      <c r="K9" s="4" t="s">
        <v>200</v>
      </c>
      <c r="L9" s="4"/>
      <c r="N9" s="40" t="s">
        <v>188</v>
      </c>
      <c r="O9" s="40" t="s">
        <v>182</v>
      </c>
      <c r="P9" s="40" t="s">
        <v>185</v>
      </c>
      <c r="R9" s="40">
        <v>7</v>
      </c>
      <c r="S9" s="40">
        <v>180</v>
      </c>
    </row>
    <row r="10" spans="1:19">
      <c r="A10" s="4" t="s">
        <v>190</v>
      </c>
      <c r="B10" s="4"/>
      <c r="C10" s="4"/>
      <c r="D10" s="4">
        <v>2</v>
      </c>
      <c r="E10" s="3">
        <v>1.5</v>
      </c>
      <c r="F10" s="2">
        <v>6</v>
      </c>
      <c r="G10" s="2">
        <v>0</v>
      </c>
      <c r="H10" s="2">
        <v>30</v>
      </c>
      <c r="I10" s="2">
        <v>5</v>
      </c>
      <c r="K10" s="40" t="s">
        <v>191</v>
      </c>
      <c r="L10" s="40" t="s">
        <v>192</v>
      </c>
      <c r="N10" s="40" t="s">
        <v>201</v>
      </c>
      <c r="O10" s="41">
        <f>IF(E10=0,1,E10+1.5)</f>
        <v>3</v>
      </c>
      <c r="P10" s="41">
        <f>H10/100</f>
        <v>0.3</v>
      </c>
      <c r="R10" s="40">
        <v>8</v>
      </c>
      <c r="S10" s="40">
        <v>210</v>
      </c>
    </row>
    <row r="11" spans="1:19">
      <c r="A11" s="40" t="s">
        <v>202</v>
      </c>
      <c r="B11" s="4" t="s">
        <v>195</v>
      </c>
      <c r="C11" s="4"/>
      <c r="D11" s="4"/>
      <c r="E11" s="3"/>
      <c r="F11" s="2"/>
      <c r="G11" s="2"/>
      <c r="H11" s="2"/>
      <c r="I11" s="2"/>
      <c r="K11" s="42">
        <f>3000/3000*VLOOKUP(MAX(D10+I10,0),R2:S23,2,TRUE())*N11/10/(O2+IF(F2=0,0,(F2-G10)/10)/(1+P2))</f>
        <v>204</v>
      </c>
      <c r="L11" s="42">
        <f>3000/3000*VLOOKUP(MAX(D10+I10,0),R2:S23,2,TRUE())*N14/10/(O2+IF(F2=0,0,(F2-G10)/10)/(1+P2))</f>
        <v>900</v>
      </c>
      <c r="N11" s="40">
        <f>A12+10</f>
        <v>34</v>
      </c>
      <c r="O11" s="43"/>
      <c r="P11" s="43"/>
      <c r="R11" s="40">
        <v>9</v>
      </c>
      <c r="S11" s="40">
        <v>240</v>
      </c>
    </row>
    <row r="12" spans="1:19">
      <c r="A12" s="44">
        <v>24</v>
      </c>
      <c r="B12" s="3">
        <v>1</v>
      </c>
      <c r="C12" s="3"/>
      <c r="D12" s="4"/>
      <c r="E12" s="3"/>
      <c r="F12" s="2"/>
      <c r="G12" s="2"/>
      <c r="H12" s="2"/>
      <c r="I12" s="2"/>
      <c r="K12" s="1">
        <f>K11+L11</f>
        <v>1104</v>
      </c>
      <c r="L12" s="1"/>
      <c r="R12" s="40">
        <v>10</v>
      </c>
      <c r="S12" s="40">
        <v>270</v>
      </c>
    </row>
    <row r="13" spans="1:19">
      <c r="A13" s="4" t="s">
        <v>196</v>
      </c>
      <c r="B13" s="4"/>
      <c r="C13" s="4"/>
      <c r="D13" s="4"/>
      <c r="E13" s="3"/>
      <c r="F13" s="2"/>
      <c r="G13" s="2"/>
      <c r="H13" s="2"/>
      <c r="I13" s="2"/>
      <c r="N13" s="40" t="s">
        <v>203</v>
      </c>
      <c r="R13" s="40">
        <v>11</v>
      </c>
      <c r="S13" s="40">
        <v>300</v>
      </c>
    </row>
    <row r="14" spans="1:19">
      <c r="A14" s="40" t="s">
        <v>202</v>
      </c>
      <c r="B14" s="40" t="s">
        <v>198</v>
      </c>
      <c r="C14" s="40" t="s">
        <v>195</v>
      </c>
      <c r="D14" s="4"/>
      <c r="E14" s="3"/>
      <c r="F14" s="2"/>
      <c r="G14" s="2"/>
      <c r="H14" s="2"/>
      <c r="I14" s="2"/>
      <c r="N14" s="40">
        <f>(A15+10)*B15</f>
        <v>150</v>
      </c>
      <c r="R14" s="40">
        <v>12</v>
      </c>
      <c r="S14" s="40">
        <v>330</v>
      </c>
    </row>
    <row r="15" spans="1:19">
      <c r="A15" s="44">
        <v>15</v>
      </c>
      <c r="B15" s="41">
        <v>6</v>
      </c>
      <c r="C15" s="41">
        <v>0.1</v>
      </c>
      <c r="D15" s="4"/>
      <c r="E15" s="3"/>
      <c r="F15" s="2"/>
      <c r="G15" s="2"/>
      <c r="H15" s="2"/>
      <c r="I15" s="2"/>
      <c r="K15" s="3">
        <f>K12/K4</f>
        <v>1.7644062209703033</v>
      </c>
      <c r="L15" s="3"/>
      <c r="R15" s="40">
        <v>13</v>
      </c>
      <c r="S15" s="40">
        <v>360</v>
      </c>
    </row>
    <row r="16" spans="1:19">
      <c r="R16" s="40">
        <v>14</v>
      </c>
      <c r="S16" s="40">
        <v>390</v>
      </c>
    </row>
    <row r="17" spans="1:19">
      <c r="J17">
        <v>0</v>
      </c>
      <c r="K17">
        <v>216</v>
      </c>
      <c r="L17">
        <v>216</v>
      </c>
      <c r="R17" s="40">
        <v>15</v>
      </c>
      <c r="S17" s="40">
        <v>420</v>
      </c>
    </row>
    <row r="18" spans="1:19">
      <c r="J18">
        <v>1</v>
      </c>
      <c r="K18">
        <v>309</v>
      </c>
      <c r="L18">
        <v>422</v>
      </c>
      <c r="R18" s="40">
        <v>16</v>
      </c>
      <c r="S18" s="40">
        <v>450</v>
      </c>
    </row>
    <row r="19" spans="1:19">
      <c r="J19">
        <v>2</v>
      </c>
      <c r="R19" s="40">
        <v>17</v>
      </c>
      <c r="S19" s="40">
        <v>480</v>
      </c>
    </row>
    <row r="20" spans="1:19">
      <c r="A20" s="45"/>
      <c r="J20">
        <v>3</v>
      </c>
      <c r="R20" s="40">
        <v>18</v>
      </c>
      <c r="S20" s="40">
        <v>510</v>
      </c>
    </row>
    <row r="21" spans="1:19">
      <c r="J21">
        <v>4</v>
      </c>
      <c r="K21">
        <v>399</v>
      </c>
      <c r="L21">
        <v>540</v>
      </c>
      <c r="R21" s="40">
        <v>19</v>
      </c>
      <c r="S21" s="40">
        <v>540</v>
      </c>
    </row>
    <row r="22" spans="1:19">
      <c r="J22">
        <v>5</v>
      </c>
      <c r="K22">
        <v>463</v>
      </c>
      <c r="L22">
        <v>753</v>
      </c>
      <c r="R22" s="40">
        <v>20</v>
      </c>
      <c r="S22" s="40">
        <v>570</v>
      </c>
    </row>
    <row r="23" spans="1:19">
      <c r="J23">
        <v>6</v>
      </c>
      <c r="K23">
        <v>626</v>
      </c>
      <c r="L23">
        <v>1104</v>
      </c>
      <c r="R23" s="40">
        <v>21</v>
      </c>
      <c r="S23" s="40">
        <v>600</v>
      </c>
    </row>
  </sheetData>
  <mergeCells count="28">
    <mergeCell ref="A9:C9"/>
    <mergeCell ref="K9:L9"/>
    <mergeCell ref="A10:C10"/>
    <mergeCell ref="D10:D15"/>
    <mergeCell ref="E10:E15"/>
    <mergeCell ref="F10:F15"/>
    <mergeCell ref="G10:G15"/>
    <mergeCell ref="H10:H15"/>
    <mergeCell ref="I10:I15"/>
    <mergeCell ref="B11:C11"/>
    <mergeCell ref="B12:C12"/>
    <mergeCell ref="K12:L12"/>
    <mergeCell ref="A13:C13"/>
    <mergeCell ref="K15:L15"/>
    <mergeCell ref="A1:C1"/>
    <mergeCell ref="K1:L1"/>
    <mergeCell ref="A2:C2"/>
    <mergeCell ref="D2:D7"/>
    <mergeCell ref="E2:E7"/>
    <mergeCell ref="F2:F7"/>
    <mergeCell ref="G2:G7"/>
    <mergeCell ref="H2:H7"/>
    <mergeCell ref="I2:I7"/>
    <mergeCell ref="B3:C3"/>
    <mergeCell ref="B4:C4"/>
    <mergeCell ref="K4:L4"/>
    <mergeCell ref="A5:C5"/>
    <mergeCell ref="K7:L7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9"/>
  <sheetViews>
    <sheetView zoomScale="120" zoomScaleNormal="120" workbookViewId="0">
      <selection activeCell="I24" sqref="I24"/>
    </sheetView>
  </sheetViews>
  <sheetFormatPr defaultColWidth="13.42578125" defaultRowHeight="15"/>
  <cols>
    <col min="7" max="7" width="4.7109375" customWidth="1"/>
    <col min="8" max="8" width="13.5703125" customWidth="1"/>
    <col min="9" max="9" width="15" customWidth="1"/>
    <col min="10" max="10" width="6" customWidth="1"/>
  </cols>
  <sheetData>
    <row r="1" spans="1:13">
      <c r="A1" s="46" t="s">
        <v>204</v>
      </c>
      <c r="B1" s="46" t="s">
        <v>205</v>
      </c>
      <c r="C1" s="46" t="s">
        <v>206</v>
      </c>
      <c r="D1" s="46" t="s">
        <v>207</v>
      </c>
      <c r="E1" s="46" t="s">
        <v>208</v>
      </c>
      <c r="G1" t="s">
        <v>209</v>
      </c>
      <c r="H1" t="s">
        <v>207</v>
      </c>
      <c r="I1" t="s">
        <v>210</v>
      </c>
      <c r="J1" t="s">
        <v>138</v>
      </c>
      <c r="K1" t="s">
        <v>211</v>
      </c>
      <c r="L1" t="s">
        <v>212</v>
      </c>
      <c r="M1" t="s">
        <v>213</v>
      </c>
    </row>
    <row r="2" spans="1:13">
      <c r="A2" s="47" t="s">
        <v>214</v>
      </c>
      <c r="B2" s="48">
        <f>SUM(B3:B11)</f>
        <v>515190</v>
      </c>
      <c r="C2" s="49">
        <f>SUM(C3:C11)</f>
        <v>1</v>
      </c>
      <c r="D2" s="47"/>
      <c r="E2" s="50">
        <f>SUM(E3:E11)</f>
        <v>46.769615000000002</v>
      </c>
      <c r="H2" t="s">
        <v>169</v>
      </c>
      <c r="I2">
        <f t="shared" ref="I2:I29" si="0">J2*K2</f>
        <v>3.4</v>
      </c>
      <c r="J2">
        <v>1.7</v>
      </c>
      <c r="K2">
        <v>2</v>
      </c>
      <c r="L2">
        <f t="shared" ref="L2:L29" si="1">K2*0.5</f>
        <v>1</v>
      </c>
      <c r="M2">
        <f t="shared" ref="M2:M29" si="2">K2*1.5</f>
        <v>3</v>
      </c>
    </row>
    <row r="3" spans="1:13">
      <c r="A3" s="51" t="s">
        <v>215</v>
      </c>
      <c r="B3" s="52">
        <v>43950</v>
      </c>
      <c r="C3" s="53">
        <f t="shared" ref="C3:C11" si="3">B3/$B$2</f>
        <v>8.5308332848075472E-2</v>
      </c>
      <c r="D3" s="54" t="s">
        <v>171</v>
      </c>
      <c r="E3" s="55">
        <f t="shared" ref="E3:E11" si="4">B3/40000*VLOOKUP(D3,$H$2:$I$29,2,0)</f>
        <v>3.516</v>
      </c>
      <c r="H3" t="s">
        <v>163</v>
      </c>
      <c r="I3">
        <f t="shared" si="0"/>
        <v>5.52</v>
      </c>
      <c r="J3">
        <v>2.4</v>
      </c>
      <c r="K3">
        <v>2.2999999999999998</v>
      </c>
      <c r="L3">
        <f t="shared" si="1"/>
        <v>1.1499999999999999</v>
      </c>
      <c r="M3">
        <f t="shared" si="2"/>
        <v>3.4499999999999997</v>
      </c>
    </row>
    <row r="4" spans="1:13">
      <c r="A4" s="51" t="s">
        <v>216</v>
      </c>
      <c r="B4" s="52">
        <v>83630</v>
      </c>
      <c r="C4" s="53">
        <f t="shared" si="3"/>
        <v>0.16232846134435838</v>
      </c>
      <c r="D4" s="54" t="s">
        <v>168</v>
      </c>
      <c r="E4" s="55">
        <f t="shared" si="4"/>
        <v>7.5266999999999999</v>
      </c>
      <c r="H4" t="s">
        <v>173</v>
      </c>
      <c r="I4">
        <f t="shared" si="0"/>
        <v>3.1500000000000004</v>
      </c>
      <c r="J4">
        <v>1.5</v>
      </c>
      <c r="K4">
        <v>2.1</v>
      </c>
      <c r="L4">
        <f t="shared" si="1"/>
        <v>1.05</v>
      </c>
      <c r="M4">
        <f t="shared" si="2"/>
        <v>3.1500000000000004</v>
      </c>
    </row>
    <row r="5" spans="1:13">
      <c r="A5" s="51" t="s">
        <v>217</v>
      </c>
      <c r="B5" s="52">
        <v>48300</v>
      </c>
      <c r="C5" s="53">
        <f t="shared" si="3"/>
        <v>9.3751819716997614E-2</v>
      </c>
      <c r="D5" s="54" t="s">
        <v>168</v>
      </c>
      <c r="E5" s="55">
        <f t="shared" si="4"/>
        <v>4.3470000000000004</v>
      </c>
      <c r="H5" t="s">
        <v>168</v>
      </c>
      <c r="I5">
        <f t="shared" si="0"/>
        <v>3.6</v>
      </c>
      <c r="J5">
        <v>1.8</v>
      </c>
      <c r="K5">
        <v>2</v>
      </c>
      <c r="L5">
        <f t="shared" si="1"/>
        <v>1</v>
      </c>
      <c r="M5">
        <f t="shared" si="2"/>
        <v>3</v>
      </c>
    </row>
    <row r="6" spans="1:13">
      <c r="A6" s="51" t="s">
        <v>218</v>
      </c>
      <c r="B6" s="52">
        <v>37120</v>
      </c>
      <c r="C6" s="53">
        <f t="shared" si="3"/>
        <v>7.2051087948135639E-2</v>
      </c>
      <c r="D6" s="54" t="s">
        <v>167</v>
      </c>
      <c r="E6" s="55">
        <f t="shared" si="4"/>
        <v>3.4707200000000005</v>
      </c>
      <c r="H6" t="s">
        <v>171</v>
      </c>
      <c r="I6">
        <f t="shared" si="0"/>
        <v>3.2</v>
      </c>
      <c r="J6">
        <v>1</v>
      </c>
      <c r="K6">
        <v>3.2</v>
      </c>
      <c r="L6">
        <f t="shared" si="1"/>
        <v>1.6</v>
      </c>
      <c r="M6">
        <f t="shared" si="2"/>
        <v>4.8000000000000007</v>
      </c>
    </row>
    <row r="7" spans="1:13">
      <c r="A7" s="51" t="s">
        <v>219</v>
      </c>
      <c r="B7" s="52">
        <v>73880</v>
      </c>
      <c r="C7" s="53">
        <f t="shared" si="3"/>
        <v>0.14340340456918807</v>
      </c>
      <c r="D7" s="54" t="s">
        <v>168</v>
      </c>
      <c r="E7" s="55">
        <f t="shared" si="4"/>
        <v>6.6492000000000004</v>
      </c>
      <c r="H7" t="s">
        <v>175</v>
      </c>
      <c r="I7">
        <f t="shared" si="0"/>
        <v>2.64</v>
      </c>
      <c r="J7">
        <v>0.22</v>
      </c>
      <c r="K7">
        <v>12</v>
      </c>
      <c r="L7">
        <f t="shared" si="1"/>
        <v>6</v>
      </c>
      <c r="M7">
        <f t="shared" si="2"/>
        <v>18</v>
      </c>
    </row>
    <row r="8" spans="1:13">
      <c r="A8" s="51" t="s">
        <v>220</v>
      </c>
      <c r="B8" s="52">
        <v>99070</v>
      </c>
      <c r="C8" s="53">
        <f t="shared" si="3"/>
        <v>0.19229798715037172</v>
      </c>
      <c r="D8" s="54" t="s">
        <v>167</v>
      </c>
      <c r="E8" s="55">
        <f t="shared" si="4"/>
        <v>9.263045</v>
      </c>
      <c r="H8" t="s">
        <v>172</v>
      </c>
      <c r="I8">
        <f t="shared" si="0"/>
        <v>3.1500000000000004</v>
      </c>
      <c r="J8">
        <v>2.1</v>
      </c>
      <c r="K8">
        <v>1.5</v>
      </c>
      <c r="L8">
        <f t="shared" si="1"/>
        <v>0.75</v>
      </c>
      <c r="M8">
        <f t="shared" si="2"/>
        <v>2.25</v>
      </c>
    </row>
    <row r="9" spans="1:13">
      <c r="A9" s="51" t="s">
        <v>221</v>
      </c>
      <c r="B9" s="52">
        <v>71540</v>
      </c>
      <c r="C9" s="53">
        <f t="shared" si="3"/>
        <v>0.1388613909431472</v>
      </c>
      <c r="D9" s="54" t="s">
        <v>169</v>
      </c>
      <c r="E9" s="55">
        <f t="shared" si="4"/>
        <v>6.0808999999999997</v>
      </c>
      <c r="H9" t="s">
        <v>167</v>
      </c>
      <c r="I9">
        <f t="shared" si="0"/>
        <v>3.74</v>
      </c>
      <c r="J9">
        <v>1.7</v>
      </c>
      <c r="K9">
        <v>2.2000000000000002</v>
      </c>
      <c r="L9">
        <f t="shared" si="1"/>
        <v>1.1000000000000001</v>
      </c>
      <c r="M9">
        <f t="shared" si="2"/>
        <v>3.3000000000000003</v>
      </c>
    </row>
    <row r="10" spans="1:13">
      <c r="A10" s="51" t="s">
        <v>222</v>
      </c>
      <c r="B10" s="52">
        <v>45950</v>
      </c>
      <c r="C10" s="53">
        <f t="shared" si="3"/>
        <v>8.9190395776315531E-2</v>
      </c>
      <c r="D10" s="54" t="s">
        <v>170</v>
      </c>
      <c r="E10" s="55">
        <f t="shared" si="4"/>
        <v>3.8597999999999995</v>
      </c>
      <c r="H10" t="s">
        <v>162</v>
      </c>
      <c r="I10">
        <f t="shared" si="0"/>
        <v>7</v>
      </c>
      <c r="J10">
        <v>2</v>
      </c>
      <c r="K10">
        <v>3.5</v>
      </c>
      <c r="L10">
        <f t="shared" si="1"/>
        <v>1.75</v>
      </c>
      <c r="M10">
        <f t="shared" si="2"/>
        <v>5.25</v>
      </c>
    </row>
    <row r="11" spans="1:13">
      <c r="A11" s="51" t="s">
        <v>223</v>
      </c>
      <c r="B11" s="52">
        <v>11750</v>
      </c>
      <c r="C11" s="53">
        <f t="shared" si="3"/>
        <v>2.2807119703410393E-2</v>
      </c>
      <c r="D11" s="54" t="s">
        <v>162</v>
      </c>
      <c r="E11" s="55">
        <f t="shared" si="4"/>
        <v>2.0562499999999999</v>
      </c>
      <c r="H11" t="s">
        <v>160</v>
      </c>
      <c r="I11">
        <f t="shared" si="0"/>
        <v>12</v>
      </c>
      <c r="J11">
        <v>1</v>
      </c>
      <c r="K11">
        <v>12</v>
      </c>
      <c r="L11">
        <f t="shared" si="1"/>
        <v>6</v>
      </c>
      <c r="M11">
        <f t="shared" si="2"/>
        <v>18</v>
      </c>
    </row>
    <row r="12" spans="1:13">
      <c r="H12" t="s">
        <v>177</v>
      </c>
      <c r="I12">
        <f t="shared" si="0"/>
        <v>2.2399999999999998</v>
      </c>
      <c r="J12">
        <v>0.7</v>
      </c>
      <c r="K12">
        <v>3.2</v>
      </c>
      <c r="L12">
        <f t="shared" si="1"/>
        <v>1.6</v>
      </c>
      <c r="M12">
        <f t="shared" si="2"/>
        <v>4.8000000000000007</v>
      </c>
    </row>
    <row r="13" spans="1:13">
      <c r="A13" t="s">
        <v>224</v>
      </c>
      <c r="B13">
        <f>32200*(1-0.1+0.031)</f>
        <v>29978.2</v>
      </c>
      <c r="D13" t="s">
        <v>169</v>
      </c>
      <c r="E13" s="56">
        <f>B13/40000*VLOOKUP(D13,$H$2:$I$29,2,0)</f>
        <v>2.5481469999999997</v>
      </c>
      <c r="H13" t="s">
        <v>165</v>
      </c>
      <c r="I13">
        <f t="shared" si="0"/>
        <v>4.8600000000000003</v>
      </c>
      <c r="J13">
        <v>2.7</v>
      </c>
      <c r="K13">
        <v>1.8</v>
      </c>
      <c r="L13">
        <f t="shared" si="1"/>
        <v>0.9</v>
      </c>
      <c r="M13">
        <f t="shared" si="2"/>
        <v>2.7</v>
      </c>
    </row>
    <row r="14" spans="1:13">
      <c r="H14" t="s">
        <v>225</v>
      </c>
      <c r="I14">
        <f t="shared" si="0"/>
        <v>45</v>
      </c>
      <c r="J14">
        <v>2.25</v>
      </c>
      <c r="K14">
        <v>20</v>
      </c>
      <c r="L14">
        <f t="shared" si="1"/>
        <v>10</v>
      </c>
      <c r="M14">
        <f t="shared" si="2"/>
        <v>30</v>
      </c>
    </row>
    <row r="15" spans="1:13">
      <c r="H15" t="s">
        <v>148</v>
      </c>
      <c r="I15">
        <f t="shared" si="0"/>
        <v>60</v>
      </c>
      <c r="J15">
        <v>3</v>
      </c>
      <c r="K15">
        <v>20</v>
      </c>
      <c r="L15">
        <f t="shared" si="1"/>
        <v>10</v>
      </c>
      <c r="M15">
        <f t="shared" si="2"/>
        <v>30</v>
      </c>
    </row>
    <row r="16" spans="1:13">
      <c r="H16" t="s">
        <v>150</v>
      </c>
      <c r="I16">
        <f t="shared" si="0"/>
        <v>54</v>
      </c>
      <c r="J16">
        <v>3</v>
      </c>
      <c r="K16">
        <v>18</v>
      </c>
      <c r="L16">
        <f t="shared" si="1"/>
        <v>9</v>
      </c>
      <c r="M16">
        <f t="shared" si="2"/>
        <v>27</v>
      </c>
    </row>
    <row r="17" spans="8:13">
      <c r="H17" t="s">
        <v>152</v>
      </c>
      <c r="I17">
        <f t="shared" si="0"/>
        <v>54</v>
      </c>
      <c r="J17">
        <v>3</v>
      </c>
      <c r="K17">
        <v>18</v>
      </c>
      <c r="L17">
        <f t="shared" si="1"/>
        <v>9</v>
      </c>
      <c r="M17">
        <f t="shared" si="2"/>
        <v>27</v>
      </c>
    </row>
    <row r="18" spans="8:13">
      <c r="H18" t="s">
        <v>153</v>
      </c>
      <c r="I18">
        <f t="shared" si="0"/>
        <v>54</v>
      </c>
      <c r="J18">
        <v>3</v>
      </c>
      <c r="K18">
        <v>18</v>
      </c>
      <c r="L18">
        <f t="shared" si="1"/>
        <v>9</v>
      </c>
      <c r="M18">
        <f t="shared" si="2"/>
        <v>27</v>
      </c>
    </row>
    <row r="19" spans="8:13">
      <c r="H19" t="s">
        <v>157</v>
      </c>
      <c r="I19">
        <f t="shared" si="0"/>
        <v>30</v>
      </c>
      <c r="J19">
        <v>3</v>
      </c>
      <c r="K19">
        <v>10</v>
      </c>
      <c r="L19">
        <f t="shared" si="1"/>
        <v>5</v>
      </c>
      <c r="M19">
        <f t="shared" si="2"/>
        <v>15</v>
      </c>
    </row>
    <row r="20" spans="8:13">
      <c r="H20" t="s">
        <v>156</v>
      </c>
      <c r="I20">
        <f t="shared" si="0"/>
        <v>39</v>
      </c>
      <c r="J20">
        <v>3</v>
      </c>
      <c r="K20">
        <v>13</v>
      </c>
      <c r="L20">
        <f t="shared" si="1"/>
        <v>6.5</v>
      </c>
      <c r="M20">
        <f t="shared" si="2"/>
        <v>19.5</v>
      </c>
    </row>
    <row r="21" spans="8:13">
      <c r="H21" t="s">
        <v>154</v>
      </c>
      <c r="I21">
        <f t="shared" si="0"/>
        <v>54</v>
      </c>
      <c r="J21">
        <v>3</v>
      </c>
      <c r="K21">
        <v>18</v>
      </c>
      <c r="L21">
        <f t="shared" si="1"/>
        <v>9</v>
      </c>
      <c r="M21">
        <f t="shared" si="2"/>
        <v>27</v>
      </c>
    </row>
    <row r="22" spans="8:13">
      <c r="H22" t="s">
        <v>164</v>
      </c>
      <c r="I22">
        <f t="shared" si="0"/>
        <v>5.25</v>
      </c>
      <c r="J22">
        <v>0.75</v>
      </c>
      <c r="K22">
        <v>7</v>
      </c>
      <c r="L22">
        <f t="shared" si="1"/>
        <v>3.5</v>
      </c>
      <c r="M22">
        <f t="shared" si="2"/>
        <v>10.5</v>
      </c>
    </row>
    <row r="23" spans="8:13">
      <c r="H23" t="s">
        <v>170</v>
      </c>
      <c r="I23">
        <f t="shared" si="0"/>
        <v>3.36</v>
      </c>
      <c r="J23">
        <v>4.8</v>
      </c>
      <c r="K23">
        <v>0.7</v>
      </c>
      <c r="L23">
        <f t="shared" si="1"/>
        <v>0.35</v>
      </c>
      <c r="M23">
        <f t="shared" si="2"/>
        <v>1.0499999999999998</v>
      </c>
    </row>
    <row r="24" spans="8:13">
      <c r="H24" t="s">
        <v>176</v>
      </c>
      <c r="I24">
        <f t="shared" si="0"/>
        <v>2.5</v>
      </c>
      <c r="J24">
        <v>0.25</v>
      </c>
      <c r="K24">
        <v>10</v>
      </c>
      <c r="L24">
        <f t="shared" si="1"/>
        <v>5</v>
      </c>
      <c r="M24">
        <f t="shared" si="2"/>
        <v>15</v>
      </c>
    </row>
    <row r="25" spans="8:13">
      <c r="H25" t="s">
        <v>159</v>
      </c>
      <c r="I25">
        <f t="shared" si="0"/>
        <v>18</v>
      </c>
      <c r="J25">
        <v>3</v>
      </c>
      <c r="K25">
        <v>6</v>
      </c>
      <c r="L25">
        <f t="shared" si="1"/>
        <v>3</v>
      </c>
      <c r="M25">
        <f t="shared" si="2"/>
        <v>9</v>
      </c>
    </row>
    <row r="26" spans="8:13">
      <c r="H26" t="s">
        <v>166</v>
      </c>
      <c r="I26">
        <f t="shared" si="0"/>
        <v>4.55</v>
      </c>
      <c r="J26">
        <v>1.75</v>
      </c>
      <c r="K26">
        <v>2.6</v>
      </c>
      <c r="L26">
        <f t="shared" si="1"/>
        <v>1.3</v>
      </c>
      <c r="M26">
        <f t="shared" si="2"/>
        <v>3.9000000000000004</v>
      </c>
    </row>
    <row r="27" spans="8:13">
      <c r="H27" t="s">
        <v>226</v>
      </c>
      <c r="I27">
        <f t="shared" si="0"/>
        <v>8</v>
      </c>
      <c r="J27">
        <v>8</v>
      </c>
      <c r="K27">
        <v>1</v>
      </c>
      <c r="L27">
        <f t="shared" si="1"/>
        <v>0.5</v>
      </c>
      <c r="M27">
        <f t="shared" si="2"/>
        <v>1.5</v>
      </c>
    </row>
    <row r="28" spans="8:13">
      <c r="H28" t="s">
        <v>174</v>
      </c>
      <c r="I28">
        <f t="shared" si="0"/>
        <v>2.75</v>
      </c>
      <c r="J28">
        <v>2.5</v>
      </c>
      <c r="K28">
        <v>1.1000000000000001</v>
      </c>
      <c r="L28">
        <f t="shared" si="1"/>
        <v>0.55000000000000004</v>
      </c>
      <c r="M28">
        <f t="shared" si="2"/>
        <v>1.6500000000000001</v>
      </c>
    </row>
    <row r="29" spans="8:13">
      <c r="H29" t="s">
        <v>158</v>
      </c>
      <c r="I29">
        <f t="shared" si="0"/>
        <v>21.6</v>
      </c>
      <c r="J29">
        <v>4</v>
      </c>
      <c r="K29">
        <v>5.4</v>
      </c>
      <c r="L29">
        <f t="shared" si="1"/>
        <v>2.7</v>
      </c>
      <c r="M29">
        <f t="shared" si="2"/>
        <v>8.1000000000000014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B92"/>
  <sheetViews>
    <sheetView topLeftCell="A37" zoomScale="120" zoomScaleNormal="120" workbookViewId="0">
      <pane xSplit="1" topLeftCell="B1" activePane="topRight" state="frozen"/>
      <selection activeCell="A22" sqref="A22"/>
      <selection pane="topRight" activeCell="H56" sqref="H56"/>
    </sheetView>
  </sheetViews>
  <sheetFormatPr defaultColWidth="8.85546875" defaultRowHeight="15"/>
  <cols>
    <col min="1" max="1" width="13.7109375" style="45" customWidth="1"/>
    <col min="2" max="2" width="12.7109375" style="57" customWidth="1"/>
    <col min="3" max="3" width="14.42578125" style="57" customWidth="1"/>
    <col min="4" max="4" width="15.5703125" style="57" customWidth="1"/>
    <col min="5" max="5" width="16.42578125" style="58" customWidth="1"/>
    <col min="6" max="6" width="18.7109375" style="57" customWidth="1"/>
    <col min="7" max="7" width="13.5703125" style="57" customWidth="1"/>
    <col min="8" max="8" width="14.85546875" style="57" customWidth="1"/>
    <col min="9" max="9" width="14" style="58" customWidth="1"/>
    <col min="10" max="10" width="8.85546875" style="58"/>
    <col min="11" max="11" width="13.42578125" style="57" customWidth="1"/>
    <col min="12" max="12" width="17" style="57" customWidth="1"/>
    <col min="13" max="13" width="18.28515625" style="57" customWidth="1"/>
    <col min="14" max="14" width="11.7109375" style="57" customWidth="1"/>
    <col min="15" max="15" width="11.42578125" style="59" customWidth="1"/>
    <col min="16" max="16" width="19" style="57" customWidth="1"/>
    <col min="17" max="17" width="26.28515625" style="57" customWidth="1"/>
    <col min="18" max="18" width="11" style="60" customWidth="1"/>
    <col min="19" max="19" width="10.140625" customWidth="1"/>
    <col min="20" max="20" width="16.7109375" customWidth="1"/>
    <col min="21" max="21" width="12.28515625" style="61" customWidth="1"/>
    <col min="22" max="22" width="13.28515625" style="57" customWidth="1"/>
    <col min="23" max="23" width="12" style="57" customWidth="1"/>
    <col min="24" max="24" width="10.5703125" style="57" customWidth="1"/>
    <col min="25" max="25" width="11.42578125" style="57" customWidth="1"/>
    <col min="26" max="26" width="8.85546875" style="57"/>
    <col min="27" max="27" width="12.5703125" style="57" customWidth="1"/>
    <col min="28" max="28" width="10" style="57" customWidth="1"/>
    <col min="29" max="29" width="16" style="57" customWidth="1"/>
    <col min="30" max="30" width="11" style="57" customWidth="1"/>
    <col min="31" max="31" width="8.42578125" style="57" customWidth="1"/>
    <col min="32" max="32" width="12.5703125" style="57" customWidth="1"/>
    <col min="33" max="33" width="20.5703125" style="57" customWidth="1"/>
    <col min="34" max="34" width="12.42578125" style="57" customWidth="1"/>
    <col min="35" max="35" width="13.85546875" style="57" customWidth="1"/>
    <col min="36" max="36" width="10" style="57" customWidth="1"/>
    <col min="37" max="37" width="11.5703125" style="57" customWidth="1"/>
    <col min="38" max="38" width="14.140625" style="57" customWidth="1"/>
    <col min="39" max="39" width="20.28515625" style="57" customWidth="1"/>
    <col min="40" max="40" width="12.42578125" style="57" customWidth="1"/>
    <col min="41" max="41" width="15.140625" style="57" customWidth="1"/>
    <col min="42" max="42" width="16.7109375" style="57" customWidth="1"/>
    <col min="43" max="43" width="26.140625" style="57" customWidth="1"/>
    <col min="44" max="44" width="27.7109375" style="57" customWidth="1"/>
    <col min="45" max="45" width="13.140625" style="57" customWidth="1"/>
    <col min="46" max="46" width="17.42578125" style="57" customWidth="1"/>
    <col min="47" max="47" width="14.140625" style="57" customWidth="1"/>
    <col min="48" max="48" width="11.140625" style="57" customWidth="1"/>
    <col min="49" max="49" width="18.7109375" style="57" customWidth="1"/>
    <col min="50" max="50" width="12.5703125" style="57" customWidth="1"/>
    <col min="51" max="51" width="15.28515625" style="57" customWidth="1"/>
    <col min="52" max="52" width="11.140625" style="57" customWidth="1"/>
    <col min="53" max="53" width="11.42578125" style="57" customWidth="1"/>
    <col min="54" max="54" width="12.28515625" style="57" customWidth="1"/>
    <col min="55" max="55" width="16.5703125" style="57" customWidth="1"/>
    <col min="56" max="56" width="15.140625" style="57" customWidth="1"/>
    <col min="57" max="57" width="10.5703125" style="57" customWidth="1"/>
    <col min="58" max="58" width="11.85546875" style="57" customWidth="1"/>
    <col min="59" max="59" width="13.5703125" style="57" customWidth="1"/>
    <col min="60" max="60" width="11.85546875" style="57" customWidth="1"/>
    <col min="61" max="61" width="16.42578125" style="57" customWidth="1"/>
    <col min="62" max="62" width="20.5703125" style="57" customWidth="1"/>
    <col min="63" max="63" width="21.140625" style="57" customWidth="1"/>
    <col min="64" max="64" width="20.28515625" style="57" customWidth="1"/>
    <col min="65" max="65" width="15.5703125" style="57" customWidth="1"/>
    <col min="66" max="66" width="15.140625" style="57" customWidth="1"/>
    <col min="67" max="67" width="17.85546875" style="57" customWidth="1"/>
    <col min="68" max="68" width="18.85546875" style="57" customWidth="1"/>
    <col min="69" max="69" width="13.7109375" style="57" customWidth="1"/>
    <col min="70" max="70" width="18.5703125" style="57" customWidth="1"/>
    <col min="71" max="71" width="17.7109375" style="57" customWidth="1"/>
    <col min="72" max="72" width="14.28515625" style="57" customWidth="1"/>
    <col min="73" max="73" width="19.28515625" style="57" customWidth="1"/>
    <col min="74" max="74" width="17.7109375" style="57" customWidth="1"/>
    <col min="75" max="75" width="12.7109375" style="57" customWidth="1"/>
    <col min="76" max="76" width="21.7109375" style="57" customWidth="1"/>
    <col min="77" max="77" width="19" style="57" customWidth="1"/>
    <col min="78" max="78" width="11.5703125" style="57" customWidth="1"/>
    <col min="79" max="79" width="12.140625" style="57" customWidth="1"/>
    <col min="80" max="80" width="11.5703125" style="57" customWidth="1"/>
    <col min="81" max="81" width="9" style="57" customWidth="1"/>
    <col min="82" max="82" width="13.140625" style="57" customWidth="1"/>
    <col min="83" max="83" width="10.42578125" style="57" customWidth="1"/>
    <col min="88" max="88" width="11.28515625" bestFit="1" customWidth="1"/>
    <col min="89" max="89" width="5" bestFit="1" customWidth="1"/>
    <col min="90" max="90" width="10.42578125" bestFit="1" customWidth="1"/>
    <col min="92" max="92" width="8.28515625" bestFit="1" customWidth="1"/>
    <col min="93" max="93" width="12.85546875" bestFit="1" customWidth="1"/>
    <col min="94" max="96" width="12.85546875" customWidth="1"/>
    <col min="105" max="105" width="9.7109375" customWidth="1"/>
  </cols>
  <sheetData>
    <row r="1" spans="1:106" s="45" customFormat="1">
      <c r="A1" s="45" t="s">
        <v>0</v>
      </c>
      <c r="B1" s="45" t="s">
        <v>104</v>
      </c>
      <c r="C1" s="45" t="s">
        <v>227</v>
      </c>
      <c r="D1" s="45" t="s">
        <v>103</v>
      </c>
      <c r="E1" s="45" t="s">
        <v>228</v>
      </c>
      <c r="F1" s="45" t="s">
        <v>229</v>
      </c>
      <c r="G1" s="45" t="s">
        <v>143</v>
      </c>
      <c r="H1" s="45" t="s">
        <v>142</v>
      </c>
      <c r="I1" s="45" t="s">
        <v>230</v>
      </c>
      <c r="J1" s="45" t="s">
        <v>231</v>
      </c>
      <c r="K1" s="45" t="s">
        <v>232</v>
      </c>
      <c r="L1" s="45" t="s">
        <v>233</v>
      </c>
      <c r="M1" s="45" t="s">
        <v>234</v>
      </c>
      <c r="N1" s="45" t="s">
        <v>235</v>
      </c>
      <c r="O1" s="45" t="s">
        <v>85</v>
      </c>
      <c r="P1" s="45" t="s">
        <v>236</v>
      </c>
      <c r="Q1" s="45" t="s">
        <v>237</v>
      </c>
      <c r="R1" s="45" t="s">
        <v>146</v>
      </c>
      <c r="S1" s="45" t="s">
        <v>238</v>
      </c>
      <c r="T1" s="45" t="s">
        <v>239</v>
      </c>
      <c r="U1" s="45" t="s">
        <v>240</v>
      </c>
      <c r="V1" s="62" t="s">
        <v>241</v>
      </c>
      <c r="W1" s="62" t="s">
        <v>242</v>
      </c>
      <c r="X1" s="62" t="s">
        <v>243</v>
      </c>
      <c r="Y1" s="62" t="s">
        <v>244</v>
      </c>
      <c r="Z1" s="62" t="s">
        <v>245</v>
      </c>
      <c r="AA1" s="62" t="s">
        <v>246</v>
      </c>
      <c r="AB1" s="62" t="s">
        <v>247</v>
      </c>
      <c r="AC1" s="62" t="s">
        <v>248</v>
      </c>
      <c r="AD1" s="62" t="s">
        <v>249</v>
      </c>
      <c r="AE1" s="62" t="s">
        <v>250</v>
      </c>
      <c r="AF1" s="62" t="s">
        <v>251</v>
      </c>
      <c r="AG1" s="62" t="s">
        <v>252</v>
      </c>
      <c r="AH1" s="62" t="s">
        <v>253</v>
      </c>
      <c r="AI1" s="62" t="s">
        <v>254</v>
      </c>
      <c r="AJ1" s="62" t="s">
        <v>255</v>
      </c>
      <c r="AK1" s="62" t="s">
        <v>256</v>
      </c>
      <c r="AL1" s="62" t="s">
        <v>257</v>
      </c>
      <c r="AM1" s="62" t="s">
        <v>258</v>
      </c>
      <c r="AN1" s="62" t="s">
        <v>259</v>
      </c>
      <c r="AO1" s="62" t="s">
        <v>260</v>
      </c>
      <c r="AP1" s="62" t="s">
        <v>261</v>
      </c>
      <c r="AQ1" s="62" t="s">
        <v>262</v>
      </c>
      <c r="AR1" s="62" t="s">
        <v>263</v>
      </c>
      <c r="AS1" s="62" t="s">
        <v>264</v>
      </c>
      <c r="AT1" s="62" t="s">
        <v>265</v>
      </c>
      <c r="AU1" s="62" t="s">
        <v>266</v>
      </c>
      <c r="AV1" s="62" t="s">
        <v>267</v>
      </c>
      <c r="AW1" s="62" t="s">
        <v>268</v>
      </c>
      <c r="AX1" s="62" t="s">
        <v>269</v>
      </c>
      <c r="AY1" s="62" t="s">
        <v>270</v>
      </c>
      <c r="AZ1" s="62" t="s">
        <v>271</v>
      </c>
      <c r="BA1" s="62" t="s">
        <v>272</v>
      </c>
      <c r="BB1" s="62" t="s">
        <v>273</v>
      </c>
      <c r="BC1" s="62" t="s">
        <v>274</v>
      </c>
      <c r="BD1" s="62" t="s">
        <v>275</v>
      </c>
      <c r="BE1" s="62" t="s">
        <v>276</v>
      </c>
      <c r="BF1" s="62" t="s">
        <v>277</v>
      </c>
      <c r="BG1" s="62" t="s">
        <v>278</v>
      </c>
      <c r="BH1" s="62" t="s">
        <v>279</v>
      </c>
      <c r="BI1" s="62" t="s">
        <v>280</v>
      </c>
      <c r="BJ1" s="62" t="s">
        <v>281</v>
      </c>
      <c r="BK1" s="62" t="s">
        <v>282</v>
      </c>
      <c r="BL1" s="62" t="s">
        <v>283</v>
      </c>
      <c r="BM1" s="62" t="s">
        <v>284</v>
      </c>
      <c r="BN1" s="62" t="s">
        <v>285</v>
      </c>
      <c r="BO1" s="62" t="s">
        <v>286</v>
      </c>
      <c r="BP1" s="62" t="s">
        <v>287</v>
      </c>
      <c r="BQ1" s="62" t="s">
        <v>288</v>
      </c>
      <c r="BR1" s="62" t="s">
        <v>289</v>
      </c>
      <c r="BS1" s="62" t="s">
        <v>290</v>
      </c>
      <c r="BT1" s="62" t="s">
        <v>291</v>
      </c>
      <c r="BU1" s="62" t="s">
        <v>292</v>
      </c>
      <c r="BV1" s="62" t="s">
        <v>293</v>
      </c>
      <c r="BW1" s="62" t="s">
        <v>294</v>
      </c>
      <c r="BX1" s="62" t="s">
        <v>295</v>
      </c>
      <c r="BY1" s="62" t="s">
        <v>296</v>
      </c>
      <c r="BZ1" s="62" t="s">
        <v>297</v>
      </c>
      <c r="CA1" s="62" t="s">
        <v>298</v>
      </c>
      <c r="CB1" s="62" t="s">
        <v>299</v>
      </c>
      <c r="CC1" s="62" t="s">
        <v>300</v>
      </c>
      <c r="CD1" s="62" t="s">
        <v>301</v>
      </c>
      <c r="CE1" s="62" t="s">
        <v>302</v>
      </c>
    </row>
    <row r="2" spans="1:106">
      <c r="A2" s="45" t="s">
        <v>303</v>
      </c>
      <c r="B2" s="57">
        <v>0.2</v>
      </c>
      <c r="C2" s="57">
        <v>0.1</v>
      </c>
      <c r="D2" s="57">
        <v>0.2</v>
      </c>
      <c r="E2" s="58">
        <v>1</v>
      </c>
      <c r="F2" s="57">
        <v>1</v>
      </c>
      <c r="G2" s="57">
        <v>1</v>
      </c>
      <c r="H2" s="57">
        <v>1</v>
      </c>
      <c r="I2" s="58">
        <v>1</v>
      </c>
      <c r="J2" s="58">
        <v>1</v>
      </c>
      <c r="K2" s="57">
        <v>1</v>
      </c>
      <c r="L2" s="57">
        <v>1</v>
      </c>
      <c r="M2" s="57">
        <v>1</v>
      </c>
      <c r="N2" s="63">
        <v>1</v>
      </c>
      <c r="O2" s="59">
        <v>1E-4</v>
      </c>
      <c r="P2" s="64">
        <v>1</v>
      </c>
      <c r="Q2" s="57">
        <v>1</v>
      </c>
      <c r="T2">
        <v>1</v>
      </c>
      <c r="U2" s="63">
        <v>1</v>
      </c>
      <c r="V2" s="63">
        <v>1</v>
      </c>
      <c r="W2" s="63">
        <v>1</v>
      </c>
      <c r="X2" s="63">
        <v>1</v>
      </c>
      <c r="Y2" s="63">
        <v>1</v>
      </c>
      <c r="Z2" s="63">
        <v>1</v>
      </c>
      <c r="AA2" s="63">
        <v>1</v>
      </c>
      <c r="AB2" s="63">
        <v>1</v>
      </c>
      <c r="AC2" s="63">
        <v>1</v>
      </c>
      <c r="AD2" s="63">
        <v>1</v>
      </c>
      <c r="AE2" s="63">
        <v>1</v>
      </c>
      <c r="AF2" s="63">
        <v>1</v>
      </c>
      <c r="AG2" s="63">
        <v>1</v>
      </c>
      <c r="AH2" s="63">
        <v>1</v>
      </c>
      <c r="AI2" s="63">
        <v>1</v>
      </c>
      <c r="AJ2" s="63">
        <v>1</v>
      </c>
      <c r="AK2" s="63">
        <v>1</v>
      </c>
      <c r="AL2" s="63">
        <v>1</v>
      </c>
      <c r="AM2" s="63">
        <v>1</v>
      </c>
      <c r="AN2" s="63">
        <v>1</v>
      </c>
      <c r="AO2" s="63">
        <v>1</v>
      </c>
      <c r="AP2" s="63">
        <v>1</v>
      </c>
      <c r="AQ2" s="63">
        <v>1</v>
      </c>
      <c r="AR2" s="63">
        <v>1</v>
      </c>
      <c r="AS2" s="63">
        <v>1</v>
      </c>
      <c r="AT2" s="63">
        <v>1</v>
      </c>
      <c r="AU2" s="63">
        <v>1</v>
      </c>
      <c r="AV2" s="63">
        <v>1</v>
      </c>
      <c r="AW2" s="63">
        <v>1</v>
      </c>
      <c r="AX2" s="63">
        <v>1</v>
      </c>
      <c r="AY2" s="63">
        <v>1</v>
      </c>
      <c r="AZ2" s="63">
        <v>1</v>
      </c>
      <c r="BA2" s="63">
        <v>1</v>
      </c>
      <c r="BB2" s="63">
        <v>1</v>
      </c>
      <c r="BC2" s="63">
        <v>1</v>
      </c>
      <c r="BD2" s="63">
        <v>1</v>
      </c>
      <c r="BE2" s="63">
        <v>1</v>
      </c>
      <c r="BF2" s="63">
        <v>1</v>
      </c>
      <c r="BG2" s="63">
        <v>1</v>
      </c>
      <c r="BH2" s="63">
        <v>1</v>
      </c>
      <c r="BI2" s="63">
        <v>1</v>
      </c>
      <c r="BJ2" s="63">
        <v>1</v>
      </c>
      <c r="BK2" s="63">
        <v>1</v>
      </c>
      <c r="BL2" s="63">
        <v>1</v>
      </c>
      <c r="BM2" s="63">
        <v>1</v>
      </c>
      <c r="BN2" s="63">
        <v>1</v>
      </c>
      <c r="BO2" s="63">
        <v>1</v>
      </c>
      <c r="BP2" s="63">
        <v>1</v>
      </c>
      <c r="BQ2" s="63">
        <v>1</v>
      </c>
      <c r="BR2" s="63">
        <v>1</v>
      </c>
      <c r="BS2" s="63">
        <v>1</v>
      </c>
      <c r="BT2" s="63">
        <v>1</v>
      </c>
      <c r="BU2" s="63">
        <v>1</v>
      </c>
      <c r="BV2" s="63">
        <v>1</v>
      </c>
      <c r="BW2" s="63">
        <v>1</v>
      </c>
      <c r="BX2" s="63">
        <v>1</v>
      </c>
      <c r="BY2" s="63">
        <v>1</v>
      </c>
      <c r="BZ2" s="63">
        <v>1</v>
      </c>
      <c r="CA2" s="63">
        <v>1</v>
      </c>
      <c r="CB2" s="63">
        <v>1</v>
      </c>
      <c r="CC2" s="63">
        <v>1</v>
      </c>
      <c r="CD2" s="63">
        <v>1</v>
      </c>
      <c r="CE2" s="63">
        <v>1</v>
      </c>
      <c r="CJ2" s="45"/>
      <c r="CK2" s="45"/>
      <c r="CL2" s="45"/>
      <c r="CM2" s="45"/>
      <c r="CN2" s="45"/>
      <c r="CO2" s="45"/>
      <c r="CP2" s="45"/>
      <c r="CW2">
        <v>500000</v>
      </c>
      <c r="CX2" s="57">
        <f t="shared" ref="CX2:CX33" si="0">CZ2/$CW$2</f>
        <v>7.6E-3</v>
      </c>
      <c r="CY2">
        <v>1</v>
      </c>
      <c r="CZ2">
        <v>3800</v>
      </c>
      <c r="DA2" s="65">
        <f t="shared" ref="DA2:DA33" si="1">CZ2-CZ1</f>
        <v>3800</v>
      </c>
      <c r="DB2" s="57">
        <f t="shared" ref="DB2:DB33" si="2">CZ2/$CZ$52</f>
        <v>1.9701981604570859E-2</v>
      </c>
    </row>
    <row r="3" spans="1:106">
      <c r="A3" s="45" t="s">
        <v>304</v>
      </c>
      <c r="E3" s="59"/>
      <c r="I3" s="59">
        <v>0.25</v>
      </c>
      <c r="J3" s="59">
        <v>0.25</v>
      </c>
      <c r="Q3" s="57">
        <f>-0.05-0.05-0.1-0.15</f>
        <v>-0.35</v>
      </c>
      <c r="R3" s="66"/>
      <c r="S3" s="63"/>
      <c r="T3" s="57">
        <v>-1</v>
      </c>
      <c r="CF3" s="57"/>
      <c r="CJ3" s="45"/>
      <c r="CK3" s="45"/>
      <c r="CL3" s="45"/>
      <c r="CM3" s="45"/>
      <c r="CN3" s="76"/>
      <c r="CO3" s="45"/>
      <c r="CP3" s="45"/>
      <c r="CX3" s="57">
        <f t="shared" si="0"/>
        <v>1.5202E-2</v>
      </c>
      <c r="CY3">
        <v>2</v>
      </c>
      <c r="CZ3">
        <v>7601</v>
      </c>
      <c r="DA3" s="65">
        <f t="shared" si="1"/>
        <v>3801</v>
      </c>
      <c r="DB3" s="57">
        <f t="shared" si="2"/>
        <v>3.9409147941142919E-2</v>
      </c>
    </row>
    <row r="4" spans="1:106">
      <c r="A4" s="45" t="s">
        <v>305</v>
      </c>
      <c r="B4" s="57">
        <f>0.1+0.05</f>
        <v>0.15000000000000002</v>
      </c>
      <c r="C4" s="57">
        <v>0.2</v>
      </c>
      <c r="D4" s="57">
        <f>0.1+0.05</f>
        <v>0.15000000000000002</v>
      </c>
      <c r="E4" s="59"/>
      <c r="G4" s="57">
        <f>0.25+0.25+0.05</f>
        <v>0.55000000000000004</v>
      </c>
      <c r="H4" s="57">
        <f>0.25+0.25+0.25</f>
        <v>0.75</v>
      </c>
      <c r="I4" s="59">
        <v>-0.25</v>
      </c>
      <c r="J4" s="59">
        <v>-0.25</v>
      </c>
      <c r="K4" s="57">
        <v>-0.01</v>
      </c>
      <c r="L4" s="57">
        <v>0.01</v>
      </c>
      <c r="Q4" s="57">
        <f>0.05+0.05+0.1+0.1+0.1+0.1</f>
        <v>0.5</v>
      </c>
      <c r="R4" s="60">
        <v>1</v>
      </c>
      <c r="S4" s="63"/>
      <c r="T4" s="57">
        <v>0.8</v>
      </c>
      <c r="AH4" s="57">
        <v>0.1</v>
      </c>
      <c r="BD4" s="57">
        <v>0.1</v>
      </c>
      <c r="BE4" s="57">
        <v>0.1</v>
      </c>
      <c r="BF4" s="57">
        <v>0.1</v>
      </c>
      <c r="BX4" s="57">
        <v>0.1</v>
      </c>
      <c r="BY4" s="57">
        <v>0.05</v>
      </c>
      <c r="CX4" s="57">
        <f t="shared" si="0"/>
        <v>2.2801999999999999E-2</v>
      </c>
      <c r="CY4">
        <v>3</v>
      </c>
      <c r="CZ4">
        <v>11401</v>
      </c>
      <c r="DA4" s="65">
        <f t="shared" si="1"/>
        <v>3800</v>
      </c>
      <c r="DB4" s="57">
        <f t="shared" si="2"/>
        <v>5.9111129545713785E-2</v>
      </c>
    </row>
    <row r="5" spans="1:106">
      <c r="A5" s="45" t="s">
        <v>306</v>
      </c>
      <c r="B5" s="57">
        <f>-0.1-0.05+0.01+0.05</f>
        <v>-9.0000000000000011E-2</v>
      </c>
      <c r="C5" s="57">
        <v>-0.2</v>
      </c>
      <c r="D5" s="57">
        <f>-0.1+0.05</f>
        <v>-0.05</v>
      </c>
      <c r="E5" s="59"/>
      <c r="F5" s="57">
        <v>0.25</v>
      </c>
      <c r="G5" s="57">
        <f>-0.25-0.25+0.1</f>
        <v>-0.4</v>
      </c>
      <c r="H5" s="57">
        <f>-0.25-0.25+0.1</f>
        <v>-0.4</v>
      </c>
      <c r="I5" s="59"/>
      <c r="J5" s="59"/>
      <c r="M5" s="57">
        <v>0.25</v>
      </c>
      <c r="Q5" s="57">
        <f>0.15-0.05</f>
        <v>9.9999999999999992E-2</v>
      </c>
      <c r="R5" s="66"/>
      <c r="S5" s="63">
        <f>6+10+9</f>
        <v>25</v>
      </c>
      <c r="T5" s="57">
        <v>0.2</v>
      </c>
      <c r="Y5" s="57">
        <v>0.5</v>
      </c>
      <c r="AA5" s="57">
        <v>0.1</v>
      </c>
      <c r="AH5" s="57">
        <v>0.3</v>
      </c>
      <c r="AQ5" s="57">
        <v>0.1</v>
      </c>
      <c r="BA5" s="57">
        <v>0.1</v>
      </c>
      <c r="BB5" s="57">
        <v>0.1</v>
      </c>
      <c r="BF5" s="57">
        <v>0.1</v>
      </c>
      <c r="BJ5" s="57">
        <v>0.05</v>
      </c>
      <c r="BT5" s="57">
        <v>0.05</v>
      </c>
      <c r="CX5" s="57">
        <f t="shared" si="0"/>
        <v>3.0404E-2</v>
      </c>
      <c r="CY5">
        <v>4</v>
      </c>
      <c r="CZ5">
        <v>15202</v>
      </c>
      <c r="DA5" s="65">
        <f t="shared" si="1"/>
        <v>3801</v>
      </c>
      <c r="DB5" s="57">
        <f t="shared" si="2"/>
        <v>7.8818295882285838E-2</v>
      </c>
    </row>
    <row r="6" spans="1:106">
      <c r="A6" s="45" t="s">
        <v>307</v>
      </c>
      <c r="B6" s="57">
        <f>0.05+0.01+0.01</f>
        <v>7.0000000000000007E-2</v>
      </c>
      <c r="D6" s="57">
        <v>0.05</v>
      </c>
      <c r="G6" s="57">
        <f>0.1+0.1</f>
        <v>0.2</v>
      </c>
      <c r="H6" s="57">
        <f>0.1+0.25</f>
        <v>0.35</v>
      </c>
      <c r="K6" s="57">
        <v>-0.01</v>
      </c>
      <c r="L6" s="57">
        <f>0.01+0.01+0.01+0.01</f>
        <v>0.04</v>
      </c>
      <c r="M6" s="57">
        <f>0.05+0.05</f>
        <v>0.1</v>
      </c>
      <c r="O6" s="59">
        <f>0.0001+0.0001+0.0001+0.0001</f>
        <v>4.0000000000000002E-4</v>
      </c>
      <c r="P6" s="57">
        <v>-0.1</v>
      </c>
      <c r="Q6" s="57">
        <f>0.1+0.1+0.1+0.1</f>
        <v>0.4</v>
      </c>
      <c r="S6">
        <f>9+13+12+19+21</f>
        <v>74</v>
      </c>
      <c r="U6" s="61">
        <f>-0.002-0.002</f>
        <v>-4.0000000000000001E-3</v>
      </c>
      <c r="W6" s="57">
        <f>0.2+0.2+0.1</f>
        <v>0.5</v>
      </c>
      <c r="X6" s="57">
        <v>0.2</v>
      </c>
      <c r="AF6" s="57">
        <f>0.15+0.15</f>
        <v>0.3</v>
      </c>
      <c r="AG6" s="57">
        <v>0.1</v>
      </c>
      <c r="AH6" s="57">
        <f>0.1+0.15</f>
        <v>0.25</v>
      </c>
      <c r="AN6" s="57">
        <v>0.1</v>
      </c>
      <c r="AR6" s="57">
        <v>0.1</v>
      </c>
      <c r="AS6" s="57">
        <v>0.1</v>
      </c>
      <c r="AY6" s="57">
        <v>0.2</v>
      </c>
      <c r="AZ6" s="57">
        <v>0.5</v>
      </c>
      <c r="BA6" s="57">
        <v>0.15</v>
      </c>
      <c r="BB6" s="57">
        <f>0.1+0.15</f>
        <v>0.25</v>
      </c>
      <c r="BC6" s="57">
        <v>0.1</v>
      </c>
      <c r="BD6" s="57">
        <v>0.1</v>
      </c>
      <c r="BE6" s="57">
        <f>0.1+0.15</f>
        <v>0.25</v>
      </c>
      <c r="BF6" s="57">
        <v>0.1</v>
      </c>
      <c r="BI6" s="57">
        <v>0.1</v>
      </c>
      <c r="BR6" s="57">
        <v>0.1</v>
      </c>
      <c r="BX6" s="57">
        <f>0.1+0.1</f>
        <v>0.2</v>
      </c>
      <c r="BY6" s="57">
        <f>0.05+0.05</f>
        <v>0.1</v>
      </c>
      <c r="CX6" s="57">
        <f t="shared" si="0"/>
        <v>3.8004000000000003E-2</v>
      </c>
      <c r="CY6">
        <v>5</v>
      </c>
      <c r="CZ6">
        <v>19002</v>
      </c>
      <c r="DA6" s="65">
        <f t="shared" si="1"/>
        <v>3800</v>
      </c>
      <c r="DB6" s="57">
        <f t="shared" si="2"/>
        <v>9.8520277486856711E-2</v>
      </c>
    </row>
    <row r="7" spans="1:106">
      <c r="A7" s="45" t="s">
        <v>308</v>
      </c>
      <c r="B7" s="57">
        <f>0.01+0.01+0.01+0.01</f>
        <v>0.04</v>
      </c>
      <c r="D7" s="57">
        <v>0.05</v>
      </c>
      <c r="G7" s="57">
        <f>0.05+0.1+0.5+0.5</f>
        <v>1.1499999999999999</v>
      </c>
      <c r="H7" s="57">
        <f>0.1+0.25+0.02</f>
        <v>0.37</v>
      </c>
      <c r="J7" s="67"/>
      <c r="K7" s="57">
        <v>-0.01</v>
      </c>
      <c r="L7" s="57">
        <f>0.01+0.01+0.01+0.01</f>
        <v>0.04</v>
      </c>
      <c r="M7" s="57">
        <f>0.05+0.05</f>
        <v>0.1</v>
      </c>
      <c r="N7" s="57">
        <f>-0.03-0.02</f>
        <v>-0.05</v>
      </c>
      <c r="O7" s="59">
        <v>1E-4</v>
      </c>
      <c r="S7">
        <f>16+2+20</f>
        <v>38</v>
      </c>
      <c r="V7" s="57">
        <v>0.5</v>
      </c>
      <c r="X7" s="57">
        <v>0.2</v>
      </c>
      <c r="AH7" s="57">
        <f>0.1+0.25</f>
        <v>0.35</v>
      </c>
      <c r="AI7" s="57">
        <v>1</v>
      </c>
      <c r="AL7" s="57">
        <v>0.1</v>
      </c>
      <c r="AM7" s="57">
        <v>0.02</v>
      </c>
      <c r="AO7" s="57">
        <v>0.05</v>
      </c>
      <c r="AP7" s="57">
        <f>0.25+0.02</f>
        <v>0.27</v>
      </c>
      <c r="AS7" s="57">
        <f>0.1+0.05</f>
        <v>0.15000000000000002</v>
      </c>
      <c r="AX7" s="57">
        <v>0.01</v>
      </c>
      <c r="BD7" s="57">
        <v>0.1</v>
      </c>
      <c r="BE7" s="57">
        <v>0.1</v>
      </c>
      <c r="BF7" s="57">
        <v>0.1</v>
      </c>
      <c r="BH7" s="57">
        <v>0.02</v>
      </c>
      <c r="BI7" s="57">
        <v>0.1</v>
      </c>
      <c r="BM7" s="57">
        <v>0.02</v>
      </c>
      <c r="BN7" s="57">
        <v>0.02</v>
      </c>
      <c r="BS7" s="57">
        <v>0.02</v>
      </c>
      <c r="BU7" s="57">
        <v>0.02</v>
      </c>
      <c r="BX7" s="57">
        <f>0.1+0.05+0.1</f>
        <v>0.25</v>
      </c>
      <c r="BY7" s="57">
        <f>0.05+0.05</f>
        <v>0.1</v>
      </c>
      <c r="CX7" s="57">
        <f t="shared" si="0"/>
        <v>4.5606000000000001E-2</v>
      </c>
      <c r="CY7">
        <v>6</v>
      </c>
      <c r="CZ7">
        <v>22803</v>
      </c>
      <c r="DA7" s="65">
        <f t="shared" si="1"/>
        <v>3801</v>
      </c>
      <c r="DB7" s="57">
        <f t="shared" si="2"/>
        <v>0.11822744382342877</v>
      </c>
    </row>
    <row r="8" spans="1:106">
      <c r="A8" s="45">
        <v>1840</v>
      </c>
      <c r="R8" s="60">
        <v>1</v>
      </c>
      <c r="S8">
        <f>4+3</f>
        <v>7</v>
      </c>
      <c r="Y8" s="57">
        <f>0.2+0.5+0.5</f>
        <v>1.2</v>
      </c>
      <c r="Z8" s="57">
        <v>0.25</v>
      </c>
      <c r="AA8" s="57">
        <f>0.2+0.1</f>
        <v>0.30000000000000004</v>
      </c>
      <c r="AB8" s="57">
        <v>0.25</v>
      </c>
      <c r="AD8" s="57">
        <f>0.15+0.1</f>
        <v>0.25</v>
      </c>
      <c r="AE8" s="57">
        <v>0.25</v>
      </c>
      <c r="BZ8" s="57">
        <v>0.1</v>
      </c>
      <c r="CA8" s="57">
        <v>0.1</v>
      </c>
      <c r="CX8" s="57">
        <f t="shared" si="0"/>
        <v>5.3206000000000003E-2</v>
      </c>
      <c r="CY8">
        <v>7</v>
      </c>
      <c r="CZ8">
        <v>26603</v>
      </c>
      <c r="DA8" s="65">
        <f t="shared" si="1"/>
        <v>3800</v>
      </c>
      <c r="DB8" s="57">
        <f t="shared" si="2"/>
        <v>0.13792942542799963</v>
      </c>
    </row>
    <row r="9" spans="1:106">
      <c r="A9" s="45">
        <v>1848</v>
      </c>
      <c r="S9">
        <v>3</v>
      </c>
      <c r="CX9" s="57">
        <f t="shared" si="0"/>
        <v>6.0808000000000001E-2</v>
      </c>
      <c r="CY9">
        <v>8</v>
      </c>
      <c r="CZ9">
        <v>30404</v>
      </c>
      <c r="DA9" s="65">
        <f t="shared" si="1"/>
        <v>3801</v>
      </c>
      <c r="DB9" s="57">
        <f t="shared" si="2"/>
        <v>0.15763659176457168</v>
      </c>
    </row>
    <row r="10" spans="1:106">
      <c r="A10" s="45">
        <v>1850</v>
      </c>
      <c r="B10" s="57">
        <f>0.05+0.01+0.01+0.01+0.01+0.01</f>
        <v>9.9999999999999992E-2</v>
      </c>
      <c r="D10" s="57">
        <v>0.05</v>
      </c>
      <c r="G10" s="57">
        <f>0.05+0.1</f>
        <v>0.15000000000000002</v>
      </c>
      <c r="H10" s="57">
        <f>0.3+0.1+0.25+0.05</f>
        <v>0.70000000000000007</v>
      </c>
      <c r="K10" s="57">
        <v>-0.01</v>
      </c>
      <c r="L10" s="57">
        <f>0.01+0.01+0.025+0.025</f>
        <v>7.0000000000000007E-2</v>
      </c>
      <c r="M10" s="57">
        <f>0.1+0.05</f>
        <v>0.15000000000000002</v>
      </c>
      <c r="N10" s="57">
        <f>-0.01-0.01-0.01-0.1+0.05</f>
        <v>-0.08</v>
      </c>
      <c r="Q10" s="57">
        <f>0.2+0.05+0.2+0.05+0.05+0.05+0.2</f>
        <v>0.8</v>
      </c>
      <c r="R10" s="60">
        <v>1</v>
      </c>
      <c r="Y10" s="57">
        <f>0.2+0.2+0.25</f>
        <v>0.65</v>
      </c>
      <c r="Z10" s="57">
        <v>0.25</v>
      </c>
      <c r="AA10" s="57">
        <f>0.15+0.1</f>
        <v>0.25</v>
      </c>
      <c r="AB10" s="57">
        <v>0.25</v>
      </c>
      <c r="AD10" s="57">
        <f>0.2+0.1+0.3+0.4+0.25+0.25</f>
        <v>1.5</v>
      </c>
      <c r="AE10" s="57">
        <v>0.25</v>
      </c>
      <c r="AF10" s="57">
        <f>0.15+0.15</f>
        <v>0.3</v>
      </c>
      <c r="AH10" s="57">
        <f>0.1+0.1+0.1+0.05+0.1+0.15</f>
        <v>0.60000000000000009</v>
      </c>
      <c r="AJ10" s="57">
        <v>0.1</v>
      </c>
      <c r="AK10" s="57">
        <f>0.3+0.05+0.05</f>
        <v>0.39999999999999997</v>
      </c>
      <c r="AL10" s="57">
        <v>0.15</v>
      </c>
      <c r="AY10" s="57">
        <v>0.3</v>
      </c>
      <c r="AZ10" s="57">
        <v>0.1</v>
      </c>
      <c r="BD10" s="57">
        <f>0.1+0.25</f>
        <v>0.35</v>
      </c>
      <c r="BE10" s="57">
        <f>0.1+0.2+0.2</f>
        <v>0.5</v>
      </c>
      <c r="BF10" s="57">
        <f>0.1+0.2+0.3+0.2+0.05</f>
        <v>0.85000000000000009</v>
      </c>
      <c r="BG10" s="57">
        <v>0.2</v>
      </c>
      <c r="BH10" s="57">
        <v>0.05</v>
      </c>
      <c r="BI10" s="57">
        <f>0.2+0.1</f>
        <v>0.30000000000000004</v>
      </c>
      <c r="BK10" s="57">
        <v>0.1</v>
      </c>
      <c r="BT10" s="57">
        <v>0.1</v>
      </c>
      <c r="BU10" s="57">
        <v>0.05</v>
      </c>
      <c r="BX10" s="57">
        <f>0.1+0.05+0.1</f>
        <v>0.25</v>
      </c>
      <c r="BY10" s="57">
        <f>0.05+0.05</f>
        <v>0.1</v>
      </c>
      <c r="BZ10" s="57">
        <v>0.1</v>
      </c>
      <c r="CA10" s="57">
        <v>0.1</v>
      </c>
      <c r="CB10" s="57">
        <v>0.5</v>
      </c>
      <c r="CC10" s="57">
        <v>0.2</v>
      </c>
      <c r="CD10" s="57">
        <v>0.1</v>
      </c>
      <c r="CE10" s="57">
        <v>0.5</v>
      </c>
      <c r="CX10" s="57">
        <f t="shared" si="0"/>
        <v>6.8407999999999997E-2</v>
      </c>
      <c r="CY10">
        <v>9</v>
      </c>
      <c r="CZ10">
        <v>34204</v>
      </c>
      <c r="DA10" s="65">
        <f t="shared" si="1"/>
        <v>3800</v>
      </c>
      <c r="DB10" s="57">
        <f t="shared" si="2"/>
        <v>0.17733857336914255</v>
      </c>
    </row>
    <row r="11" spans="1:106">
      <c r="A11" s="45">
        <v>1855</v>
      </c>
      <c r="CX11" s="57">
        <f t="shared" si="0"/>
        <v>7.6009999999999994E-2</v>
      </c>
      <c r="CY11">
        <v>10</v>
      </c>
      <c r="CZ11">
        <v>38005</v>
      </c>
      <c r="DA11" s="65">
        <f t="shared" si="1"/>
        <v>3801</v>
      </c>
      <c r="DB11" s="57">
        <f t="shared" si="2"/>
        <v>0.19704573970571462</v>
      </c>
    </row>
    <row r="12" spans="1:106">
      <c r="A12" s="45">
        <v>1860</v>
      </c>
      <c r="AC12" s="57">
        <v>0.05</v>
      </c>
      <c r="AO12" s="57">
        <v>0.05</v>
      </c>
      <c r="AV12" s="57">
        <v>0.05</v>
      </c>
      <c r="CX12" s="57">
        <f t="shared" si="0"/>
        <v>8.3610000000000004E-2</v>
      </c>
      <c r="CY12">
        <v>11</v>
      </c>
      <c r="CZ12">
        <v>41805</v>
      </c>
      <c r="DA12" s="65">
        <f t="shared" si="1"/>
        <v>3800</v>
      </c>
      <c r="DB12" s="57">
        <f t="shared" si="2"/>
        <v>0.21674772131028547</v>
      </c>
    </row>
    <row r="13" spans="1:106">
      <c r="A13" s="45">
        <v>1870</v>
      </c>
      <c r="B13" s="57">
        <f>0.05+0.01+0.01</f>
        <v>7.0000000000000007E-2</v>
      </c>
      <c r="D13" s="57">
        <v>0.05</v>
      </c>
      <c r="K13" s="57">
        <f>-0.01-0.01-0.01-0.01</f>
        <v>-0.04</v>
      </c>
      <c r="L13" s="57">
        <v>0.01</v>
      </c>
      <c r="M13" s="57">
        <f>0.1+0.05</f>
        <v>0.15000000000000002</v>
      </c>
      <c r="N13" s="57">
        <f>-0.01-0.01-0.01-0.01-0.01-0.01-0.1</f>
        <v>-0.16</v>
      </c>
      <c r="O13" s="59">
        <v>1E-4</v>
      </c>
      <c r="P13" s="57">
        <v>-0.2</v>
      </c>
      <c r="Q13" s="57">
        <f>0.2+0.05+0.2+0.05+0.05+0.05+0.2</f>
        <v>0.8</v>
      </c>
      <c r="R13" s="60">
        <v>1</v>
      </c>
      <c r="V13" s="57">
        <v>0.2</v>
      </c>
      <c r="W13" s="57">
        <v>0.2</v>
      </c>
      <c r="X13" s="57">
        <v>0.2</v>
      </c>
      <c r="Y13" s="57">
        <f>0.3+0.25+0.25+0.1+0.25</f>
        <v>1.1499999999999999</v>
      </c>
      <c r="Z13" s="57">
        <f>0.75+0.25</f>
        <v>1</v>
      </c>
      <c r="AA13" s="57">
        <v>0.2</v>
      </c>
      <c r="AB13" s="57">
        <f>0.75+0.25</f>
        <v>1</v>
      </c>
      <c r="AD13" s="57">
        <f>0.25+0.3+0.1</f>
        <v>0.65</v>
      </c>
      <c r="AE13" s="57">
        <f>0.75+0.25</f>
        <v>1</v>
      </c>
      <c r="AH13" s="57">
        <f>0.1+0.25</f>
        <v>0.35</v>
      </c>
      <c r="AP13" s="57">
        <v>0.03</v>
      </c>
      <c r="AR13" s="57">
        <v>0.05</v>
      </c>
      <c r="AS13" s="57">
        <v>0.05</v>
      </c>
      <c r="AT13" s="57">
        <v>0.05</v>
      </c>
      <c r="AY13" s="57">
        <f>0.2+0.2</f>
        <v>0.4</v>
      </c>
      <c r="AZ13" s="57">
        <v>0.15</v>
      </c>
      <c r="BA13" s="57">
        <v>0.2</v>
      </c>
      <c r="BD13" s="57">
        <f>0.1+0.5+0.25</f>
        <v>0.85</v>
      </c>
      <c r="BE13" s="57">
        <f>0.1+0.2</f>
        <v>0.30000000000000004</v>
      </c>
      <c r="BF13" s="57">
        <f>0.1+0.1+0.2+0.1</f>
        <v>0.5</v>
      </c>
      <c r="BH13" s="57">
        <v>0.02</v>
      </c>
      <c r="BI13" s="57">
        <v>0.05</v>
      </c>
      <c r="BO13" s="57">
        <v>0.03</v>
      </c>
      <c r="BP13" s="57">
        <v>0.03</v>
      </c>
      <c r="BR13" s="57">
        <v>0.03</v>
      </c>
      <c r="BS13" s="57">
        <v>0.03</v>
      </c>
      <c r="BT13" s="57">
        <v>7.0000000000000007E-2</v>
      </c>
      <c r="BV13" s="57">
        <v>0.03</v>
      </c>
      <c r="BX13" s="57">
        <f>0.1+0.2+0.1</f>
        <v>0.4</v>
      </c>
      <c r="BY13" s="57">
        <f>0.05+0.05</f>
        <v>0.1</v>
      </c>
      <c r="BZ13" s="57">
        <v>0.2</v>
      </c>
      <c r="CA13" s="57">
        <v>0.2</v>
      </c>
      <c r="CX13" s="57">
        <f t="shared" si="0"/>
        <v>9.1212000000000001E-2</v>
      </c>
      <c r="CY13">
        <v>12</v>
      </c>
      <c r="CZ13">
        <v>45606</v>
      </c>
      <c r="DA13" s="65">
        <f t="shared" si="1"/>
        <v>3801</v>
      </c>
      <c r="DB13" s="57">
        <f t="shared" si="2"/>
        <v>0.23645488764685754</v>
      </c>
    </row>
    <row r="14" spans="1:106">
      <c r="A14" s="45">
        <v>1872</v>
      </c>
      <c r="CX14" s="57">
        <f t="shared" si="0"/>
        <v>9.8808000000000007E-2</v>
      </c>
      <c r="CY14">
        <v>13</v>
      </c>
      <c r="CZ14">
        <v>49404</v>
      </c>
      <c r="DA14" s="65">
        <f t="shared" si="1"/>
        <v>3798</v>
      </c>
      <c r="DB14" s="57">
        <f t="shared" si="2"/>
        <v>0.25614649978742599</v>
      </c>
    </row>
    <row r="15" spans="1:106">
      <c r="A15" s="45">
        <v>1875</v>
      </c>
      <c r="CX15" s="57">
        <f t="shared" si="0"/>
        <v>0.10641399999999999</v>
      </c>
      <c r="CY15">
        <v>14</v>
      </c>
      <c r="CZ15">
        <v>53207</v>
      </c>
      <c r="DA15" s="65">
        <f t="shared" si="1"/>
        <v>3803</v>
      </c>
      <c r="DB15" s="57">
        <f t="shared" si="2"/>
        <v>0.27586403558800043</v>
      </c>
    </row>
    <row r="16" spans="1:106">
      <c r="A16" s="45">
        <v>1880</v>
      </c>
      <c r="G16" s="57">
        <v>0.15</v>
      </c>
      <c r="H16" s="57">
        <f>0.15+0.3</f>
        <v>0.44999999999999996</v>
      </c>
      <c r="Q16" s="57">
        <v>0.05</v>
      </c>
      <c r="AF16" s="57">
        <v>0.15</v>
      </c>
      <c r="AH16" s="57">
        <v>0.3</v>
      </c>
      <c r="AL16" s="57">
        <v>0.15</v>
      </c>
      <c r="AM16" s="57">
        <f>0.01+0.02</f>
        <v>0.03</v>
      </c>
      <c r="AY16" s="57">
        <v>0.2</v>
      </c>
      <c r="BF16" s="57">
        <v>0.3</v>
      </c>
      <c r="BR16" s="57">
        <v>0.1</v>
      </c>
      <c r="CX16" s="57">
        <f t="shared" si="0"/>
        <v>0.114014</v>
      </c>
      <c r="CY16">
        <v>15</v>
      </c>
      <c r="CZ16">
        <v>57007</v>
      </c>
      <c r="DA16" s="65">
        <f t="shared" si="1"/>
        <v>3800</v>
      </c>
      <c r="DB16" s="57">
        <f t="shared" si="2"/>
        <v>0.29556601719257131</v>
      </c>
    </row>
    <row r="17" spans="1:106">
      <c r="A17" s="45">
        <v>1890</v>
      </c>
      <c r="Y17" s="57">
        <v>0.35</v>
      </c>
      <c r="AA17" s="57">
        <v>0.2</v>
      </c>
      <c r="AD17" s="57">
        <v>0.2</v>
      </c>
      <c r="AK17" s="57">
        <f>0.02+0.02</f>
        <v>0.04</v>
      </c>
      <c r="BD17" s="57">
        <v>0.25</v>
      </c>
      <c r="BZ17" s="57">
        <v>0.05</v>
      </c>
      <c r="CA17" s="57">
        <v>0.05</v>
      </c>
      <c r="CX17" s="57">
        <f t="shared" si="0"/>
        <v>0.121616</v>
      </c>
      <c r="CY17">
        <v>16</v>
      </c>
      <c r="CZ17">
        <v>60808</v>
      </c>
      <c r="DA17" s="65">
        <f t="shared" si="1"/>
        <v>3801</v>
      </c>
      <c r="DB17" s="57">
        <f t="shared" si="2"/>
        <v>0.31527318352914335</v>
      </c>
    </row>
    <row r="18" spans="1:106">
      <c r="A18" s="45">
        <v>1895</v>
      </c>
      <c r="CX18" s="57">
        <f t="shared" si="0"/>
        <v>0.129216</v>
      </c>
      <c r="CY18">
        <v>17</v>
      </c>
      <c r="CZ18">
        <v>64608</v>
      </c>
      <c r="DA18" s="65">
        <f t="shared" si="1"/>
        <v>3800</v>
      </c>
      <c r="DB18" s="57">
        <f t="shared" si="2"/>
        <v>0.33497516513371423</v>
      </c>
    </row>
    <row r="19" spans="1:106">
      <c r="A19" s="45">
        <v>1898</v>
      </c>
      <c r="R19" s="60">
        <v>1</v>
      </c>
      <c r="AF19" s="57">
        <v>0.15</v>
      </c>
      <c r="CX19" s="57">
        <f t="shared" si="0"/>
        <v>0.13681599999999999</v>
      </c>
      <c r="CY19">
        <v>18</v>
      </c>
      <c r="CZ19">
        <v>68408</v>
      </c>
      <c r="DA19" s="65">
        <f t="shared" si="1"/>
        <v>3800</v>
      </c>
      <c r="DB19" s="57">
        <f t="shared" si="2"/>
        <v>0.3546771467382851</v>
      </c>
    </row>
    <row r="20" spans="1:106">
      <c r="A20" s="45">
        <v>1900</v>
      </c>
      <c r="B20" s="57">
        <v>0.05</v>
      </c>
      <c r="D20" s="57">
        <f>0.05+0.05</f>
        <v>0.1</v>
      </c>
      <c r="E20" s="67">
        <f>0.05+0.05+0.05</f>
        <v>0.15000000000000002</v>
      </c>
      <c r="G20" s="57">
        <f>0.15+0.5</f>
        <v>0.65</v>
      </c>
      <c r="H20" s="57">
        <f>0.15</f>
        <v>0.15</v>
      </c>
      <c r="K20" s="57">
        <v>-0.01</v>
      </c>
      <c r="L20" s="57">
        <v>0.03</v>
      </c>
      <c r="M20" s="57">
        <f>0.1+0.05+0.02+0.02+0.1</f>
        <v>0.29000000000000004</v>
      </c>
      <c r="N20" s="57">
        <f>0.1-0.01</f>
        <v>9.0000000000000011E-2</v>
      </c>
      <c r="Q20" s="57">
        <f>0.35+0.3+0.2</f>
        <v>0.84999999999999987</v>
      </c>
      <c r="U20" s="61">
        <f>-0.005-0.005-0.005</f>
        <v>-1.4999999999999999E-2</v>
      </c>
      <c r="AF20" s="57">
        <v>0.15</v>
      </c>
      <c r="AH20" s="57">
        <f>0.1+0.4</f>
        <v>0.5</v>
      </c>
      <c r="AN20" s="57">
        <v>0.05</v>
      </c>
      <c r="AQ20" s="57">
        <v>0.1</v>
      </c>
      <c r="AS20" s="57">
        <f>0.05+0.05</f>
        <v>0.1</v>
      </c>
      <c r="AW20" s="57">
        <v>0.03</v>
      </c>
      <c r="AZ20" s="57">
        <v>0.3</v>
      </c>
      <c r="BD20" s="57">
        <f>0.1+0.25</f>
        <v>0.35</v>
      </c>
      <c r="BE20" s="57">
        <f>0.1+0.3+0.2</f>
        <v>0.60000000000000009</v>
      </c>
      <c r="BF20" s="57">
        <f>0.1+0.1+0.1+0.1</f>
        <v>0.4</v>
      </c>
      <c r="BL20" s="57">
        <v>1</v>
      </c>
      <c r="BO20" s="57">
        <v>0.03</v>
      </c>
      <c r="BQ20" s="57">
        <v>0.03</v>
      </c>
      <c r="BX20" s="57">
        <f>0.1+0.2+0.1</f>
        <v>0.4</v>
      </c>
      <c r="BY20" s="57">
        <f>0.05+0.05</f>
        <v>0.1</v>
      </c>
      <c r="CB20" s="57">
        <v>0.3</v>
      </c>
      <c r="CX20" s="57">
        <f t="shared" si="0"/>
        <v>0.14441799999999999</v>
      </c>
      <c r="CY20">
        <v>19</v>
      </c>
      <c r="CZ20">
        <v>72209</v>
      </c>
      <c r="DA20" s="65">
        <f t="shared" si="1"/>
        <v>3801</v>
      </c>
      <c r="DB20" s="57">
        <f t="shared" si="2"/>
        <v>0.37438431307485714</v>
      </c>
    </row>
    <row r="21" spans="1:106">
      <c r="A21" s="45">
        <v>1905</v>
      </c>
      <c r="O21" s="59">
        <v>1E-4</v>
      </c>
      <c r="Y21" s="57">
        <f>0.4+0.4+0.5</f>
        <v>1.3</v>
      </c>
      <c r="AA21" s="57">
        <f>0.25+0.3</f>
        <v>0.55000000000000004</v>
      </c>
      <c r="AD21" s="57">
        <f>0.25+0.3+0.5</f>
        <v>1.05</v>
      </c>
      <c r="AK21" s="57">
        <v>0.05</v>
      </c>
      <c r="CX21" s="57">
        <f t="shared" si="0"/>
        <v>0.15201799999999999</v>
      </c>
      <c r="CY21">
        <v>20</v>
      </c>
      <c r="CZ21">
        <v>76009</v>
      </c>
      <c r="DA21" s="65">
        <f t="shared" si="1"/>
        <v>3800</v>
      </c>
      <c r="DB21" s="57">
        <f t="shared" si="2"/>
        <v>0.39408629467942802</v>
      </c>
    </row>
    <row r="22" spans="1:106">
      <c r="A22" s="45">
        <v>1910</v>
      </c>
      <c r="O22" s="59">
        <v>1E-4</v>
      </c>
      <c r="CX22" s="57">
        <f t="shared" si="0"/>
        <v>0.15960199999999999</v>
      </c>
      <c r="CY22">
        <v>21</v>
      </c>
      <c r="CZ22">
        <v>79801</v>
      </c>
      <c r="DA22" s="65">
        <f t="shared" si="1"/>
        <v>3792</v>
      </c>
      <c r="DB22" s="57">
        <f t="shared" si="2"/>
        <v>0.41374679842798928</v>
      </c>
    </row>
    <row r="23" spans="1:106">
      <c r="A23" s="45">
        <v>1914</v>
      </c>
      <c r="Q23" s="57">
        <v>0.2</v>
      </c>
      <c r="CX23" s="57">
        <f t="shared" si="0"/>
        <v>0.16720199999999999</v>
      </c>
      <c r="CY23">
        <v>22</v>
      </c>
      <c r="CZ23">
        <v>83601</v>
      </c>
      <c r="DA23" s="65">
        <f t="shared" si="1"/>
        <v>3800</v>
      </c>
      <c r="DB23" s="57">
        <f t="shared" si="2"/>
        <v>0.4334487800325601</v>
      </c>
    </row>
    <row r="24" spans="1:106">
      <c r="A24" s="45">
        <v>1915</v>
      </c>
      <c r="R24" s="60">
        <v>1</v>
      </c>
      <c r="CX24" s="57">
        <f t="shared" si="0"/>
        <v>0.17482200000000001</v>
      </c>
      <c r="CY24">
        <v>23</v>
      </c>
      <c r="CZ24">
        <v>87411</v>
      </c>
      <c r="DA24" s="65">
        <f t="shared" si="1"/>
        <v>3810</v>
      </c>
      <c r="DB24" s="57">
        <f t="shared" si="2"/>
        <v>0.45320260895714298</v>
      </c>
    </row>
    <row r="25" spans="1:106">
      <c r="A25" s="45">
        <v>1919</v>
      </c>
      <c r="B25" s="57">
        <v>0.05</v>
      </c>
      <c r="N25" s="57">
        <v>-0.01</v>
      </c>
      <c r="Q25" s="57">
        <f>0.2-0.3-0.3+0.2</f>
        <v>-0.19999999999999996</v>
      </c>
      <c r="CX25" s="57">
        <f t="shared" si="0"/>
        <v>0.182422</v>
      </c>
      <c r="CY25">
        <v>24</v>
      </c>
      <c r="CZ25">
        <v>91211</v>
      </c>
      <c r="DA25" s="65">
        <f t="shared" si="1"/>
        <v>3800</v>
      </c>
      <c r="DB25" s="57">
        <f t="shared" si="2"/>
        <v>0.47290459056171386</v>
      </c>
    </row>
    <row r="26" spans="1:106">
      <c r="CX26" s="57">
        <f t="shared" si="0"/>
        <v>0.190024</v>
      </c>
      <c r="CY26">
        <v>25</v>
      </c>
      <c r="CZ26">
        <v>95012</v>
      </c>
      <c r="DA26" s="65">
        <f t="shared" si="1"/>
        <v>3801</v>
      </c>
      <c r="DB26" s="57">
        <f t="shared" si="2"/>
        <v>0.4926117568982859</v>
      </c>
    </row>
    <row r="27" spans="1:106">
      <c r="CX27" s="57">
        <f t="shared" si="0"/>
        <v>0.19762399999999999</v>
      </c>
      <c r="CY27">
        <v>26</v>
      </c>
      <c r="CZ27">
        <v>98812</v>
      </c>
      <c r="DA27" s="65">
        <f t="shared" si="1"/>
        <v>3800</v>
      </c>
      <c r="DB27" s="57">
        <f t="shared" si="2"/>
        <v>0.51231373850285677</v>
      </c>
    </row>
    <row r="28" spans="1:106">
      <c r="A28" s="45" t="s">
        <v>0</v>
      </c>
      <c r="B28" s="45" t="s">
        <v>104</v>
      </c>
      <c r="C28" s="45" t="s">
        <v>227</v>
      </c>
      <c r="D28" s="45" t="s">
        <v>103</v>
      </c>
      <c r="E28" s="45" t="s">
        <v>228</v>
      </c>
      <c r="F28" s="45" t="s">
        <v>229</v>
      </c>
      <c r="G28" s="45" t="s">
        <v>143</v>
      </c>
      <c r="H28" s="45" t="s">
        <v>142</v>
      </c>
      <c r="I28" s="68" t="s">
        <v>230</v>
      </c>
      <c r="J28" s="68" t="s">
        <v>231</v>
      </c>
      <c r="K28" s="45" t="s">
        <v>232</v>
      </c>
      <c r="L28" s="45" t="s">
        <v>233</v>
      </c>
      <c r="M28" s="45" t="s">
        <v>234</v>
      </c>
      <c r="N28" s="45" t="s">
        <v>235</v>
      </c>
      <c r="O28" s="45" t="s">
        <v>85</v>
      </c>
      <c r="P28" s="45" t="s">
        <v>236</v>
      </c>
      <c r="Q28" s="45" t="s">
        <v>237</v>
      </c>
      <c r="R28" s="45" t="s">
        <v>146</v>
      </c>
      <c r="S28" s="45" t="s">
        <v>238</v>
      </c>
      <c r="T28" s="45" t="s">
        <v>239</v>
      </c>
      <c r="U28" s="45" t="s">
        <v>240</v>
      </c>
      <c r="V28" s="62" t="s">
        <v>241</v>
      </c>
      <c r="W28" s="62" t="s">
        <v>242</v>
      </c>
      <c r="X28" s="62" t="s">
        <v>243</v>
      </c>
      <c r="Y28" s="62" t="s">
        <v>244</v>
      </c>
      <c r="Z28" s="62" t="s">
        <v>245</v>
      </c>
      <c r="AA28" s="62" t="s">
        <v>246</v>
      </c>
      <c r="AB28" s="62" t="s">
        <v>247</v>
      </c>
      <c r="AC28" s="62" t="s">
        <v>248</v>
      </c>
      <c r="AD28" s="62" t="s">
        <v>249</v>
      </c>
      <c r="AE28" s="62" t="s">
        <v>250</v>
      </c>
      <c r="AF28" s="62" t="s">
        <v>251</v>
      </c>
      <c r="AG28" s="62" t="s">
        <v>252</v>
      </c>
      <c r="AH28" s="62" t="s">
        <v>253</v>
      </c>
      <c r="AI28" s="62" t="s">
        <v>254</v>
      </c>
      <c r="AJ28" s="62" t="s">
        <v>255</v>
      </c>
      <c r="AK28" s="62" t="s">
        <v>256</v>
      </c>
      <c r="AL28" s="62" t="s">
        <v>257</v>
      </c>
      <c r="AM28" s="62" t="s">
        <v>258</v>
      </c>
      <c r="AN28" s="62" t="s">
        <v>259</v>
      </c>
      <c r="AO28" s="62" t="s">
        <v>260</v>
      </c>
      <c r="AP28" s="62" t="s">
        <v>261</v>
      </c>
      <c r="AQ28" s="62" t="s">
        <v>262</v>
      </c>
      <c r="AR28" s="62" t="s">
        <v>263</v>
      </c>
      <c r="AS28" s="62" t="s">
        <v>264</v>
      </c>
      <c r="AT28" s="62" t="s">
        <v>265</v>
      </c>
      <c r="AU28" s="62" t="s">
        <v>266</v>
      </c>
      <c r="AV28" s="62" t="s">
        <v>267</v>
      </c>
      <c r="AW28" s="62" t="s">
        <v>268</v>
      </c>
      <c r="AX28" s="62" t="s">
        <v>269</v>
      </c>
      <c r="AY28" s="62" t="s">
        <v>270</v>
      </c>
      <c r="AZ28" s="62" t="s">
        <v>271</v>
      </c>
      <c r="BA28" s="62" t="s">
        <v>272</v>
      </c>
      <c r="BB28" s="62" t="s">
        <v>273</v>
      </c>
      <c r="BC28" s="62" t="s">
        <v>274</v>
      </c>
      <c r="BD28" s="62" t="s">
        <v>275</v>
      </c>
      <c r="BE28" s="62" t="s">
        <v>276</v>
      </c>
      <c r="BF28" s="62" t="s">
        <v>277</v>
      </c>
      <c r="BG28" s="62" t="s">
        <v>278</v>
      </c>
      <c r="BH28" s="62" t="s">
        <v>279</v>
      </c>
      <c r="BI28" s="62" t="s">
        <v>280</v>
      </c>
      <c r="BJ28" s="62" t="s">
        <v>281</v>
      </c>
      <c r="BK28" s="62" t="s">
        <v>282</v>
      </c>
      <c r="BL28" s="62" t="s">
        <v>283</v>
      </c>
      <c r="BM28" s="62" t="s">
        <v>284</v>
      </c>
      <c r="BN28" s="62" t="s">
        <v>285</v>
      </c>
      <c r="BO28" s="62" t="s">
        <v>286</v>
      </c>
      <c r="BP28" s="62" t="s">
        <v>287</v>
      </c>
      <c r="BQ28" s="62" t="s">
        <v>288</v>
      </c>
      <c r="BR28" s="62" t="s">
        <v>289</v>
      </c>
      <c r="BS28" s="62" t="s">
        <v>290</v>
      </c>
      <c r="BT28" s="62" t="s">
        <v>291</v>
      </c>
      <c r="BU28" s="62" t="s">
        <v>292</v>
      </c>
      <c r="BV28" s="62" t="s">
        <v>293</v>
      </c>
      <c r="BW28" s="62" t="s">
        <v>294</v>
      </c>
      <c r="BX28" s="62" t="s">
        <v>295</v>
      </c>
      <c r="BY28" s="62" t="s">
        <v>296</v>
      </c>
      <c r="BZ28" s="62" t="s">
        <v>297</v>
      </c>
      <c r="CA28" s="62" t="s">
        <v>298</v>
      </c>
      <c r="CB28" s="62" t="s">
        <v>299</v>
      </c>
      <c r="CC28" s="62" t="s">
        <v>300</v>
      </c>
      <c r="CD28" s="62" t="s">
        <v>301</v>
      </c>
      <c r="CE28" s="62" t="s">
        <v>302</v>
      </c>
      <c r="CX28" s="57">
        <f t="shared" si="0"/>
        <v>0.20522599999999999</v>
      </c>
      <c r="CY28">
        <v>27</v>
      </c>
      <c r="CZ28">
        <v>102613</v>
      </c>
      <c r="DA28" s="65">
        <f t="shared" si="1"/>
        <v>3801</v>
      </c>
      <c r="DB28" s="57">
        <f t="shared" si="2"/>
        <v>0.53202090483942888</v>
      </c>
    </row>
    <row r="29" spans="1:106">
      <c r="A29" s="45" t="s">
        <v>303</v>
      </c>
      <c r="B29" s="57">
        <f t="shared" ref="B29:AG29" si="3">SUM(B2)</f>
        <v>0.2</v>
      </c>
      <c r="C29" s="57">
        <f t="shared" si="3"/>
        <v>0.1</v>
      </c>
      <c r="D29" s="57">
        <f t="shared" si="3"/>
        <v>0.2</v>
      </c>
      <c r="E29" s="57">
        <f t="shared" si="3"/>
        <v>1</v>
      </c>
      <c r="F29" s="57">
        <f t="shared" si="3"/>
        <v>1</v>
      </c>
      <c r="G29" s="57">
        <f t="shared" si="3"/>
        <v>1</v>
      </c>
      <c r="H29" s="57">
        <f t="shared" si="3"/>
        <v>1</v>
      </c>
      <c r="I29" s="59">
        <f t="shared" si="3"/>
        <v>1</v>
      </c>
      <c r="J29" s="59">
        <f t="shared" si="3"/>
        <v>1</v>
      </c>
      <c r="K29" s="57">
        <f t="shared" si="3"/>
        <v>1</v>
      </c>
      <c r="L29" s="57">
        <f t="shared" si="3"/>
        <v>1</v>
      </c>
      <c r="M29" s="57">
        <f t="shared" si="3"/>
        <v>1</v>
      </c>
      <c r="N29" s="57">
        <f t="shared" si="3"/>
        <v>1</v>
      </c>
      <c r="O29" s="59">
        <f t="shared" si="3"/>
        <v>1E-4</v>
      </c>
      <c r="P29" s="57">
        <f t="shared" si="3"/>
        <v>1</v>
      </c>
      <c r="Q29" s="57">
        <f t="shared" si="3"/>
        <v>1</v>
      </c>
      <c r="R29" s="63">
        <f t="shared" si="3"/>
        <v>0</v>
      </c>
      <c r="S29" s="63">
        <f t="shared" si="3"/>
        <v>0</v>
      </c>
      <c r="T29" s="57">
        <f t="shared" si="3"/>
        <v>1</v>
      </c>
      <c r="U29" s="61">
        <f t="shared" si="3"/>
        <v>1</v>
      </c>
      <c r="V29" s="57">
        <f t="shared" si="3"/>
        <v>1</v>
      </c>
      <c r="W29" s="57">
        <f t="shared" si="3"/>
        <v>1</v>
      </c>
      <c r="X29" s="57">
        <f t="shared" si="3"/>
        <v>1</v>
      </c>
      <c r="Y29" s="57">
        <f t="shared" si="3"/>
        <v>1</v>
      </c>
      <c r="Z29" s="57">
        <f t="shared" si="3"/>
        <v>1</v>
      </c>
      <c r="AA29" s="57">
        <f t="shared" si="3"/>
        <v>1</v>
      </c>
      <c r="AB29" s="57">
        <f t="shared" si="3"/>
        <v>1</v>
      </c>
      <c r="AC29" s="57">
        <f t="shared" si="3"/>
        <v>1</v>
      </c>
      <c r="AD29" s="57">
        <f t="shared" si="3"/>
        <v>1</v>
      </c>
      <c r="AE29" s="57">
        <f t="shared" si="3"/>
        <v>1</v>
      </c>
      <c r="AF29" s="57">
        <f t="shared" si="3"/>
        <v>1</v>
      </c>
      <c r="AG29" s="57">
        <f t="shared" si="3"/>
        <v>1</v>
      </c>
      <c r="AH29" s="57">
        <f t="shared" ref="AH29:BM29" si="4">SUM(AH2)</f>
        <v>1</v>
      </c>
      <c r="AI29" s="57">
        <f t="shared" si="4"/>
        <v>1</v>
      </c>
      <c r="AJ29" s="57">
        <f t="shared" si="4"/>
        <v>1</v>
      </c>
      <c r="AK29" s="57">
        <f t="shared" si="4"/>
        <v>1</v>
      </c>
      <c r="AL29" s="57">
        <f t="shared" si="4"/>
        <v>1</v>
      </c>
      <c r="AM29" s="57">
        <f t="shared" si="4"/>
        <v>1</v>
      </c>
      <c r="AN29" s="57">
        <f t="shared" si="4"/>
        <v>1</v>
      </c>
      <c r="AO29" s="57">
        <f t="shared" si="4"/>
        <v>1</v>
      </c>
      <c r="AP29" s="57">
        <f t="shared" si="4"/>
        <v>1</v>
      </c>
      <c r="AQ29" s="57">
        <f t="shared" si="4"/>
        <v>1</v>
      </c>
      <c r="AR29" s="57">
        <f t="shared" si="4"/>
        <v>1</v>
      </c>
      <c r="AS29" s="57">
        <f t="shared" si="4"/>
        <v>1</v>
      </c>
      <c r="AT29" s="57">
        <f t="shared" si="4"/>
        <v>1</v>
      </c>
      <c r="AU29" s="57">
        <f t="shared" si="4"/>
        <v>1</v>
      </c>
      <c r="AV29" s="57">
        <f t="shared" si="4"/>
        <v>1</v>
      </c>
      <c r="AW29" s="57">
        <f t="shared" si="4"/>
        <v>1</v>
      </c>
      <c r="AX29" s="57">
        <f t="shared" si="4"/>
        <v>1</v>
      </c>
      <c r="AY29" s="57">
        <f t="shared" si="4"/>
        <v>1</v>
      </c>
      <c r="AZ29" s="57">
        <f t="shared" si="4"/>
        <v>1</v>
      </c>
      <c r="BA29" s="57">
        <f t="shared" si="4"/>
        <v>1</v>
      </c>
      <c r="BB29" s="57">
        <f t="shared" si="4"/>
        <v>1</v>
      </c>
      <c r="BC29" s="57">
        <f t="shared" si="4"/>
        <v>1</v>
      </c>
      <c r="BD29" s="57">
        <f t="shared" si="4"/>
        <v>1</v>
      </c>
      <c r="BE29" s="57">
        <f t="shared" si="4"/>
        <v>1</v>
      </c>
      <c r="BF29" s="57">
        <f t="shared" si="4"/>
        <v>1</v>
      </c>
      <c r="BG29" s="57">
        <f t="shared" si="4"/>
        <v>1</v>
      </c>
      <c r="BH29" s="57">
        <f t="shared" si="4"/>
        <v>1</v>
      </c>
      <c r="BI29" s="57">
        <f t="shared" si="4"/>
        <v>1</v>
      </c>
      <c r="BJ29" s="57">
        <f t="shared" si="4"/>
        <v>1</v>
      </c>
      <c r="BK29" s="57">
        <f t="shared" si="4"/>
        <v>1</v>
      </c>
      <c r="BL29" s="57">
        <f t="shared" si="4"/>
        <v>1</v>
      </c>
      <c r="BM29" s="57">
        <f t="shared" si="4"/>
        <v>1</v>
      </c>
      <c r="BN29" s="57">
        <f t="shared" ref="BN29:CE29" si="5">SUM(BN2)</f>
        <v>1</v>
      </c>
      <c r="BO29" s="57">
        <f t="shared" si="5"/>
        <v>1</v>
      </c>
      <c r="BP29" s="57">
        <f t="shared" si="5"/>
        <v>1</v>
      </c>
      <c r="BQ29" s="57">
        <f t="shared" si="5"/>
        <v>1</v>
      </c>
      <c r="BR29" s="57">
        <f t="shared" si="5"/>
        <v>1</v>
      </c>
      <c r="BS29" s="57">
        <f t="shared" si="5"/>
        <v>1</v>
      </c>
      <c r="BT29" s="57">
        <f t="shared" si="5"/>
        <v>1</v>
      </c>
      <c r="BU29" s="57">
        <f t="shared" si="5"/>
        <v>1</v>
      </c>
      <c r="BV29" s="57">
        <f t="shared" si="5"/>
        <v>1</v>
      </c>
      <c r="BW29" s="57">
        <f t="shared" si="5"/>
        <v>1</v>
      </c>
      <c r="BX29" s="57">
        <f t="shared" si="5"/>
        <v>1</v>
      </c>
      <c r="BY29" s="57">
        <f t="shared" si="5"/>
        <v>1</v>
      </c>
      <c r="BZ29" s="57">
        <f t="shared" si="5"/>
        <v>1</v>
      </c>
      <c r="CA29" s="57">
        <f t="shared" si="5"/>
        <v>1</v>
      </c>
      <c r="CB29" s="57">
        <f t="shared" si="5"/>
        <v>1</v>
      </c>
      <c r="CC29" s="57">
        <f t="shared" si="5"/>
        <v>1</v>
      </c>
      <c r="CD29" s="57">
        <f t="shared" si="5"/>
        <v>1</v>
      </c>
      <c r="CE29" s="57">
        <f t="shared" si="5"/>
        <v>1</v>
      </c>
      <c r="CX29" s="57">
        <f t="shared" si="0"/>
        <v>0.21282599999999999</v>
      </c>
      <c r="CY29">
        <v>28</v>
      </c>
      <c r="CZ29">
        <v>106413</v>
      </c>
      <c r="DA29" s="65">
        <f t="shared" si="1"/>
        <v>3800</v>
      </c>
      <c r="DB29" s="57">
        <f t="shared" si="2"/>
        <v>0.55172288644399969</v>
      </c>
    </row>
    <row r="30" spans="1:106">
      <c r="A30" s="45" t="s">
        <v>304</v>
      </c>
      <c r="B30" s="57">
        <f t="shared" ref="B30:AG30" si="6">SUM(B2:B3)</f>
        <v>0.2</v>
      </c>
      <c r="C30" s="57">
        <f t="shared" si="6"/>
        <v>0.1</v>
      </c>
      <c r="D30" s="57">
        <f t="shared" si="6"/>
        <v>0.2</v>
      </c>
      <c r="E30" s="57">
        <f t="shared" si="6"/>
        <v>1</v>
      </c>
      <c r="F30" s="57">
        <f t="shared" si="6"/>
        <v>1</v>
      </c>
      <c r="G30" s="57">
        <f t="shared" si="6"/>
        <v>1</v>
      </c>
      <c r="H30" s="57">
        <f t="shared" si="6"/>
        <v>1</v>
      </c>
      <c r="I30" s="59">
        <f t="shared" si="6"/>
        <v>1.25</v>
      </c>
      <c r="J30" s="59">
        <f t="shared" si="6"/>
        <v>1.25</v>
      </c>
      <c r="K30" s="57">
        <f t="shared" si="6"/>
        <v>1</v>
      </c>
      <c r="L30" s="57">
        <f t="shared" si="6"/>
        <v>1</v>
      </c>
      <c r="M30" s="57">
        <f t="shared" si="6"/>
        <v>1</v>
      </c>
      <c r="N30" s="57">
        <f t="shared" si="6"/>
        <v>1</v>
      </c>
      <c r="O30" s="59">
        <f t="shared" si="6"/>
        <v>1E-4</v>
      </c>
      <c r="P30" s="57">
        <f t="shared" si="6"/>
        <v>1</v>
      </c>
      <c r="Q30" s="57">
        <f t="shared" si="6"/>
        <v>0.65</v>
      </c>
      <c r="R30" s="63">
        <f t="shared" si="6"/>
        <v>0</v>
      </c>
      <c r="S30" s="63">
        <f t="shared" si="6"/>
        <v>0</v>
      </c>
      <c r="T30" s="57">
        <f t="shared" si="6"/>
        <v>0</v>
      </c>
      <c r="U30" s="61">
        <f t="shared" si="6"/>
        <v>1</v>
      </c>
      <c r="V30" s="57">
        <f t="shared" si="6"/>
        <v>1</v>
      </c>
      <c r="W30" s="57">
        <f t="shared" si="6"/>
        <v>1</v>
      </c>
      <c r="X30" s="57">
        <f t="shared" si="6"/>
        <v>1</v>
      </c>
      <c r="Y30" s="57">
        <f t="shared" si="6"/>
        <v>1</v>
      </c>
      <c r="Z30" s="57">
        <f t="shared" si="6"/>
        <v>1</v>
      </c>
      <c r="AA30" s="57">
        <f t="shared" si="6"/>
        <v>1</v>
      </c>
      <c r="AB30" s="57">
        <f t="shared" si="6"/>
        <v>1</v>
      </c>
      <c r="AC30" s="57">
        <f t="shared" si="6"/>
        <v>1</v>
      </c>
      <c r="AD30" s="57">
        <f t="shared" si="6"/>
        <v>1</v>
      </c>
      <c r="AE30" s="57">
        <f t="shared" si="6"/>
        <v>1</v>
      </c>
      <c r="AF30" s="57">
        <f t="shared" si="6"/>
        <v>1</v>
      </c>
      <c r="AG30" s="57">
        <f t="shared" si="6"/>
        <v>1</v>
      </c>
      <c r="AH30" s="57">
        <f t="shared" ref="AH30:BM30" si="7">SUM(AH2:AH3)</f>
        <v>1</v>
      </c>
      <c r="AI30" s="57">
        <f t="shared" si="7"/>
        <v>1</v>
      </c>
      <c r="AJ30" s="57">
        <f t="shared" si="7"/>
        <v>1</v>
      </c>
      <c r="AK30" s="57">
        <f t="shared" si="7"/>
        <v>1</v>
      </c>
      <c r="AL30" s="57">
        <f t="shared" si="7"/>
        <v>1</v>
      </c>
      <c r="AM30" s="57">
        <f t="shared" si="7"/>
        <v>1</v>
      </c>
      <c r="AN30" s="57">
        <f t="shared" si="7"/>
        <v>1</v>
      </c>
      <c r="AO30" s="57">
        <f t="shared" si="7"/>
        <v>1</v>
      </c>
      <c r="AP30" s="57">
        <f t="shared" si="7"/>
        <v>1</v>
      </c>
      <c r="AQ30" s="57">
        <f t="shared" si="7"/>
        <v>1</v>
      </c>
      <c r="AR30" s="57">
        <f t="shared" si="7"/>
        <v>1</v>
      </c>
      <c r="AS30" s="57">
        <f t="shared" si="7"/>
        <v>1</v>
      </c>
      <c r="AT30" s="57">
        <f t="shared" si="7"/>
        <v>1</v>
      </c>
      <c r="AU30" s="57">
        <f t="shared" si="7"/>
        <v>1</v>
      </c>
      <c r="AV30" s="57">
        <f t="shared" si="7"/>
        <v>1</v>
      </c>
      <c r="AW30" s="57">
        <f t="shared" si="7"/>
        <v>1</v>
      </c>
      <c r="AX30" s="57">
        <f t="shared" si="7"/>
        <v>1</v>
      </c>
      <c r="AY30" s="57">
        <f t="shared" si="7"/>
        <v>1</v>
      </c>
      <c r="AZ30" s="57">
        <f t="shared" si="7"/>
        <v>1</v>
      </c>
      <c r="BA30" s="57">
        <f t="shared" si="7"/>
        <v>1</v>
      </c>
      <c r="BB30" s="57">
        <f t="shared" si="7"/>
        <v>1</v>
      </c>
      <c r="BC30" s="57">
        <f t="shared" si="7"/>
        <v>1</v>
      </c>
      <c r="BD30" s="57">
        <f t="shared" si="7"/>
        <v>1</v>
      </c>
      <c r="BE30" s="57">
        <f t="shared" si="7"/>
        <v>1</v>
      </c>
      <c r="BF30" s="57">
        <f t="shared" si="7"/>
        <v>1</v>
      </c>
      <c r="BG30" s="57">
        <f t="shared" si="7"/>
        <v>1</v>
      </c>
      <c r="BH30" s="57">
        <f t="shared" si="7"/>
        <v>1</v>
      </c>
      <c r="BI30" s="57">
        <f t="shared" si="7"/>
        <v>1</v>
      </c>
      <c r="BJ30" s="57">
        <f t="shared" si="7"/>
        <v>1</v>
      </c>
      <c r="BK30" s="57">
        <f t="shared" si="7"/>
        <v>1</v>
      </c>
      <c r="BL30" s="57">
        <f t="shared" si="7"/>
        <v>1</v>
      </c>
      <c r="BM30" s="57">
        <f t="shared" si="7"/>
        <v>1</v>
      </c>
      <c r="BN30" s="57">
        <f t="shared" ref="BN30:CE30" si="8">SUM(BN2:BN3)</f>
        <v>1</v>
      </c>
      <c r="BO30" s="57">
        <f t="shared" si="8"/>
        <v>1</v>
      </c>
      <c r="BP30" s="57">
        <f t="shared" si="8"/>
        <v>1</v>
      </c>
      <c r="BQ30" s="57">
        <f t="shared" si="8"/>
        <v>1</v>
      </c>
      <c r="BR30" s="57">
        <f t="shared" si="8"/>
        <v>1</v>
      </c>
      <c r="BS30" s="57">
        <f t="shared" si="8"/>
        <v>1</v>
      </c>
      <c r="BT30" s="57">
        <f t="shared" si="8"/>
        <v>1</v>
      </c>
      <c r="BU30" s="57">
        <f t="shared" si="8"/>
        <v>1</v>
      </c>
      <c r="BV30" s="57">
        <f t="shared" si="8"/>
        <v>1</v>
      </c>
      <c r="BW30" s="57">
        <f t="shared" si="8"/>
        <v>1</v>
      </c>
      <c r="BX30" s="57">
        <f t="shared" si="8"/>
        <v>1</v>
      </c>
      <c r="BY30" s="57">
        <f t="shared" si="8"/>
        <v>1</v>
      </c>
      <c r="BZ30" s="57">
        <f t="shared" si="8"/>
        <v>1</v>
      </c>
      <c r="CA30" s="57">
        <f t="shared" si="8"/>
        <v>1</v>
      </c>
      <c r="CB30" s="57">
        <f t="shared" si="8"/>
        <v>1</v>
      </c>
      <c r="CC30" s="57">
        <f t="shared" si="8"/>
        <v>1</v>
      </c>
      <c r="CD30" s="57">
        <f t="shared" si="8"/>
        <v>1</v>
      </c>
      <c r="CE30" s="57">
        <f t="shared" si="8"/>
        <v>1</v>
      </c>
      <c r="CX30" s="57">
        <f t="shared" si="0"/>
        <v>0.22042800000000001</v>
      </c>
      <c r="CY30">
        <v>29</v>
      </c>
      <c r="CZ30">
        <v>110214</v>
      </c>
      <c r="DA30" s="65">
        <f t="shared" si="1"/>
        <v>3801</v>
      </c>
      <c r="DB30" s="57">
        <f t="shared" si="2"/>
        <v>0.5714300527805718</v>
      </c>
    </row>
    <row r="31" spans="1:106">
      <c r="A31" s="45" t="s">
        <v>305</v>
      </c>
      <c r="B31" s="57">
        <f t="shared" ref="B31:AG31" si="9">SUM(B2:B4)</f>
        <v>0.35000000000000003</v>
      </c>
      <c r="C31" s="57">
        <f t="shared" si="9"/>
        <v>0.30000000000000004</v>
      </c>
      <c r="D31" s="57">
        <f t="shared" si="9"/>
        <v>0.35000000000000003</v>
      </c>
      <c r="E31" s="57">
        <f t="shared" si="9"/>
        <v>1</v>
      </c>
      <c r="F31" s="57">
        <f t="shared" si="9"/>
        <v>1</v>
      </c>
      <c r="G31" s="57">
        <f t="shared" si="9"/>
        <v>1.55</v>
      </c>
      <c r="H31" s="57">
        <f t="shared" si="9"/>
        <v>1.75</v>
      </c>
      <c r="I31" s="59">
        <f t="shared" si="9"/>
        <v>1</v>
      </c>
      <c r="J31" s="59">
        <f t="shared" si="9"/>
        <v>1</v>
      </c>
      <c r="K31" s="57">
        <f t="shared" si="9"/>
        <v>0.99</v>
      </c>
      <c r="L31" s="57">
        <f t="shared" si="9"/>
        <v>1.01</v>
      </c>
      <c r="M31" s="57">
        <f t="shared" si="9"/>
        <v>1</v>
      </c>
      <c r="N31" s="57">
        <f t="shared" si="9"/>
        <v>1</v>
      </c>
      <c r="O31" s="59">
        <f t="shared" si="9"/>
        <v>1E-4</v>
      </c>
      <c r="P31" s="57">
        <f t="shared" si="9"/>
        <v>1</v>
      </c>
      <c r="Q31" s="57">
        <f t="shared" si="9"/>
        <v>1.1499999999999999</v>
      </c>
      <c r="R31" s="63">
        <f t="shared" si="9"/>
        <v>1</v>
      </c>
      <c r="S31" s="63">
        <f t="shared" si="9"/>
        <v>0</v>
      </c>
      <c r="T31" s="57">
        <f t="shared" si="9"/>
        <v>0.8</v>
      </c>
      <c r="U31" s="61">
        <f t="shared" si="9"/>
        <v>1</v>
      </c>
      <c r="V31" s="57">
        <f t="shared" si="9"/>
        <v>1</v>
      </c>
      <c r="W31" s="57">
        <f t="shared" si="9"/>
        <v>1</v>
      </c>
      <c r="X31" s="57">
        <f t="shared" si="9"/>
        <v>1</v>
      </c>
      <c r="Y31" s="57">
        <f t="shared" si="9"/>
        <v>1</v>
      </c>
      <c r="Z31" s="57">
        <f t="shared" si="9"/>
        <v>1</v>
      </c>
      <c r="AA31" s="57">
        <f t="shared" si="9"/>
        <v>1</v>
      </c>
      <c r="AB31" s="57">
        <f t="shared" si="9"/>
        <v>1</v>
      </c>
      <c r="AC31" s="57">
        <f t="shared" si="9"/>
        <v>1</v>
      </c>
      <c r="AD31" s="57">
        <f t="shared" si="9"/>
        <v>1</v>
      </c>
      <c r="AE31" s="57">
        <f t="shared" si="9"/>
        <v>1</v>
      </c>
      <c r="AF31" s="57">
        <f t="shared" si="9"/>
        <v>1</v>
      </c>
      <c r="AG31" s="57">
        <f t="shared" si="9"/>
        <v>1</v>
      </c>
      <c r="AH31" s="57">
        <f t="shared" ref="AH31:BM31" si="10">SUM(AH2:AH4)</f>
        <v>1.1000000000000001</v>
      </c>
      <c r="AI31" s="57">
        <f t="shared" si="10"/>
        <v>1</v>
      </c>
      <c r="AJ31" s="57">
        <f t="shared" si="10"/>
        <v>1</v>
      </c>
      <c r="AK31" s="57">
        <f t="shared" si="10"/>
        <v>1</v>
      </c>
      <c r="AL31" s="57">
        <f t="shared" si="10"/>
        <v>1</v>
      </c>
      <c r="AM31" s="57">
        <f t="shared" si="10"/>
        <v>1</v>
      </c>
      <c r="AN31" s="57">
        <f t="shared" si="10"/>
        <v>1</v>
      </c>
      <c r="AO31" s="57">
        <f t="shared" si="10"/>
        <v>1</v>
      </c>
      <c r="AP31" s="57">
        <f t="shared" si="10"/>
        <v>1</v>
      </c>
      <c r="AQ31" s="57">
        <f t="shared" si="10"/>
        <v>1</v>
      </c>
      <c r="AR31" s="57">
        <f t="shared" si="10"/>
        <v>1</v>
      </c>
      <c r="AS31" s="57">
        <f t="shared" si="10"/>
        <v>1</v>
      </c>
      <c r="AT31" s="57">
        <f t="shared" si="10"/>
        <v>1</v>
      </c>
      <c r="AU31" s="57">
        <f t="shared" si="10"/>
        <v>1</v>
      </c>
      <c r="AV31" s="57">
        <f t="shared" si="10"/>
        <v>1</v>
      </c>
      <c r="AW31" s="57">
        <f t="shared" si="10"/>
        <v>1</v>
      </c>
      <c r="AX31" s="57">
        <f t="shared" si="10"/>
        <v>1</v>
      </c>
      <c r="AY31" s="57">
        <f t="shared" si="10"/>
        <v>1</v>
      </c>
      <c r="AZ31" s="57">
        <f t="shared" si="10"/>
        <v>1</v>
      </c>
      <c r="BA31" s="57">
        <f t="shared" si="10"/>
        <v>1</v>
      </c>
      <c r="BB31" s="57">
        <f t="shared" si="10"/>
        <v>1</v>
      </c>
      <c r="BC31" s="57">
        <f t="shared" si="10"/>
        <v>1</v>
      </c>
      <c r="BD31" s="57">
        <f t="shared" si="10"/>
        <v>1.1000000000000001</v>
      </c>
      <c r="BE31" s="57">
        <f t="shared" si="10"/>
        <v>1.1000000000000001</v>
      </c>
      <c r="BF31" s="57">
        <f t="shared" si="10"/>
        <v>1.1000000000000001</v>
      </c>
      <c r="BG31" s="57">
        <f t="shared" si="10"/>
        <v>1</v>
      </c>
      <c r="BH31" s="57">
        <f t="shared" si="10"/>
        <v>1</v>
      </c>
      <c r="BI31" s="57">
        <f t="shared" si="10"/>
        <v>1</v>
      </c>
      <c r="BJ31" s="57">
        <f t="shared" si="10"/>
        <v>1</v>
      </c>
      <c r="BK31" s="57">
        <f t="shared" si="10"/>
        <v>1</v>
      </c>
      <c r="BL31" s="57">
        <f t="shared" si="10"/>
        <v>1</v>
      </c>
      <c r="BM31" s="57">
        <f t="shared" si="10"/>
        <v>1</v>
      </c>
      <c r="BN31" s="57">
        <f t="shared" ref="BN31:CE31" si="11">SUM(BN2:BN4)</f>
        <v>1</v>
      </c>
      <c r="BO31" s="57">
        <f t="shared" si="11"/>
        <v>1</v>
      </c>
      <c r="BP31" s="57">
        <f t="shared" si="11"/>
        <v>1</v>
      </c>
      <c r="BQ31" s="57">
        <f t="shared" si="11"/>
        <v>1</v>
      </c>
      <c r="BR31" s="57">
        <f t="shared" si="11"/>
        <v>1</v>
      </c>
      <c r="BS31" s="57">
        <f t="shared" si="11"/>
        <v>1</v>
      </c>
      <c r="BT31" s="57">
        <f t="shared" si="11"/>
        <v>1</v>
      </c>
      <c r="BU31" s="57">
        <f t="shared" si="11"/>
        <v>1</v>
      </c>
      <c r="BV31" s="57">
        <f t="shared" si="11"/>
        <v>1</v>
      </c>
      <c r="BW31" s="57">
        <f t="shared" si="11"/>
        <v>1</v>
      </c>
      <c r="BX31" s="57">
        <f t="shared" si="11"/>
        <v>1.1000000000000001</v>
      </c>
      <c r="BY31" s="57">
        <f t="shared" si="11"/>
        <v>1.05</v>
      </c>
      <c r="BZ31" s="57">
        <f t="shared" si="11"/>
        <v>1</v>
      </c>
      <c r="CA31" s="57">
        <f t="shared" si="11"/>
        <v>1</v>
      </c>
      <c r="CB31" s="57">
        <f t="shared" si="11"/>
        <v>1</v>
      </c>
      <c r="CC31" s="57">
        <f t="shared" si="11"/>
        <v>1</v>
      </c>
      <c r="CD31" s="57">
        <f t="shared" si="11"/>
        <v>1</v>
      </c>
      <c r="CE31" s="57">
        <f t="shared" si="11"/>
        <v>1</v>
      </c>
      <c r="CX31" s="57">
        <f t="shared" si="0"/>
        <v>0.22802800000000001</v>
      </c>
      <c r="CY31">
        <v>30</v>
      </c>
      <c r="CZ31">
        <v>114014</v>
      </c>
      <c r="DA31" s="65">
        <f t="shared" si="1"/>
        <v>3800</v>
      </c>
      <c r="DB31" s="57">
        <f t="shared" si="2"/>
        <v>0.59113203438514261</v>
      </c>
    </row>
    <row r="32" spans="1:106">
      <c r="A32" s="45" t="s">
        <v>306</v>
      </c>
      <c r="B32" s="57">
        <f t="shared" ref="B32:AG32" si="12">SUM(B2:B5)</f>
        <v>0.26</v>
      </c>
      <c r="C32" s="57">
        <f t="shared" si="12"/>
        <v>0.10000000000000003</v>
      </c>
      <c r="D32" s="57">
        <f t="shared" si="12"/>
        <v>0.30000000000000004</v>
      </c>
      <c r="E32" s="57">
        <f t="shared" si="12"/>
        <v>1</v>
      </c>
      <c r="F32" s="57">
        <f t="shared" si="12"/>
        <v>1.25</v>
      </c>
      <c r="G32" s="57">
        <f t="shared" si="12"/>
        <v>1.1499999999999999</v>
      </c>
      <c r="H32" s="57">
        <f t="shared" si="12"/>
        <v>1.35</v>
      </c>
      <c r="I32" s="59">
        <f t="shared" si="12"/>
        <v>1</v>
      </c>
      <c r="J32" s="59">
        <f t="shared" si="12"/>
        <v>1</v>
      </c>
      <c r="K32" s="57">
        <f t="shared" si="12"/>
        <v>0.99</v>
      </c>
      <c r="L32" s="57">
        <f t="shared" si="12"/>
        <v>1.01</v>
      </c>
      <c r="M32" s="57">
        <f t="shared" si="12"/>
        <v>1.25</v>
      </c>
      <c r="N32" s="57">
        <f t="shared" si="12"/>
        <v>1</v>
      </c>
      <c r="O32" s="59">
        <f t="shared" si="12"/>
        <v>1E-4</v>
      </c>
      <c r="P32" s="57">
        <f t="shared" si="12"/>
        <v>1</v>
      </c>
      <c r="Q32" s="57">
        <f t="shared" si="12"/>
        <v>1.25</v>
      </c>
      <c r="R32" s="63">
        <f t="shared" si="12"/>
        <v>1</v>
      </c>
      <c r="S32" s="63">
        <f t="shared" si="12"/>
        <v>25</v>
      </c>
      <c r="T32" s="57">
        <f t="shared" si="12"/>
        <v>1</v>
      </c>
      <c r="U32" s="61">
        <f t="shared" si="12"/>
        <v>1</v>
      </c>
      <c r="V32" s="57">
        <f t="shared" si="12"/>
        <v>1</v>
      </c>
      <c r="W32" s="57">
        <f t="shared" si="12"/>
        <v>1</v>
      </c>
      <c r="X32" s="57">
        <f t="shared" si="12"/>
        <v>1</v>
      </c>
      <c r="Y32" s="57">
        <f t="shared" si="12"/>
        <v>1.5</v>
      </c>
      <c r="Z32" s="57">
        <f t="shared" si="12"/>
        <v>1</v>
      </c>
      <c r="AA32" s="57">
        <f t="shared" si="12"/>
        <v>1.1000000000000001</v>
      </c>
      <c r="AB32" s="57">
        <f t="shared" si="12"/>
        <v>1</v>
      </c>
      <c r="AC32" s="57">
        <f t="shared" si="12"/>
        <v>1</v>
      </c>
      <c r="AD32" s="57">
        <f t="shared" si="12"/>
        <v>1</v>
      </c>
      <c r="AE32" s="57">
        <f t="shared" si="12"/>
        <v>1</v>
      </c>
      <c r="AF32" s="57">
        <f t="shared" si="12"/>
        <v>1</v>
      </c>
      <c r="AG32" s="57">
        <f t="shared" si="12"/>
        <v>1</v>
      </c>
      <c r="AH32" s="57">
        <f t="shared" ref="AH32:BM32" si="13">SUM(AH2:AH5)</f>
        <v>1.4000000000000001</v>
      </c>
      <c r="AI32" s="57">
        <f t="shared" si="13"/>
        <v>1</v>
      </c>
      <c r="AJ32" s="57">
        <f t="shared" si="13"/>
        <v>1</v>
      </c>
      <c r="AK32" s="57">
        <f t="shared" si="13"/>
        <v>1</v>
      </c>
      <c r="AL32" s="57">
        <f t="shared" si="13"/>
        <v>1</v>
      </c>
      <c r="AM32" s="57">
        <f t="shared" si="13"/>
        <v>1</v>
      </c>
      <c r="AN32" s="57">
        <f t="shared" si="13"/>
        <v>1</v>
      </c>
      <c r="AO32" s="57">
        <f t="shared" si="13"/>
        <v>1</v>
      </c>
      <c r="AP32" s="57">
        <f t="shared" si="13"/>
        <v>1</v>
      </c>
      <c r="AQ32" s="57">
        <f t="shared" si="13"/>
        <v>1.1000000000000001</v>
      </c>
      <c r="AR32" s="57">
        <f t="shared" si="13"/>
        <v>1</v>
      </c>
      <c r="AS32" s="57">
        <f t="shared" si="13"/>
        <v>1</v>
      </c>
      <c r="AT32" s="57">
        <f t="shared" si="13"/>
        <v>1</v>
      </c>
      <c r="AU32" s="57">
        <f t="shared" si="13"/>
        <v>1</v>
      </c>
      <c r="AV32" s="57">
        <f t="shared" si="13"/>
        <v>1</v>
      </c>
      <c r="AW32" s="57">
        <f t="shared" si="13"/>
        <v>1</v>
      </c>
      <c r="AX32" s="57">
        <f t="shared" si="13"/>
        <v>1</v>
      </c>
      <c r="AY32" s="57">
        <f t="shared" si="13"/>
        <v>1</v>
      </c>
      <c r="AZ32" s="57">
        <f t="shared" si="13"/>
        <v>1</v>
      </c>
      <c r="BA32" s="57">
        <f t="shared" si="13"/>
        <v>1.1000000000000001</v>
      </c>
      <c r="BB32" s="57">
        <f t="shared" si="13"/>
        <v>1.1000000000000001</v>
      </c>
      <c r="BC32" s="57">
        <f t="shared" si="13"/>
        <v>1</v>
      </c>
      <c r="BD32" s="57">
        <f t="shared" si="13"/>
        <v>1.1000000000000001</v>
      </c>
      <c r="BE32" s="57">
        <f t="shared" si="13"/>
        <v>1.1000000000000001</v>
      </c>
      <c r="BF32" s="57">
        <f t="shared" si="13"/>
        <v>1.2000000000000002</v>
      </c>
      <c r="BG32" s="57">
        <f t="shared" si="13"/>
        <v>1</v>
      </c>
      <c r="BH32" s="57">
        <f t="shared" si="13"/>
        <v>1</v>
      </c>
      <c r="BI32" s="57">
        <f t="shared" si="13"/>
        <v>1</v>
      </c>
      <c r="BJ32" s="57">
        <f t="shared" si="13"/>
        <v>1.05</v>
      </c>
      <c r="BK32" s="57">
        <f t="shared" si="13"/>
        <v>1</v>
      </c>
      <c r="BL32" s="57">
        <f t="shared" si="13"/>
        <v>1</v>
      </c>
      <c r="BM32" s="57">
        <f t="shared" si="13"/>
        <v>1</v>
      </c>
      <c r="BN32" s="57">
        <f t="shared" ref="BN32:CE32" si="14">SUM(BN2:BN5)</f>
        <v>1</v>
      </c>
      <c r="BO32" s="57">
        <f t="shared" si="14"/>
        <v>1</v>
      </c>
      <c r="BP32" s="57">
        <f t="shared" si="14"/>
        <v>1</v>
      </c>
      <c r="BQ32" s="57">
        <f t="shared" si="14"/>
        <v>1</v>
      </c>
      <c r="BR32" s="57">
        <f t="shared" si="14"/>
        <v>1</v>
      </c>
      <c r="BS32" s="57">
        <f t="shared" si="14"/>
        <v>1</v>
      </c>
      <c r="BT32" s="57">
        <f t="shared" si="14"/>
        <v>1.05</v>
      </c>
      <c r="BU32" s="57">
        <f t="shared" si="14"/>
        <v>1</v>
      </c>
      <c r="BV32" s="57">
        <f t="shared" si="14"/>
        <v>1</v>
      </c>
      <c r="BW32" s="57">
        <f t="shared" si="14"/>
        <v>1</v>
      </c>
      <c r="BX32" s="57">
        <f t="shared" si="14"/>
        <v>1.1000000000000001</v>
      </c>
      <c r="BY32" s="57">
        <f t="shared" si="14"/>
        <v>1.05</v>
      </c>
      <c r="BZ32" s="57">
        <f t="shared" si="14"/>
        <v>1</v>
      </c>
      <c r="CA32" s="57">
        <f t="shared" si="14"/>
        <v>1</v>
      </c>
      <c r="CB32" s="57">
        <f t="shared" si="14"/>
        <v>1</v>
      </c>
      <c r="CC32" s="57">
        <f t="shared" si="14"/>
        <v>1</v>
      </c>
      <c r="CD32" s="57">
        <f t="shared" si="14"/>
        <v>1</v>
      </c>
      <c r="CE32" s="57">
        <f t="shared" si="14"/>
        <v>1</v>
      </c>
      <c r="CO32" t="s">
        <v>309</v>
      </c>
      <c r="CP32" t="s">
        <v>310</v>
      </c>
      <c r="CQ32" t="s">
        <v>311</v>
      </c>
      <c r="CR32" t="s">
        <v>312</v>
      </c>
      <c r="CS32" t="s">
        <v>313</v>
      </c>
      <c r="CT32" t="s">
        <v>314</v>
      </c>
      <c r="CU32" t="s">
        <v>315</v>
      </c>
      <c r="CV32" t="s">
        <v>316</v>
      </c>
      <c r="CX32" s="57">
        <f t="shared" si="0"/>
        <v>0.23563000000000001</v>
      </c>
      <c r="CY32">
        <v>31</v>
      </c>
      <c r="CZ32">
        <v>117815</v>
      </c>
      <c r="DA32" s="65">
        <f t="shared" si="1"/>
        <v>3801</v>
      </c>
      <c r="DB32" s="57">
        <f t="shared" si="2"/>
        <v>0.61083920072171471</v>
      </c>
    </row>
    <row r="33" spans="1:106">
      <c r="A33" s="45" t="s">
        <v>307</v>
      </c>
      <c r="B33" s="57">
        <f t="shared" ref="B33:AG33" si="15">SUM(B2:B6)</f>
        <v>0.33</v>
      </c>
      <c r="C33" s="57">
        <f t="shared" si="15"/>
        <v>0.10000000000000003</v>
      </c>
      <c r="D33" s="57">
        <f t="shared" si="15"/>
        <v>0.35000000000000003</v>
      </c>
      <c r="E33" s="57">
        <f t="shared" si="15"/>
        <v>1</v>
      </c>
      <c r="F33" s="57">
        <f t="shared" si="15"/>
        <v>1.25</v>
      </c>
      <c r="G33" s="57">
        <f t="shared" si="15"/>
        <v>1.3499999999999999</v>
      </c>
      <c r="H33" s="57">
        <f t="shared" si="15"/>
        <v>1.7000000000000002</v>
      </c>
      <c r="I33" s="59">
        <f t="shared" si="15"/>
        <v>1</v>
      </c>
      <c r="J33" s="59">
        <f t="shared" si="15"/>
        <v>1</v>
      </c>
      <c r="K33" s="57">
        <f t="shared" si="15"/>
        <v>0.98</v>
      </c>
      <c r="L33" s="57">
        <f t="shared" si="15"/>
        <v>1.05</v>
      </c>
      <c r="M33" s="57">
        <f t="shared" si="15"/>
        <v>1.35</v>
      </c>
      <c r="N33" s="57">
        <f t="shared" si="15"/>
        <v>1</v>
      </c>
      <c r="O33" s="59">
        <f t="shared" si="15"/>
        <v>5.0000000000000001E-4</v>
      </c>
      <c r="P33" s="57">
        <f t="shared" si="15"/>
        <v>0.9</v>
      </c>
      <c r="Q33" s="57">
        <f t="shared" si="15"/>
        <v>1.65</v>
      </c>
      <c r="R33" s="63">
        <f t="shared" si="15"/>
        <v>1</v>
      </c>
      <c r="S33" s="63">
        <f t="shared" si="15"/>
        <v>99</v>
      </c>
      <c r="T33" s="57">
        <f t="shared" si="15"/>
        <v>1</v>
      </c>
      <c r="U33" s="61">
        <f t="shared" si="15"/>
        <v>0.996</v>
      </c>
      <c r="V33" s="57">
        <f t="shared" si="15"/>
        <v>1</v>
      </c>
      <c r="W33" s="57">
        <f t="shared" si="15"/>
        <v>1.5</v>
      </c>
      <c r="X33" s="57">
        <f t="shared" si="15"/>
        <v>1.2</v>
      </c>
      <c r="Y33" s="57">
        <f t="shared" si="15"/>
        <v>1.5</v>
      </c>
      <c r="Z33" s="57">
        <f t="shared" si="15"/>
        <v>1</v>
      </c>
      <c r="AA33" s="57">
        <f t="shared" si="15"/>
        <v>1.1000000000000001</v>
      </c>
      <c r="AB33" s="57">
        <f t="shared" si="15"/>
        <v>1</v>
      </c>
      <c r="AC33" s="57">
        <f t="shared" si="15"/>
        <v>1</v>
      </c>
      <c r="AD33" s="57">
        <f t="shared" si="15"/>
        <v>1</v>
      </c>
      <c r="AE33" s="57">
        <f t="shared" si="15"/>
        <v>1</v>
      </c>
      <c r="AF33" s="57">
        <f t="shared" si="15"/>
        <v>1.3</v>
      </c>
      <c r="AG33" s="57">
        <f t="shared" si="15"/>
        <v>1.1000000000000001</v>
      </c>
      <c r="AH33" s="57">
        <f t="shared" ref="AH33:BM33" si="16">SUM(AH2:AH6)</f>
        <v>1.6500000000000001</v>
      </c>
      <c r="AI33" s="57">
        <f t="shared" si="16"/>
        <v>1</v>
      </c>
      <c r="AJ33" s="57">
        <f t="shared" si="16"/>
        <v>1</v>
      </c>
      <c r="AK33" s="57">
        <f t="shared" si="16"/>
        <v>1</v>
      </c>
      <c r="AL33" s="57">
        <f t="shared" si="16"/>
        <v>1</v>
      </c>
      <c r="AM33" s="57">
        <f t="shared" si="16"/>
        <v>1</v>
      </c>
      <c r="AN33" s="57">
        <f t="shared" si="16"/>
        <v>1.1000000000000001</v>
      </c>
      <c r="AO33" s="57">
        <f t="shared" si="16"/>
        <v>1</v>
      </c>
      <c r="AP33" s="57">
        <f t="shared" si="16"/>
        <v>1</v>
      </c>
      <c r="AQ33" s="57">
        <f t="shared" si="16"/>
        <v>1.1000000000000001</v>
      </c>
      <c r="AR33" s="57">
        <f t="shared" si="16"/>
        <v>1.1000000000000001</v>
      </c>
      <c r="AS33" s="57">
        <f t="shared" si="16"/>
        <v>1.1000000000000001</v>
      </c>
      <c r="AT33" s="57">
        <f t="shared" si="16"/>
        <v>1</v>
      </c>
      <c r="AU33" s="57">
        <f t="shared" si="16"/>
        <v>1</v>
      </c>
      <c r="AV33" s="57">
        <f t="shared" si="16"/>
        <v>1</v>
      </c>
      <c r="AW33" s="57">
        <f t="shared" si="16"/>
        <v>1</v>
      </c>
      <c r="AX33" s="57">
        <f t="shared" si="16"/>
        <v>1</v>
      </c>
      <c r="AY33" s="57">
        <f t="shared" si="16"/>
        <v>1.2</v>
      </c>
      <c r="AZ33" s="57">
        <f t="shared" si="16"/>
        <v>1.5</v>
      </c>
      <c r="BA33" s="57">
        <f t="shared" si="16"/>
        <v>1.25</v>
      </c>
      <c r="BB33" s="57">
        <f t="shared" si="16"/>
        <v>1.35</v>
      </c>
      <c r="BC33" s="57">
        <f t="shared" si="16"/>
        <v>1.1000000000000001</v>
      </c>
      <c r="BD33" s="57">
        <f t="shared" si="16"/>
        <v>1.2000000000000002</v>
      </c>
      <c r="BE33" s="57">
        <f t="shared" si="16"/>
        <v>1.35</v>
      </c>
      <c r="BF33" s="57">
        <f t="shared" si="16"/>
        <v>1.3000000000000003</v>
      </c>
      <c r="BG33" s="57">
        <f t="shared" si="16"/>
        <v>1</v>
      </c>
      <c r="BH33" s="57">
        <f t="shared" si="16"/>
        <v>1</v>
      </c>
      <c r="BI33" s="57">
        <f t="shared" si="16"/>
        <v>1.1000000000000001</v>
      </c>
      <c r="BJ33" s="57">
        <f t="shared" si="16"/>
        <v>1.05</v>
      </c>
      <c r="BK33" s="57">
        <f t="shared" si="16"/>
        <v>1</v>
      </c>
      <c r="BL33" s="57">
        <f t="shared" si="16"/>
        <v>1</v>
      </c>
      <c r="BM33" s="57">
        <f t="shared" si="16"/>
        <v>1</v>
      </c>
      <c r="BN33" s="57">
        <f t="shared" ref="BN33:CE33" si="17">SUM(BN2:BN6)</f>
        <v>1</v>
      </c>
      <c r="BO33" s="57">
        <f t="shared" si="17"/>
        <v>1</v>
      </c>
      <c r="BP33" s="57">
        <f t="shared" si="17"/>
        <v>1</v>
      </c>
      <c r="BQ33" s="57">
        <f t="shared" si="17"/>
        <v>1</v>
      </c>
      <c r="BR33" s="57">
        <f t="shared" si="17"/>
        <v>1.1000000000000001</v>
      </c>
      <c r="BS33" s="57">
        <f t="shared" si="17"/>
        <v>1</v>
      </c>
      <c r="BT33" s="57">
        <f t="shared" si="17"/>
        <v>1.05</v>
      </c>
      <c r="BU33" s="57">
        <f t="shared" si="17"/>
        <v>1</v>
      </c>
      <c r="BV33" s="57">
        <f t="shared" si="17"/>
        <v>1</v>
      </c>
      <c r="BW33" s="57">
        <f t="shared" si="17"/>
        <v>1</v>
      </c>
      <c r="BX33" s="57">
        <f t="shared" si="17"/>
        <v>1.3</v>
      </c>
      <c r="BY33" s="57">
        <f t="shared" si="17"/>
        <v>1.1500000000000001</v>
      </c>
      <c r="BZ33" s="57">
        <f t="shared" si="17"/>
        <v>1</v>
      </c>
      <c r="CA33" s="57">
        <f t="shared" si="17"/>
        <v>1</v>
      </c>
      <c r="CB33" s="57">
        <f t="shared" si="17"/>
        <v>1</v>
      </c>
      <c r="CC33" s="57">
        <f t="shared" si="17"/>
        <v>1</v>
      </c>
      <c r="CD33" s="57">
        <f t="shared" si="17"/>
        <v>1</v>
      </c>
      <c r="CE33" s="57">
        <f t="shared" si="17"/>
        <v>1</v>
      </c>
      <c r="CO33">
        <v>1110000</v>
      </c>
      <c r="CP33">
        <v>16510</v>
      </c>
      <c r="CQ33">
        <v>3656</v>
      </c>
      <c r="CR33">
        <v>55800</v>
      </c>
      <c r="CS33">
        <v>4112</v>
      </c>
      <c r="CT33">
        <v>500000</v>
      </c>
      <c r="CU33">
        <v>131640</v>
      </c>
      <c r="CV33">
        <v>148620</v>
      </c>
      <c r="CX33" s="57">
        <f t="shared" si="0"/>
        <v>0.24323</v>
      </c>
      <c r="CY33">
        <v>32</v>
      </c>
      <c r="CZ33">
        <v>121615</v>
      </c>
      <c r="DA33" s="65">
        <f t="shared" si="1"/>
        <v>3800</v>
      </c>
      <c r="DB33" s="57">
        <f t="shared" si="2"/>
        <v>0.63054118232628553</v>
      </c>
    </row>
    <row r="34" spans="1:106">
      <c r="A34" s="45" t="s">
        <v>308</v>
      </c>
      <c r="B34" s="57">
        <f t="shared" ref="B34:AG34" si="18">SUM(B2:B7)</f>
        <v>0.37</v>
      </c>
      <c r="C34" s="57">
        <f t="shared" si="18"/>
        <v>0.10000000000000003</v>
      </c>
      <c r="D34" s="57">
        <f t="shared" si="18"/>
        <v>0.4</v>
      </c>
      <c r="E34" s="57">
        <f t="shared" si="18"/>
        <v>1</v>
      </c>
      <c r="F34" s="57">
        <f t="shared" si="18"/>
        <v>1.25</v>
      </c>
      <c r="G34" s="57">
        <f t="shared" si="18"/>
        <v>2.5</v>
      </c>
      <c r="H34" s="57">
        <f t="shared" si="18"/>
        <v>2.0700000000000003</v>
      </c>
      <c r="I34" s="59">
        <f t="shared" si="18"/>
        <v>1</v>
      </c>
      <c r="J34" s="59">
        <f t="shared" si="18"/>
        <v>1</v>
      </c>
      <c r="K34" s="57">
        <f t="shared" si="18"/>
        <v>0.97</v>
      </c>
      <c r="L34" s="57">
        <f t="shared" si="18"/>
        <v>1.0900000000000001</v>
      </c>
      <c r="M34" s="57">
        <f t="shared" si="18"/>
        <v>1.4500000000000002</v>
      </c>
      <c r="N34" s="57">
        <f t="shared" si="18"/>
        <v>0.95</v>
      </c>
      <c r="O34" s="59">
        <f t="shared" si="18"/>
        <v>6.0000000000000006E-4</v>
      </c>
      <c r="P34" s="57">
        <f t="shared" si="18"/>
        <v>0.9</v>
      </c>
      <c r="Q34" s="57">
        <f t="shared" si="18"/>
        <v>1.65</v>
      </c>
      <c r="R34" s="63">
        <f t="shared" si="18"/>
        <v>1</v>
      </c>
      <c r="S34" s="63">
        <f t="shared" si="18"/>
        <v>137</v>
      </c>
      <c r="T34" s="57">
        <f t="shared" si="18"/>
        <v>1</v>
      </c>
      <c r="U34" s="61">
        <f t="shared" si="18"/>
        <v>0.996</v>
      </c>
      <c r="V34" s="57">
        <f t="shared" si="18"/>
        <v>1.5</v>
      </c>
      <c r="W34" s="57">
        <f t="shared" si="18"/>
        <v>1.5</v>
      </c>
      <c r="X34" s="57">
        <f t="shared" si="18"/>
        <v>1.4</v>
      </c>
      <c r="Y34" s="57">
        <f t="shared" si="18"/>
        <v>1.5</v>
      </c>
      <c r="Z34" s="57">
        <f t="shared" si="18"/>
        <v>1</v>
      </c>
      <c r="AA34" s="57">
        <f t="shared" si="18"/>
        <v>1.1000000000000001</v>
      </c>
      <c r="AB34" s="57">
        <f t="shared" si="18"/>
        <v>1</v>
      </c>
      <c r="AC34" s="57">
        <f t="shared" si="18"/>
        <v>1</v>
      </c>
      <c r="AD34" s="57">
        <f t="shared" si="18"/>
        <v>1</v>
      </c>
      <c r="AE34" s="57">
        <f t="shared" si="18"/>
        <v>1</v>
      </c>
      <c r="AF34" s="57">
        <f t="shared" si="18"/>
        <v>1.3</v>
      </c>
      <c r="AG34" s="57">
        <f t="shared" si="18"/>
        <v>1.1000000000000001</v>
      </c>
      <c r="AH34" s="57">
        <f t="shared" ref="AH34:BM34" si="19">SUM(AH2:AH7)</f>
        <v>2</v>
      </c>
      <c r="AI34" s="57">
        <f t="shared" si="19"/>
        <v>2</v>
      </c>
      <c r="AJ34" s="57">
        <f t="shared" si="19"/>
        <v>1</v>
      </c>
      <c r="AK34" s="57">
        <f t="shared" si="19"/>
        <v>1</v>
      </c>
      <c r="AL34" s="57">
        <f t="shared" si="19"/>
        <v>1.1000000000000001</v>
      </c>
      <c r="AM34" s="57">
        <f t="shared" si="19"/>
        <v>1.02</v>
      </c>
      <c r="AN34" s="57">
        <f t="shared" si="19"/>
        <v>1.1000000000000001</v>
      </c>
      <c r="AO34" s="57">
        <f t="shared" si="19"/>
        <v>1.05</v>
      </c>
      <c r="AP34" s="57">
        <f t="shared" si="19"/>
        <v>1.27</v>
      </c>
      <c r="AQ34" s="57">
        <f t="shared" si="19"/>
        <v>1.1000000000000001</v>
      </c>
      <c r="AR34" s="57">
        <f t="shared" si="19"/>
        <v>1.1000000000000001</v>
      </c>
      <c r="AS34" s="57">
        <f t="shared" si="19"/>
        <v>1.25</v>
      </c>
      <c r="AT34" s="57">
        <f t="shared" si="19"/>
        <v>1</v>
      </c>
      <c r="AU34" s="57">
        <f t="shared" si="19"/>
        <v>1</v>
      </c>
      <c r="AV34" s="57">
        <f t="shared" si="19"/>
        <v>1</v>
      </c>
      <c r="AW34" s="57">
        <f t="shared" si="19"/>
        <v>1</v>
      </c>
      <c r="AX34" s="57">
        <f t="shared" si="19"/>
        <v>1.01</v>
      </c>
      <c r="AY34" s="57">
        <f t="shared" si="19"/>
        <v>1.2</v>
      </c>
      <c r="AZ34" s="57">
        <f t="shared" si="19"/>
        <v>1.5</v>
      </c>
      <c r="BA34" s="57">
        <f t="shared" si="19"/>
        <v>1.25</v>
      </c>
      <c r="BB34" s="57">
        <f t="shared" si="19"/>
        <v>1.35</v>
      </c>
      <c r="BC34" s="57">
        <f t="shared" si="19"/>
        <v>1.1000000000000001</v>
      </c>
      <c r="BD34" s="57">
        <f t="shared" si="19"/>
        <v>1.3000000000000003</v>
      </c>
      <c r="BE34" s="57">
        <f t="shared" si="19"/>
        <v>1.4500000000000002</v>
      </c>
      <c r="BF34" s="57">
        <f t="shared" si="19"/>
        <v>1.4000000000000004</v>
      </c>
      <c r="BG34" s="57">
        <f t="shared" si="19"/>
        <v>1</v>
      </c>
      <c r="BH34" s="57">
        <f t="shared" si="19"/>
        <v>1.02</v>
      </c>
      <c r="BI34" s="57">
        <f t="shared" si="19"/>
        <v>1.2000000000000002</v>
      </c>
      <c r="BJ34" s="57">
        <f t="shared" si="19"/>
        <v>1.05</v>
      </c>
      <c r="BK34" s="57">
        <f t="shared" si="19"/>
        <v>1</v>
      </c>
      <c r="BL34" s="57">
        <f t="shared" si="19"/>
        <v>1</v>
      </c>
      <c r="BM34" s="57">
        <f t="shared" si="19"/>
        <v>1.02</v>
      </c>
      <c r="BN34" s="57">
        <f t="shared" ref="BN34:CE34" si="20">SUM(BN2:BN7)</f>
        <v>1.02</v>
      </c>
      <c r="BO34" s="57">
        <f t="shared" si="20"/>
        <v>1</v>
      </c>
      <c r="BP34" s="57">
        <f t="shared" si="20"/>
        <v>1</v>
      </c>
      <c r="BQ34" s="57">
        <f t="shared" si="20"/>
        <v>1</v>
      </c>
      <c r="BR34" s="57">
        <f t="shared" si="20"/>
        <v>1.1000000000000001</v>
      </c>
      <c r="BS34" s="57">
        <f t="shared" si="20"/>
        <v>1.02</v>
      </c>
      <c r="BT34" s="57">
        <f t="shared" si="20"/>
        <v>1.05</v>
      </c>
      <c r="BU34" s="57">
        <f t="shared" si="20"/>
        <v>1.02</v>
      </c>
      <c r="BV34" s="57">
        <f t="shared" si="20"/>
        <v>1</v>
      </c>
      <c r="BW34" s="57">
        <f t="shared" si="20"/>
        <v>1</v>
      </c>
      <c r="BX34" s="57">
        <f t="shared" si="20"/>
        <v>1.55</v>
      </c>
      <c r="BY34" s="57">
        <f t="shared" si="20"/>
        <v>1.2500000000000002</v>
      </c>
      <c r="BZ34" s="57">
        <f t="shared" si="20"/>
        <v>1</v>
      </c>
      <c r="CA34" s="57">
        <f t="shared" si="20"/>
        <v>1</v>
      </c>
      <c r="CB34" s="57">
        <f t="shared" si="20"/>
        <v>1</v>
      </c>
      <c r="CC34" s="57">
        <f t="shared" si="20"/>
        <v>1</v>
      </c>
      <c r="CD34" s="57">
        <f t="shared" si="20"/>
        <v>1</v>
      </c>
      <c r="CE34" s="57">
        <f t="shared" si="20"/>
        <v>1</v>
      </c>
      <c r="CO34">
        <v>68.698999999999998</v>
      </c>
      <c r="CP34">
        <v>3.9590000000000001</v>
      </c>
      <c r="CQ34">
        <v>0.67100000000000004</v>
      </c>
      <c r="CR34">
        <v>8.9510000000000005</v>
      </c>
      <c r="CS34">
        <v>5.0000000000000001E-3</v>
      </c>
      <c r="CT34">
        <v>209.67699999999999</v>
      </c>
      <c r="CU34">
        <v>66.507999999999996</v>
      </c>
      <c r="CV34">
        <v>57.006</v>
      </c>
      <c r="CX34" s="57">
        <f t="shared" ref="CX34:CX52" si="21">CZ34/$CW$2</f>
        <v>0.250832</v>
      </c>
      <c r="CY34">
        <v>33</v>
      </c>
      <c r="CZ34">
        <v>125416</v>
      </c>
      <c r="DA34" s="65">
        <f t="shared" ref="DA34:DA65" si="22">CZ34-CZ33</f>
        <v>3801</v>
      </c>
      <c r="DB34" s="57">
        <f t="shared" ref="DB34:DB52" si="23">CZ34/$CZ$52</f>
        <v>0.65024834866285763</v>
      </c>
    </row>
    <row r="35" spans="1:106">
      <c r="A35" s="45">
        <v>1840</v>
      </c>
      <c r="B35" s="57">
        <f t="shared" ref="B35:AG35" si="24">SUM(B2:B8)</f>
        <v>0.37</v>
      </c>
      <c r="C35" s="57">
        <f t="shared" si="24"/>
        <v>0.10000000000000003</v>
      </c>
      <c r="D35" s="57">
        <f t="shared" si="24"/>
        <v>0.4</v>
      </c>
      <c r="E35" s="57">
        <f t="shared" si="24"/>
        <v>1</v>
      </c>
      <c r="F35" s="57">
        <f t="shared" si="24"/>
        <v>1.25</v>
      </c>
      <c r="G35" s="57">
        <f t="shared" si="24"/>
        <v>2.5</v>
      </c>
      <c r="H35" s="57">
        <f t="shared" si="24"/>
        <v>2.0700000000000003</v>
      </c>
      <c r="I35" s="59">
        <f t="shared" si="24"/>
        <v>1</v>
      </c>
      <c r="J35" s="59">
        <f t="shared" si="24"/>
        <v>1</v>
      </c>
      <c r="K35" s="57">
        <f t="shared" si="24"/>
        <v>0.97</v>
      </c>
      <c r="L35" s="57">
        <f t="shared" si="24"/>
        <v>1.0900000000000001</v>
      </c>
      <c r="M35" s="57">
        <f t="shared" si="24"/>
        <v>1.4500000000000002</v>
      </c>
      <c r="N35" s="57">
        <f t="shared" si="24"/>
        <v>0.95</v>
      </c>
      <c r="O35" s="59">
        <f t="shared" si="24"/>
        <v>6.0000000000000006E-4</v>
      </c>
      <c r="P35" s="57">
        <f t="shared" si="24"/>
        <v>0.9</v>
      </c>
      <c r="Q35" s="57">
        <f t="shared" si="24"/>
        <v>1.65</v>
      </c>
      <c r="R35" s="63">
        <f t="shared" si="24"/>
        <v>2</v>
      </c>
      <c r="S35" s="63">
        <f t="shared" si="24"/>
        <v>144</v>
      </c>
      <c r="T35" s="57">
        <f t="shared" si="24"/>
        <v>1</v>
      </c>
      <c r="U35" s="61">
        <f t="shared" si="24"/>
        <v>0.996</v>
      </c>
      <c r="V35" s="57">
        <f t="shared" si="24"/>
        <v>1.5</v>
      </c>
      <c r="W35" s="57">
        <f t="shared" si="24"/>
        <v>1.5</v>
      </c>
      <c r="X35" s="57">
        <f t="shared" si="24"/>
        <v>1.4</v>
      </c>
      <c r="Y35" s="57">
        <f t="shared" si="24"/>
        <v>2.7</v>
      </c>
      <c r="Z35" s="57">
        <f t="shared" si="24"/>
        <v>1.25</v>
      </c>
      <c r="AA35" s="57">
        <f t="shared" si="24"/>
        <v>1.4000000000000001</v>
      </c>
      <c r="AB35" s="57">
        <f t="shared" si="24"/>
        <v>1.25</v>
      </c>
      <c r="AC35" s="57">
        <f t="shared" si="24"/>
        <v>1</v>
      </c>
      <c r="AD35" s="57">
        <f t="shared" si="24"/>
        <v>1.25</v>
      </c>
      <c r="AE35" s="57">
        <f t="shared" si="24"/>
        <v>1.25</v>
      </c>
      <c r="AF35" s="57">
        <f t="shared" si="24"/>
        <v>1.3</v>
      </c>
      <c r="AG35" s="57">
        <f t="shared" si="24"/>
        <v>1.1000000000000001</v>
      </c>
      <c r="AH35" s="57">
        <f t="shared" ref="AH35:BM35" si="25">SUM(AH2:AH8)</f>
        <v>2</v>
      </c>
      <c r="AI35" s="57">
        <f t="shared" si="25"/>
        <v>2</v>
      </c>
      <c r="AJ35" s="57">
        <f t="shared" si="25"/>
        <v>1</v>
      </c>
      <c r="AK35" s="57">
        <f t="shared" si="25"/>
        <v>1</v>
      </c>
      <c r="AL35" s="57">
        <f t="shared" si="25"/>
        <v>1.1000000000000001</v>
      </c>
      <c r="AM35" s="57">
        <f t="shared" si="25"/>
        <v>1.02</v>
      </c>
      <c r="AN35" s="57">
        <f t="shared" si="25"/>
        <v>1.1000000000000001</v>
      </c>
      <c r="AO35" s="57">
        <f t="shared" si="25"/>
        <v>1.05</v>
      </c>
      <c r="AP35" s="57">
        <f t="shared" si="25"/>
        <v>1.27</v>
      </c>
      <c r="AQ35" s="57">
        <f t="shared" si="25"/>
        <v>1.1000000000000001</v>
      </c>
      <c r="AR35" s="57">
        <f t="shared" si="25"/>
        <v>1.1000000000000001</v>
      </c>
      <c r="AS35" s="57">
        <f t="shared" si="25"/>
        <v>1.25</v>
      </c>
      <c r="AT35" s="57">
        <f t="shared" si="25"/>
        <v>1</v>
      </c>
      <c r="AU35" s="57">
        <f t="shared" si="25"/>
        <v>1</v>
      </c>
      <c r="AV35" s="57">
        <f t="shared" si="25"/>
        <v>1</v>
      </c>
      <c r="AW35" s="57">
        <f t="shared" si="25"/>
        <v>1</v>
      </c>
      <c r="AX35" s="57">
        <f t="shared" si="25"/>
        <v>1.01</v>
      </c>
      <c r="AY35" s="57">
        <f t="shared" si="25"/>
        <v>1.2</v>
      </c>
      <c r="AZ35" s="57">
        <f t="shared" si="25"/>
        <v>1.5</v>
      </c>
      <c r="BA35" s="57">
        <f t="shared" si="25"/>
        <v>1.25</v>
      </c>
      <c r="BB35" s="57">
        <f t="shared" si="25"/>
        <v>1.35</v>
      </c>
      <c r="BC35" s="57">
        <f t="shared" si="25"/>
        <v>1.1000000000000001</v>
      </c>
      <c r="BD35" s="57">
        <f t="shared" si="25"/>
        <v>1.3000000000000003</v>
      </c>
      <c r="BE35" s="57">
        <f t="shared" si="25"/>
        <v>1.4500000000000002</v>
      </c>
      <c r="BF35" s="57">
        <f t="shared" si="25"/>
        <v>1.4000000000000004</v>
      </c>
      <c r="BG35" s="57">
        <f t="shared" si="25"/>
        <v>1</v>
      </c>
      <c r="BH35" s="57">
        <f t="shared" si="25"/>
        <v>1.02</v>
      </c>
      <c r="BI35" s="57">
        <f t="shared" si="25"/>
        <v>1.2000000000000002</v>
      </c>
      <c r="BJ35" s="57">
        <f t="shared" si="25"/>
        <v>1.05</v>
      </c>
      <c r="BK35" s="57">
        <f t="shared" si="25"/>
        <v>1</v>
      </c>
      <c r="BL35" s="57">
        <f t="shared" si="25"/>
        <v>1</v>
      </c>
      <c r="BM35" s="57">
        <f t="shared" si="25"/>
        <v>1.02</v>
      </c>
      <c r="BN35" s="57">
        <f t="shared" ref="BN35:CE35" si="26">SUM(BN2:BN8)</f>
        <v>1.02</v>
      </c>
      <c r="BO35" s="57">
        <f t="shared" si="26"/>
        <v>1</v>
      </c>
      <c r="BP35" s="57">
        <f t="shared" si="26"/>
        <v>1</v>
      </c>
      <c r="BQ35" s="57">
        <f t="shared" si="26"/>
        <v>1</v>
      </c>
      <c r="BR35" s="57">
        <f t="shared" si="26"/>
        <v>1.1000000000000001</v>
      </c>
      <c r="BS35" s="57">
        <f t="shared" si="26"/>
        <v>1.02</v>
      </c>
      <c r="BT35" s="57">
        <f t="shared" si="26"/>
        <v>1.05</v>
      </c>
      <c r="BU35" s="57">
        <f t="shared" si="26"/>
        <v>1.02</v>
      </c>
      <c r="BV35" s="57">
        <f t="shared" si="26"/>
        <v>1</v>
      </c>
      <c r="BW35" s="57">
        <f t="shared" si="26"/>
        <v>1</v>
      </c>
      <c r="BX35" s="57">
        <f t="shared" si="26"/>
        <v>1.55</v>
      </c>
      <c r="BY35" s="57">
        <f t="shared" si="26"/>
        <v>1.2500000000000002</v>
      </c>
      <c r="BZ35" s="57">
        <f t="shared" si="26"/>
        <v>1.1000000000000001</v>
      </c>
      <c r="CA35" s="57">
        <f t="shared" si="26"/>
        <v>1.1000000000000001</v>
      </c>
      <c r="CB35" s="57">
        <f t="shared" si="26"/>
        <v>1</v>
      </c>
      <c r="CC35" s="57">
        <f t="shared" si="26"/>
        <v>1</v>
      </c>
      <c r="CD35" s="57">
        <f t="shared" si="26"/>
        <v>1</v>
      </c>
      <c r="CE35" s="57">
        <f t="shared" si="26"/>
        <v>1</v>
      </c>
      <c r="CO35" s="63">
        <f t="shared" ref="CO35:CV35" si="27">CO34/CO33</f>
        <v>6.1890990990990988E-5</v>
      </c>
      <c r="CP35" s="63">
        <f t="shared" si="27"/>
        <v>2.3979406420351302E-4</v>
      </c>
      <c r="CQ35" s="63">
        <f t="shared" si="27"/>
        <v>1.8353391684901532E-4</v>
      </c>
      <c r="CR35" s="63">
        <f t="shared" si="27"/>
        <v>1.6041218637992833E-4</v>
      </c>
      <c r="CS35" s="63">
        <f t="shared" si="27"/>
        <v>1.2159533073929962E-6</v>
      </c>
      <c r="CT35" s="63">
        <f t="shared" si="27"/>
        <v>4.1935399999999998E-4</v>
      </c>
      <c r="CU35" s="63">
        <f t="shared" si="27"/>
        <v>5.052263749620176E-4</v>
      </c>
      <c r="CV35" s="63">
        <f t="shared" si="27"/>
        <v>3.8356883326604762E-4</v>
      </c>
      <c r="CX35" s="57">
        <f t="shared" si="21"/>
        <v>0.258432</v>
      </c>
      <c r="CY35">
        <v>34</v>
      </c>
      <c r="CZ35">
        <v>129216</v>
      </c>
      <c r="DA35" s="65">
        <f t="shared" si="22"/>
        <v>3800</v>
      </c>
      <c r="DB35" s="57">
        <f t="shared" si="23"/>
        <v>0.66995033026742845</v>
      </c>
    </row>
    <row r="36" spans="1:106">
      <c r="A36" s="45">
        <v>1848</v>
      </c>
      <c r="B36" s="57">
        <f t="shared" ref="B36:AG36" si="28">SUM(B2:B9)</f>
        <v>0.37</v>
      </c>
      <c r="C36" s="57">
        <f t="shared" si="28"/>
        <v>0.10000000000000003</v>
      </c>
      <c r="D36" s="57">
        <f t="shared" si="28"/>
        <v>0.4</v>
      </c>
      <c r="E36" s="57">
        <f t="shared" si="28"/>
        <v>1</v>
      </c>
      <c r="F36" s="57">
        <f t="shared" si="28"/>
        <v>1.25</v>
      </c>
      <c r="G36" s="57">
        <f t="shared" si="28"/>
        <v>2.5</v>
      </c>
      <c r="H36" s="57">
        <f t="shared" si="28"/>
        <v>2.0700000000000003</v>
      </c>
      <c r="I36" s="59">
        <f t="shared" si="28"/>
        <v>1</v>
      </c>
      <c r="J36" s="59">
        <f t="shared" si="28"/>
        <v>1</v>
      </c>
      <c r="K36" s="57">
        <f t="shared" si="28"/>
        <v>0.97</v>
      </c>
      <c r="L36" s="57">
        <f t="shared" si="28"/>
        <v>1.0900000000000001</v>
      </c>
      <c r="M36" s="57">
        <f t="shared" si="28"/>
        <v>1.4500000000000002</v>
      </c>
      <c r="N36" s="57">
        <f t="shared" si="28"/>
        <v>0.95</v>
      </c>
      <c r="O36" s="59">
        <f t="shared" si="28"/>
        <v>6.0000000000000006E-4</v>
      </c>
      <c r="P36" s="57">
        <f t="shared" si="28"/>
        <v>0.9</v>
      </c>
      <c r="Q36" s="57">
        <f t="shared" si="28"/>
        <v>1.65</v>
      </c>
      <c r="R36" s="63">
        <f t="shared" si="28"/>
        <v>2</v>
      </c>
      <c r="S36" s="63">
        <f t="shared" si="28"/>
        <v>147</v>
      </c>
      <c r="T36" s="57">
        <f t="shared" si="28"/>
        <v>1</v>
      </c>
      <c r="U36" s="61">
        <f t="shared" si="28"/>
        <v>0.996</v>
      </c>
      <c r="V36" s="57">
        <f t="shared" si="28"/>
        <v>1.5</v>
      </c>
      <c r="W36" s="57">
        <f t="shared" si="28"/>
        <v>1.5</v>
      </c>
      <c r="X36" s="57">
        <f t="shared" si="28"/>
        <v>1.4</v>
      </c>
      <c r="Y36" s="57">
        <f t="shared" si="28"/>
        <v>2.7</v>
      </c>
      <c r="Z36" s="57">
        <f t="shared" si="28"/>
        <v>1.25</v>
      </c>
      <c r="AA36" s="57">
        <f t="shared" si="28"/>
        <v>1.4000000000000001</v>
      </c>
      <c r="AB36" s="57">
        <f t="shared" si="28"/>
        <v>1.25</v>
      </c>
      <c r="AC36" s="57">
        <f t="shared" si="28"/>
        <v>1</v>
      </c>
      <c r="AD36" s="57">
        <f t="shared" si="28"/>
        <v>1.25</v>
      </c>
      <c r="AE36" s="57">
        <f t="shared" si="28"/>
        <v>1.25</v>
      </c>
      <c r="AF36" s="57">
        <f t="shared" si="28"/>
        <v>1.3</v>
      </c>
      <c r="AG36" s="57">
        <f t="shared" si="28"/>
        <v>1.1000000000000001</v>
      </c>
      <c r="AH36" s="57">
        <f t="shared" ref="AH36:BM36" si="29">SUM(AH2:AH9)</f>
        <v>2</v>
      </c>
      <c r="AI36" s="57">
        <f t="shared" si="29"/>
        <v>2</v>
      </c>
      <c r="AJ36" s="57">
        <f t="shared" si="29"/>
        <v>1</v>
      </c>
      <c r="AK36" s="57">
        <f t="shared" si="29"/>
        <v>1</v>
      </c>
      <c r="AL36" s="57">
        <f t="shared" si="29"/>
        <v>1.1000000000000001</v>
      </c>
      <c r="AM36" s="57">
        <f t="shared" si="29"/>
        <v>1.02</v>
      </c>
      <c r="AN36" s="57">
        <f t="shared" si="29"/>
        <v>1.1000000000000001</v>
      </c>
      <c r="AO36" s="57">
        <f t="shared" si="29"/>
        <v>1.05</v>
      </c>
      <c r="AP36" s="57">
        <f t="shared" si="29"/>
        <v>1.27</v>
      </c>
      <c r="AQ36" s="57">
        <f t="shared" si="29"/>
        <v>1.1000000000000001</v>
      </c>
      <c r="AR36" s="57">
        <f t="shared" si="29"/>
        <v>1.1000000000000001</v>
      </c>
      <c r="AS36" s="57">
        <f t="shared" si="29"/>
        <v>1.25</v>
      </c>
      <c r="AT36" s="57">
        <f t="shared" si="29"/>
        <v>1</v>
      </c>
      <c r="AU36" s="57">
        <f t="shared" si="29"/>
        <v>1</v>
      </c>
      <c r="AV36" s="57">
        <f t="shared" si="29"/>
        <v>1</v>
      </c>
      <c r="AW36" s="57">
        <f t="shared" si="29"/>
        <v>1</v>
      </c>
      <c r="AX36" s="57">
        <f t="shared" si="29"/>
        <v>1.01</v>
      </c>
      <c r="AY36" s="57">
        <f t="shared" si="29"/>
        <v>1.2</v>
      </c>
      <c r="AZ36" s="57">
        <f t="shared" si="29"/>
        <v>1.5</v>
      </c>
      <c r="BA36" s="57">
        <f t="shared" si="29"/>
        <v>1.25</v>
      </c>
      <c r="BB36" s="57">
        <f t="shared" si="29"/>
        <v>1.35</v>
      </c>
      <c r="BC36" s="57">
        <f t="shared" si="29"/>
        <v>1.1000000000000001</v>
      </c>
      <c r="BD36" s="57">
        <f t="shared" si="29"/>
        <v>1.3000000000000003</v>
      </c>
      <c r="BE36" s="57">
        <f t="shared" si="29"/>
        <v>1.4500000000000002</v>
      </c>
      <c r="BF36" s="57">
        <f t="shared" si="29"/>
        <v>1.4000000000000004</v>
      </c>
      <c r="BG36" s="57">
        <f t="shared" si="29"/>
        <v>1</v>
      </c>
      <c r="BH36" s="57">
        <f t="shared" si="29"/>
        <v>1.02</v>
      </c>
      <c r="BI36" s="57">
        <f t="shared" si="29"/>
        <v>1.2000000000000002</v>
      </c>
      <c r="BJ36" s="57">
        <f t="shared" si="29"/>
        <v>1.05</v>
      </c>
      <c r="BK36" s="57">
        <f t="shared" si="29"/>
        <v>1</v>
      </c>
      <c r="BL36" s="57">
        <f t="shared" si="29"/>
        <v>1</v>
      </c>
      <c r="BM36" s="57">
        <f t="shared" si="29"/>
        <v>1.02</v>
      </c>
      <c r="BN36" s="57">
        <f t="shared" ref="BN36:CE36" si="30">SUM(BN2:BN9)</f>
        <v>1.02</v>
      </c>
      <c r="BO36" s="57">
        <f t="shared" si="30"/>
        <v>1</v>
      </c>
      <c r="BP36" s="57">
        <f t="shared" si="30"/>
        <v>1</v>
      </c>
      <c r="BQ36" s="57">
        <f t="shared" si="30"/>
        <v>1</v>
      </c>
      <c r="BR36" s="57">
        <f t="shared" si="30"/>
        <v>1.1000000000000001</v>
      </c>
      <c r="BS36" s="57">
        <f t="shared" si="30"/>
        <v>1.02</v>
      </c>
      <c r="BT36" s="57">
        <f t="shared" si="30"/>
        <v>1.05</v>
      </c>
      <c r="BU36" s="57">
        <f t="shared" si="30"/>
        <v>1.02</v>
      </c>
      <c r="BV36" s="57">
        <f t="shared" si="30"/>
        <v>1</v>
      </c>
      <c r="BW36" s="57">
        <f t="shared" si="30"/>
        <v>1</v>
      </c>
      <c r="BX36" s="57">
        <f t="shared" si="30"/>
        <v>1.55</v>
      </c>
      <c r="BY36" s="57">
        <f t="shared" si="30"/>
        <v>1.2500000000000002</v>
      </c>
      <c r="BZ36" s="57">
        <f t="shared" si="30"/>
        <v>1.1000000000000001</v>
      </c>
      <c r="CA36" s="57">
        <f t="shared" si="30"/>
        <v>1.1000000000000001</v>
      </c>
      <c r="CB36" s="57">
        <f t="shared" si="30"/>
        <v>1</v>
      </c>
      <c r="CC36" s="57">
        <f t="shared" si="30"/>
        <v>1</v>
      </c>
      <c r="CD36" s="57">
        <f t="shared" si="30"/>
        <v>1</v>
      </c>
      <c r="CE36" s="57">
        <f t="shared" si="30"/>
        <v>1</v>
      </c>
      <c r="CX36" s="57">
        <f t="shared" si="21"/>
        <v>0.26603199999999999</v>
      </c>
      <c r="CY36">
        <v>35</v>
      </c>
      <c r="CZ36">
        <v>133016</v>
      </c>
      <c r="DA36" s="65">
        <f t="shared" si="22"/>
        <v>3800</v>
      </c>
      <c r="DB36" s="57">
        <f t="shared" si="23"/>
        <v>0.68965231187199938</v>
      </c>
    </row>
    <row r="37" spans="1:106">
      <c r="A37" s="45">
        <v>1850</v>
      </c>
      <c r="B37" s="57">
        <f t="shared" ref="B37:AG37" si="31">SUM(B2:B10)</f>
        <v>0.47</v>
      </c>
      <c r="C37" s="57">
        <f t="shared" si="31"/>
        <v>0.10000000000000003</v>
      </c>
      <c r="D37" s="57">
        <f t="shared" si="31"/>
        <v>0.45</v>
      </c>
      <c r="E37" s="57">
        <f t="shared" si="31"/>
        <v>1</v>
      </c>
      <c r="F37" s="57">
        <f t="shared" si="31"/>
        <v>1.25</v>
      </c>
      <c r="G37" s="57">
        <f t="shared" si="31"/>
        <v>2.65</v>
      </c>
      <c r="H37" s="57">
        <f t="shared" si="31"/>
        <v>2.7700000000000005</v>
      </c>
      <c r="I37" s="59">
        <f t="shared" si="31"/>
        <v>1</v>
      </c>
      <c r="J37" s="59">
        <f t="shared" si="31"/>
        <v>1</v>
      </c>
      <c r="K37" s="57">
        <f t="shared" si="31"/>
        <v>0.96</v>
      </c>
      <c r="L37" s="57">
        <f t="shared" si="31"/>
        <v>1.1600000000000001</v>
      </c>
      <c r="M37" s="57">
        <f t="shared" si="31"/>
        <v>1.6</v>
      </c>
      <c r="N37" s="57">
        <f t="shared" si="31"/>
        <v>0.87</v>
      </c>
      <c r="O37" s="59">
        <f t="shared" si="31"/>
        <v>6.0000000000000006E-4</v>
      </c>
      <c r="P37" s="57">
        <f t="shared" si="31"/>
        <v>0.9</v>
      </c>
      <c r="Q37" s="57">
        <f t="shared" si="31"/>
        <v>2.4500000000000002</v>
      </c>
      <c r="R37" s="63">
        <f t="shared" si="31"/>
        <v>3</v>
      </c>
      <c r="S37" s="63">
        <f t="shared" si="31"/>
        <v>147</v>
      </c>
      <c r="T37" s="57">
        <f t="shared" si="31"/>
        <v>1</v>
      </c>
      <c r="U37" s="61">
        <f t="shared" si="31"/>
        <v>0.996</v>
      </c>
      <c r="V37" s="57">
        <f t="shared" si="31"/>
        <v>1.5</v>
      </c>
      <c r="W37" s="57">
        <f t="shared" si="31"/>
        <v>1.5</v>
      </c>
      <c r="X37" s="57">
        <f t="shared" si="31"/>
        <v>1.4</v>
      </c>
      <c r="Y37" s="57">
        <f t="shared" si="31"/>
        <v>3.35</v>
      </c>
      <c r="Z37" s="57">
        <f t="shared" si="31"/>
        <v>1.5</v>
      </c>
      <c r="AA37" s="57">
        <f t="shared" si="31"/>
        <v>1.6500000000000001</v>
      </c>
      <c r="AB37" s="57">
        <f t="shared" si="31"/>
        <v>1.5</v>
      </c>
      <c r="AC37" s="57">
        <f t="shared" si="31"/>
        <v>1</v>
      </c>
      <c r="AD37" s="57">
        <f t="shared" si="31"/>
        <v>2.75</v>
      </c>
      <c r="AE37" s="57">
        <f t="shared" si="31"/>
        <v>1.5</v>
      </c>
      <c r="AF37" s="57">
        <f t="shared" si="31"/>
        <v>1.6</v>
      </c>
      <c r="AG37" s="57">
        <f t="shared" si="31"/>
        <v>1.1000000000000001</v>
      </c>
      <c r="AH37" s="57">
        <f t="shared" ref="AH37:BM37" si="32">SUM(AH2:AH10)</f>
        <v>2.6</v>
      </c>
      <c r="AI37" s="57">
        <f t="shared" si="32"/>
        <v>2</v>
      </c>
      <c r="AJ37" s="57">
        <f t="shared" si="32"/>
        <v>1.1000000000000001</v>
      </c>
      <c r="AK37" s="57">
        <f t="shared" si="32"/>
        <v>1.4</v>
      </c>
      <c r="AL37" s="57">
        <f t="shared" si="32"/>
        <v>1.25</v>
      </c>
      <c r="AM37" s="57">
        <f t="shared" si="32"/>
        <v>1.02</v>
      </c>
      <c r="AN37" s="57">
        <f t="shared" si="32"/>
        <v>1.1000000000000001</v>
      </c>
      <c r="AO37" s="57">
        <f t="shared" si="32"/>
        <v>1.05</v>
      </c>
      <c r="AP37" s="57">
        <f t="shared" si="32"/>
        <v>1.27</v>
      </c>
      <c r="AQ37" s="57">
        <f t="shared" si="32"/>
        <v>1.1000000000000001</v>
      </c>
      <c r="AR37" s="57">
        <f t="shared" si="32"/>
        <v>1.1000000000000001</v>
      </c>
      <c r="AS37" s="57">
        <f t="shared" si="32"/>
        <v>1.25</v>
      </c>
      <c r="AT37" s="57">
        <f t="shared" si="32"/>
        <v>1</v>
      </c>
      <c r="AU37" s="57">
        <f t="shared" si="32"/>
        <v>1</v>
      </c>
      <c r="AV37" s="57">
        <f t="shared" si="32"/>
        <v>1</v>
      </c>
      <c r="AW37" s="57">
        <f t="shared" si="32"/>
        <v>1</v>
      </c>
      <c r="AX37" s="57">
        <f t="shared" si="32"/>
        <v>1.01</v>
      </c>
      <c r="AY37" s="57">
        <f t="shared" si="32"/>
        <v>1.5</v>
      </c>
      <c r="AZ37" s="57">
        <f t="shared" si="32"/>
        <v>1.6</v>
      </c>
      <c r="BA37" s="57">
        <f t="shared" si="32"/>
        <v>1.25</v>
      </c>
      <c r="BB37" s="57">
        <f t="shared" si="32"/>
        <v>1.35</v>
      </c>
      <c r="BC37" s="57">
        <f t="shared" si="32"/>
        <v>1.1000000000000001</v>
      </c>
      <c r="BD37" s="57">
        <f t="shared" si="32"/>
        <v>1.6500000000000004</v>
      </c>
      <c r="BE37" s="57">
        <f t="shared" si="32"/>
        <v>1.9500000000000002</v>
      </c>
      <c r="BF37" s="57">
        <f t="shared" si="32"/>
        <v>2.2500000000000004</v>
      </c>
      <c r="BG37" s="57">
        <f t="shared" si="32"/>
        <v>1.2</v>
      </c>
      <c r="BH37" s="57">
        <f t="shared" si="32"/>
        <v>1.07</v>
      </c>
      <c r="BI37" s="57">
        <f t="shared" si="32"/>
        <v>1.5000000000000002</v>
      </c>
      <c r="BJ37" s="57">
        <f t="shared" si="32"/>
        <v>1.05</v>
      </c>
      <c r="BK37" s="57">
        <f t="shared" si="32"/>
        <v>1.1000000000000001</v>
      </c>
      <c r="BL37" s="57">
        <f t="shared" si="32"/>
        <v>1</v>
      </c>
      <c r="BM37" s="57">
        <f t="shared" si="32"/>
        <v>1.02</v>
      </c>
      <c r="BN37" s="57">
        <f t="shared" ref="BN37:CE37" si="33">SUM(BN2:BN10)</f>
        <v>1.02</v>
      </c>
      <c r="BO37" s="57">
        <f t="shared" si="33"/>
        <v>1</v>
      </c>
      <c r="BP37" s="57">
        <f t="shared" si="33"/>
        <v>1</v>
      </c>
      <c r="BQ37" s="57">
        <f t="shared" si="33"/>
        <v>1</v>
      </c>
      <c r="BR37" s="57">
        <f t="shared" si="33"/>
        <v>1.1000000000000001</v>
      </c>
      <c r="BS37" s="57">
        <f t="shared" si="33"/>
        <v>1.02</v>
      </c>
      <c r="BT37" s="57">
        <f t="shared" si="33"/>
        <v>1.1500000000000001</v>
      </c>
      <c r="BU37" s="57">
        <f t="shared" si="33"/>
        <v>1.07</v>
      </c>
      <c r="BV37" s="57">
        <f t="shared" si="33"/>
        <v>1</v>
      </c>
      <c r="BW37" s="57">
        <f t="shared" si="33"/>
        <v>1</v>
      </c>
      <c r="BX37" s="57">
        <f t="shared" si="33"/>
        <v>1.8</v>
      </c>
      <c r="BY37" s="57">
        <f t="shared" si="33"/>
        <v>1.3500000000000003</v>
      </c>
      <c r="BZ37" s="57">
        <f t="shared" si="33"/>
        <v>1.2000000000000002</v>
      </c>
      <c r="CA37" s="57">
        <f t="shared" si="33"/>
        <v>1.2000000000000002</v>
      </c>
      <c r="CB37" s="57">
        <f t="shared" si="33"/>
        <v>1.5</v>
      </c>
      <c r="CC37" s="57">
        <f t="shared" si="33"/>
        <v>1.2</v>
      </c>
      <c r="CD37" s="57">
        <f t="shared" si="33"/>
        <v>1.1000000000000001</v>
      </c>
      <c r="CE37" s="57">
        <f t="shared" si="33"/>
        <v>1.5</v>
      </c>
      <c r="CX37" s="57">
        <f t="shared" si="21"/>
        <v>0.27363399999999999</v>
      </c>
      <c r="CY37">
        <v>36</v>
      </c>
      <c r="CZ37">
        <v>136817</v>
      </c>
      <c r="DA37" s="65">
        <f t="shared" si="22"/>
        <v>3801</v>
      </c>
      <c r="DB37" s="57">
        <f t="shared" si="23"/>
        <v>0.70935947820857137</v>
      </c>
    </row>
    <row r="38" spans="1:106">
      <c r="A38" s="45">
        <v>1855</v>
      </c>
      <c r="B38" s="57">
        <f t="shared" ref="B38:AG38" si="34">SUM(B2:B11)</f>
        <v>0.47</v>
      </c>
      <c r="C38" s="57">
        <f t="shared" si="34"/>
        <v>0.10000000000000003</v>
      </c>
      <c r="D38" s="57">
        <f t="shared" si="34"/>
        <v>0.45</v>
      </c>
      <c r="E38" s="57">
        <f t="shared" si="34"/>
        <v>1</v>
      </c>
      <c r="F38" s="57">
        <f t="shared" si="34"/>
        <v>1.25</v>
      </c>
      <c r="G38" s="57">
        <f t="shared" si="34"/>
        <v>2.65</v>
      </c>
      <c r="H38" s="57">
        <f t="shared" si="34"/>
        <v>2.7700000000000005</v>
      </c>
      <c r="I38" s="59">
        <f t="shared" si="34"/>
        <v>1</v>
      </c>
      <c r="J38" s="59">
        <f t="shared" si="34"/>
        <v>1</v>
      </c>
      <c r="K38" s="57">
        <f t="shared" si="34"/>
        <v>0.96</v>
      </c>
      <c r="L38" s="57">
        <f t="shared" si="34"/>
        <v>1.1600000000000001</v>
      </c>
      <c r="M38" s="57">
        <f t="shared" si="34"/>
        <v>1.6</v>
      </c>
      <c r="N38" s="57">
        <f t="shared" si="34"/>
        <v>0.87</v>
      </c>
      <c r="O38" s="59">
        <f t="shared" si="34"/>
        <v>6.0000000000000006E-4</v>
      </c>
      <c r="P38" s="57">
        <f t="shared" si="34"/>
        <v>0.9</v>
      </c>
      <c r="Q38" s="57">
        <f t="shared" si="34"/>
        <v>2.4500000000000002</v>
      </c>
      <c r="R38" s="63">
        <f t="shared" si="34"/>
        <v>3</v>
      </c>
      <c r="S38" s="63">
        <f t="shared" si="34"/>
        <v>147</v>
      </c>
      <c r="T38" s="57">
        <f t="shared" si="34"/>
        <v>1</v>
      </c>
      <c r="U38" s="61">
        <f t="shared" si="34"/>
        <v>0.996</v>
      </c>
      <c r="V38" s="57">
        <f t="shared" si="34"/>
        <v>1.5</v>
      </c>
      <c r="W38" s="57">
        <f t="shared" si="34"/>
        <v>1.5</v>
      </c>
      <c r="X38" s="57">
        <f t="shared" si="34"/>
        <v>1.4</v>
      </c>
      <c r="Y38" s="57">
        <f t="shared" si="34"/>
        <v>3.35</v>
      </c>
      <c r="Z38" s="57">
        <f t="shared" si="34"/>
        <v>1.5</v>
      </c>
      <c r="AA38" s="57">
        <f t="shared" si="34"/>
        <v>1.6500000000000001</v>
      </c>
      <c r="AB38" s="57">
        <f t="shared" si="34"/>
        <v>1.5</v>
      </c>
      <c r="AC38" s="57">
        <f t="shared" si="34"/>
        <v>1</v>
      </c>
      <c r="AD38" s="57">
        <f t="shared" si="34"/>
        <v>2.75</v>
      </c>
      <c r="AE38" s="57">
        <f t="shared" si="34"/>
        <v>1.5</v>
      </c>
      <c r="AF38" s="57">
        <f t="shared" si="34"/>
        <v>1.6</v>
      </c>
      <c r="AG38" s="57">
        <f t="shared" si="34"/>
        <v>1.1000000000000001</v>
      </c>
      <c r="AH38" s="57">
        <f t="shared" ref="AH38:BM38" si="35">SUM(AH2:AH11)</f>
        <v>2.6</v>
      </c>
      <c r="AI38" s="57">
        <f t="shared" si="35"/>
        <v>2</v>
      </c>
      <c r="AJ38" s="57">
        <f t="shared" si="35"/>
        <v>1.1000000000000001</v>
      </c>
      <c r="AK38" s="57">
        <f t="shared" si="35"/>
        <v>1.4</v>
      </c>
      <c r="AL38" s="57">
        <f t="shared" si="35"/>
        <v>1.25</v>
      </c>
      <c r="AM38" s="57">
        <f t="shared" si="35"/>
        <v>1.02</v>
      </c>
      <c r="AN38" s="57">
        <f t="shared" si="35"/>
        <v>1.1000000000000001</v>
      </c>
      <c r="AO38" s="57">
        <f t="shared" si="35"/>
        <v>1.05</v>
      </c>
      <c r="AP38" s="57">
        <f t="shared" si="35"/>
        <v>1.27</v>
      </c>
      <c r="AQ38" s="57">
        <f t="shared" si="35"/>
        <v>1.1000000000000001</v>
      </c>
      <c r="AR38" s="57">
        <f t="shared" si="35"/>
        <v>1.1000000000000001</v>
      </c>
      <c r="AS38" s="57">
        <f t="shared" si="35"/>
        <v>1.25</v>
      </c>
      <c r="AT38" s="57">
        <f t="shared" si="35"/>
        <v>1</v>
      </c>
      <c r="AU38" s="57">
        <f t="shared" si="35"/>
        <v>1</v>
      </c>
      <c r="AV38" s="57">
        <f t="shared" si="35"/>
        <v>1</v>
      </c>
      <c r="AW38" s="57">
        <f t="shared" si="35"/>
        <v>1</v>
      </c>
      <c r="AX38" s="57">
        <f t="shared" si="35"/>
        <v>1.01</v>
      </c>
      <c r="AY38" s="57">
        <f t="shared" si="35"/>
        <v>1.5</v>
      </c>
      <c r="AZ38" s="57">
        <f t="shared" si="35"/>
        <v>1.6</v>
      </c>
      <c r="BA38" s="57">
        <f t="shared" si="35"/>
        <v>1.25</v>
      </c>
      <c r="BB38" s="57">
        <f t="shared" si="35"/>
        <v>1.35</v>
      </c>
      <c r="BC38" s="57">
        <f t="shared" si="35"/>
        <v>1.1000000000000001</v>
      </c>
      <c r="BD38" s="57">
        <f t="shared" si="35"/>
        <v>1.6500000000000004</v>
      </c>
      <c r="BE38" s="57">
        <f t="shared" si="35"/>
        <v>1.9500000000000002</v>
      </c>
      <c r="BF38" s="57">
        <f t="shared" si="35"/>
        <v>2.2500000000000004</v>
      </c>
      <c r="BG38" s="57">
        <f t="shared" si="35"/>
        <v>1.2</v>
      </c>
      <c r="BH38" s="57">
        <f t="shared" si="35"/>
        <v>1.07</v>
      </c>
      <c r="BI38" s="57">
        <f t="shared" si="35"/>
        <v>1.5000000000000002</v>
      </c>
      <c r="BJ38" s="57">
        <f t="shared" si="35"/>
        <v>1.05</v>
      </c>
      <c r="BK38" s="57">
        <f t="shared" si="35"/>
        <v>1.1000000000000001</v>
      </c>
      <c r="BL38" s="57">
        <f t="shared" si="35"/>
        <v>1</v>
      </c>
      <c r="BM38" s="57">
        <f t="shared" si="35"/>
        <v>1.02</v>
      </c>
      <c r="BN38" s="57">
        <f t="shared" ref="BN38:CE38" si="36">SUM(BN2:BN11)</f>
        <v>1.02</v>
      </c>
      <c r="BO38" s="57">
        <f t="shared" si="36"/>
        <v>1</v>
      </c>
      <c r="BP38" s="57">
        <f t="shared" si="36"/>
        <v>1</v>
      </c>
      <c r="BQ38" s="57">
        <f t="shared" si="36"/>
        <v>1</v>
      </c>
      <c r="BR38" s="57">
        <f t="shared" si="36"/>
        <v>1.1000000000000001</v>
      </c>
      <c r="BS38" s="57">
        <f t="shared" si="36"/>
        <v>1.02</v>
      </c>
      <c r="BT38" s="57">
        <f t="shared" si="36"/>
        <v>1.1500000000000001</v>
      </c>
      <c r="BU38" s="57">
        <f t="shared" si="36"/>
        <v>1.07</v>
      </c>
      <c r="BV38" s="57">
        <f t="shared" si="36"/>
        <v>1</v>
      </c>
      <c r="BW38" s="57">
        <f t="shared" si="36"/>
        <v>1</v>
      </c>
      <c r="BX38" s="57">
        <f t="shared" si="36"/>
        <v>1.8</v>
      </c>
      <c r="BY38" s="57">
        <f t="shared" si="36"/>
        <v>1.3500000000000003</v>
      </c>
      <c r="BZ38" s="57">
        <f t="shared" si="36"/>
        <v>1.2000000000000002</v>
      </c>
      <c r="CA38" s="57">
        <f t="shared" si="36"/>
        <v>1.2000000000000002</v>
      </c>
      <c r="CB38" s="57">
        <f t="shared" si="36"/>
        <v>1.5</v>
      </c>
      <c r="CC38" s="57">
        <f t="shared" si="36"/>
        <v>1.2</v>
      </c>
      <c r="CD38" s="57">
        <f t="shared" si="36"/>
        <v>1.1000000000000001</v>
      </c>
      <c r="CE38" s="57">
        <f t="shared" si="36"/>
        <v>1.5</v>
      </c>
      <c r="CX38" s="57">
        <f t="shared" si="21"/>
        <v>0.28083399999999997</v>
      </c>
      <c r="CY38">
        <v>37</v>
      </c>
      <c r="CZ38">
        <v>140417</v>
      </c>
      <c r="DA38" s="65">
        <f t="shared" si="22"/>
        <v>3600</v>
      </c>
      <c r="DB38" s="57">
        <f t="shared" si="23"/>
        <v>0.72802451341290164</v>
      </c>
    </row>
    <row r="39" spans="1:106">
      <c r="A39" s="45">
        <v>1860</v>
      </c>
      <c r="B39" s="57">
        <f t="shared" ref="B39:AG39" si="37">SUM(B2:B12)</f>
        <v>0.47</v>
      </c>
      <c r="C39" s="57">
        <f t="shared" si="37"/>
        <v>0.10000000000000003</v>
      </c>
      <c r="D39" s="57">
        <f t="shared" si="37"/>
        <v>0.45</v>
      </c>
      <c r="E39" s="57">
        <f t="shared" si="37"/>
        <v>1</v>
      </c>
      <c r="F39" s="57">
        <f t="shared" si="37"/>
        <v>1.25</v>
      </c>
      <c r="G39" s="57">
        <f t="shared" si="37"/>
        <v>2.65</v>
      </c>
      <c r="H39" s="57">
        <f t="shared" si="37"/>
        <v>2.7700000000000005</v>
      </c>
      <c r="I39" s="59">
        <f t="shared" si="37"/>
        <v>1</v>
      </c>
      <c r="J39" s="59">
        <f t="shared" si="37"/>
        <v>1</v>
      </c>
      <c r="K39" s="57">
        <f t="shared" si="37"/>
        <v>0.96</v>
      </c>
      <c r="L39" s="57">
        <f t="shared" si="37"/>
        <v>1.1600000000000001</v>
      </c>
      <c r="M39" s="57">
        <f t="shared" si="37"/>
        <v>1.6</v>
      </c>
      <c r="N39" s="57">
        <f t="shared" si="37"/>
        <v>0.87</v>
      </c>
      <c r="O39" s="59">
        <f t="shared" si="37"/>
        <v>6.0000000000000006E-4</v>
      </c>
      <c r="P39" s="57">
        <f t="shared" si="37"/>
        <v>0.9</v>
      </c>
      <c r="Q39" s="57">
        <f t="shared" si="37"/>
        <v>2.4500000000000002</v>
      </c>
      <c r="R39" s="63">
        <f t="shared" si="37"/>
        <v>3</v>
      </c>
      <c r="S39" s="63">
        <f t="shared" si="37"/>
        <v>147</v>
      </c>
      <c r="T39" s="57">
        <f t="shared" si="37"/>
        <v>1</v>
      </c>
      <c r="U39" s="61">
        <f t="shared" si="37"/>
        <v>0.996</v>
      </c>
      <c r="V39" s="57">
        <f t="shared" si="37"/>
        <v>1.5</v>
      </c>
      <c r="W39" s="57">
        <f t="shared" si="37"/>
        <v>1.5</v>
      </c>
      <c r="X39" s="57">
        <f t="shared" si="37"/>
        <v>1.4</v>
      </c>
      <c r="Y39" s="57">
        <f t="shared" si="37"/>
        <v>3.35</v>
      </c>
      <c r="Z39" s="57">
        <f t="shared" si="37"/>
        <v>1.5</v>
      </c>
      <c r="AA39" s="57">
        <f t="shared" si="37"/>
        <v>1.6500000000000001</v>
      </c>
      <c r="AB39" s="57">
        <f t="shared" si="37"/>
        <v>1.5</v>
      </c>
      <c r="AC39" s="57">
        <f t="shared" si="37"/>
        <v>1.05</v>
      </c>
      <c r="AD39" s="57">
        <f t="shared" si="37"/>
        <v>2.75</v>
      </c>
      <c r="AE39" s="57">
        <f t="shared" si="37"/>
        <v>1.5</v>
      </c>
      <c r="AF39" s="57">
        <f t="shared" si="37"/>
        <v>1.6</v>
      </c>
      <c r="AG39" s="57">
        <f t="shared" si="37"/>
        <v>1.1000000000000001</v>
      </c>
      <c r="AH39" s="57">
        <f t="shared" ref="AH39:BM39" si="38">SUM(AH2:AH12)</f>
        <v>2.6</v>
      </c>
      <c r="AI39" s="57">
        <f t="shared" si="38"/>
        <v>2</v>
      </c>
      <c r="AJ39" s="57">
        <f t="shared" si="38"/>
        <v>1.1000000000000001</v>
      </c>
      <c r="AK39" s="57">
        <f t="shared" si="38"/>
        <v>1.4</v>
      </c>
      <c r="AL39" s="57">
        <f t="shared" si="38"/>
        <v>1.25</v>
      </c>
      <c r="AM39" s="57">
        <f t="shared" si="38"/>
        <v>1.02</v>
      </c>
      <c r="AN39" s="57">
        <f t="shared" si="38"/>
        <v>1.1000000000000001</v>
      </c>
      <c r="AO39" s="57">
        <f t="shared" si="38"/>
        <v>1.1000000000000001</v>
      </c>
      <c r="AP39" s="57">
        <f t="shared" si="38"/>
        <v>1.27</v>
      </c>
      <c r="AQ39" s="57">
        <f t="shared" si="38"/>
        <v>1.1000000000000001</v>
      </c>
      <c r="AR39" s="57">
        <f t="shared" si="38"/>
        <v>1.1000000000000001</v>
      </c>
      <c r="AS39" s="57">
        <f t="shared" si="38"/>
        <v>1.25</v>
      </c>
      <c r="AT39" s="57">
        <f t="shared" si="38"/>
        <v>1</v>
      </c>
      <c r="AU39" s="57">
        <f t="shared" si="38"/>
        <v>1</v>
      </c>
      <c r="AV39" s="57">
        <f t="shared" si="38"/>
        <v>1.05</v>
      </c>
      <c r="AW39" s="57">
        <f t="shared" si="38"/>
        <v>1</v>
      </c>
      <c r="AX39" s="57">
        <f t="shared" si="38"/>
        <v>1.01</v>
      </c>
      <c r="AY39" s="57">
        <f t="shared" si="38"/>
        <v>1.5</v>
      </c>
      <c r="AZ39" s="57">
        <f t="shared" si="38"/>
        <v>1.6</v>
      </c>
      <c r="BA39" s="57">
        <f t="shared" si="38"/>
        <v>1.25</v>
      </c>
      <c r="BB39" s="57">
        <f t="shared" si="38"/>
        <v>1.35</v>
      </c>
      <c r="BC39" s="57">
        <f t="shared" si="38"/>
        <v>1.1000000000000001</v>
      </c>
      <c r="BD39" s="57">
        <f t="shared" si="38"/>
        <v>1.6500000000000004</v>
      </c>
      <c r="BE39" s="57">
        <f t="shared" si="38"/>
        <v>1.9500000000000002</v>
      </c>
      <c r="BF39" s="57">
        <f t="shared" si="38"/>
        <v>2.2500000000000004</v>
      </c>
      <c r="BG39" s="57">
        <f t="shared" si="38"/>
        <v>1.2</v>
      </c>
      <c r="BH39" s="57">
        <f t="shared" si="38"/>
        <v>1.07</v>
      </c>
      <c r="BI39" s="57">
        <f t="shared" si="38"/>
        <v>1.5000000000000002</v>
      </c>
      <c r="BJ39" s="57">
        <f t="shared" si="38"/>
        <v>1.05</v>
      </c>
      <c r="BK39" s="57">
        <f t="shared" si="38"/>
        <v>1.1000000000000001</v>
      </c>
      <c r="BL39" s="57">
        <f t="shared" si="38"/>
        <v>1</v>
      </c>
      <c r="BM39" s="57">
        <f t="shared" si="38"/>
        <v>1.02</v>
      </c>
      <c r="BN39" s="57">
        <f t="shared" ref="BN39:CE39" si="39">SUM(BN2:BN12)</f>
        <v>1.02</v>
      </c>
      <c r="BO39" s="57">
        <f t="shared" si="39"/>
        <v>1</v>
      </c>
      <c r="BP39" s="57">
        <f t="shared" si="39"/>
        <v>1</v>
      </c>
      <c r="BQ39" s="57">
        <f t="shared" si="39"/>
        <v>1</v>
      </c>
      <c r="BR39" s="57">
        <f t="shared" si="39"/>
        <v>1.1000000000000001</v>
      </c>
      <c r="BS39" s="57">
        <f t="shared" si="39"/>
        <v>1.02</v>
      </c>
      <c r="BT39" s="57">
        <f t="shared" si="39"/>
        <v>1.1500000000000001</v>
      </c>
      <c r="BU39" s="57">
        <f t="shared" si="39"/>
        <v>1.07</v>
      </c>
      <c r="BV39" s="57">
        <f t="shared" si="39"/>
        <v>1</v>
      </c>
      <c r="BW39" s="57">
        <f t="shared" si="39"/>
        <v>1</v>
      </c>
      <c r="BX39" s="57">
        <f t="shared" si="39"/>
        <v>1.8</v>
      </c>
      <c r="BY39" s="57">
        <f t="shared" si="39"/>
        <v>1.3500000000000003</v>
      </c>
      <c r="BZ39" s="57">
        <f t="shared" si="39"/>
        <v>1.2000000000000002</v>
      </c>
      <c r="CA39" s="57">
        <f t="shared" si="39"/>
        <v>1.2000000000000002</v>
      </c>
      <c r="CB39" s="57">
        <f t="shared" si="39"/>
        <v>1.5</v>
      </c>
      <c r="CC39" s="57">
        <f t="shared" si="39"/>
        <v>1.2</v>
      </c>
      <c r="CD39" s="57">
        <f t="shared" si="39"/>
        <v>1.1000000000000001</v>
      </c>
      <c r="CE39" s="57">
        <f t="shared" si="39"/>
        <v>1.5</v>
      </c>
      <c r="CX39" s="57">
        <f t="shared" si="21"/>
        <v>0.28883599999999998</v>
      </c>
      <c r="CY39">
        <v>38</v>
      </c>
      <c r="CZ39">
        <v>144418</v>
      </c>
      <c r="DA39" s="65">
        <f t="shared" si="22"/>
        <v>4001</v>
      </c>
      <c r="DB39" s="57">
        <f t="shared" si="23"/>
        <v>0.74876862614971429</v>
      </c>
    </row>
    <row r="40" spans="1:106">
      <c r="A40" s="45">
        <v>1870</v>
      </c>
      <c r="B40" s="57">
        <f t="shared" ref="B40:AG40" si="40">SUM(B2:B13)</f>
        <v>0.54</v>
      </c>
      <c r="C40" s="57">
        <f t="shared" si="40"/>
        <v>0.10000000000000003</v>
      </c>
      <c r="D40" s="57">
        <f t="shared" si="40"/>
        <v>0.5</v>
      </c>
      <c r="E40" s="57">
        <f t="shared" si="40"/>
        <v>1</v>
      </c>
      <c r="F40" s="57">
        <f t="shared" si="40"/>
        <v>1.25</v>
      </c>
      <c r="G40" s="57">
        <f t="shared" si="40"/>
        <v>2.65</v>
      </c>
      <c r="H40" s="57">
        <f t="shared" si="40"/>
        <v>2.7700000000000005</v>
      </c>
      <c r="I40" s="59">
        <f t="shared" si="40"/>
        <v>1</v>
      </c>
      <c r="J40" s="59">
        <f t="shared" si="40"/>
        <v>1</v>
      </c>
      <c r="K40" s="57">
        <f t="shared" si="40"/>
        <v>0.91999999999999993</v>
      </c>
      <c r="L40" s="57">
        <f t="shared" si="40"/>
        <v>1.1700000000000002</v>
      </c>
      <c r="M40" s="57">
        <f t="shared" si="40"/>
        <v>1.75</v>
      </c>
      <c r="N40" s="57">
        <f t="shared" si="40"/>
        <v>0.71</v>
      </c>
      <c r="O40" s="59">
        <f t="shared" si="40"/>
        <v>7.000000000000001E-4</v>
      </c>
      <c r="P40" s="57">
        <f t="shared" si="40"/>
        <v>0.7</v>
      </c>
      <c r="Q40" s="57">
        <f t="shared" si="40"/>
        <v>3.25</v>
      </c>
      <c r="R40" s="63">
        <f t="shared" si="40"/>
        <v>4</v>
      </c>
      <c r="S40" s="63">
        <f t="shared" si="40"/>
        <v>147</v>
      </c>
      <c r="T40" s="57">
        <f t="shared" si="40"/>
        <v>1</v>
      </c>
      <c r="U40" s="61">
        <f t="shared" si="40"/>
        <v>0.996</v>
      </c>
      <c r="V40" s="57">
        <f t="shared" si="40"/>
        <v>1.7</v>
      </c>
      <c r="W40" s="57">
        <f t="shared" si="40"/>
        <v>1.7</v>
      </c>
      <c r="X40" s="57">
        <f t="shared" si="40"/>
        <v>1.5999999999999999</v>
      </c>
      <c r="Y40" s="57">
        <f t="shared" si="40"/>
        <v>4.5</v>
      </c>
      <c r="Z40" s="57">
        <f t="shared" si="40"/>
        <v>2.5</v>
      </c>
      <c r="AA40" s="57">
        <f t="shared" si="40"/>
        <v>1.85</v>
      </c>
      <c r="AB40" s="57">
        <f t="shared" si="40"/>
        <v>2.5</v>
      </c>
      <c r="AC40" s="57">
        <f t="shared" si="40"/>
        <v>1.05</v>
      </c>
      <c r="AD40" s="57">
        <f t="shared" si="40"/>
        <v>3.4</v>
      </c>
      <c r="AE40" s="57">
        <f t="shared" si="40"/>
        <v>2.5</v>
      </c>
      <c r="AF40" s="57">
        <f t="shared" si="40"/>
        <v>1.6</v>
      </c>
      <c r="AG40" s="57">
        <f t="shared" si="40"/>
        <v>1.1000000000000001</v>
      </c>
      <c r="AH40" s="57">
        <f t="shared" ref="AH40:BM40" si="41">SUM(AH2:AH13)</f>
        <v>2.95</v>
      </c>
      <c r="AI40" s="57">
        <f t="shared" si="41"/>
        <v>2</v>
      </c>
      <c r="AJ40" s="57">
        <f t="shared" si="41"/>
        <v>1.1000000000000001</v>
      </c>
      <c r="AK40" s="57">
        <f t="shared" si="41"/>
        <v>1.4</v>
      </c>
      <c r="AL40" s="57">
        <f t="shared" si="41"/>
        <v>1.25</v>
      </c>
      <c r="AM40" s="57">
        <f t="shared" si="41"/>
        <v>1.02</v>
      </c>
      <c r="AN40" s="57">
        <f t="shared" si="41"/>
        <v>1.1000000000000001</v>
      </c>
      <c r="AO40" s="57">
        <f t="shared" si="41"/>
        <v>1.1000000000000001</v>
      </c>
      <c r="AP40" s="57">
        <f t="shared" si="41"/>
        <v>1.3</v>
      </c>
      <c r="AQ40" s="57">
        <f t="shared" si="41"/>
        <v>1.1000000000000001</v>
      </c>
      <c r="AR40" s="57">
        <f t="shared" si="41"/>
        <v>1.1500000000000001</v>
      </c>
      <c r="AS40" s="57">
        <f t="shared" si="41"/>
        <v>1.3</v>
      </c>
      <c r="AT40" s="57">
        <f t="shared" si="41"/>
        <v>1.05</v>
      </c>
      <c r="AU40" s="57">
        <f t="shared" si="41"/>
        <v>1</v>
      </c>
      <c r="AV40" s="57">
        <f t="shared" si="41"/>
        <v>1.05</v>
      </c>
      <c r="AW40" s="57">
        <f t="shared" si="41"/>
        <v>1</v>
      </c>
      <c r="AX40" s="57">
        <f t="shared" si="41"/>
        <v>1.01</v>
      </c>
      <c r="AY40" s="57">
        <f t="shared" si="41"/>
        <v>1.9</v>
      </c>
      <c r="AZ40" s="57">
        <f t="shared" si="41"/>
        <v>1.75</v>
      </c>
      <c r="BA40" s="57">
        <f t="shared" si="41"/>
        <v>1.45</v>
      </c>
      <c r="BB40" s="57">
        <f t="shared" si="41"/>
        <v>1.35</v>
      </c>
      <c r="BC40" s="57">
        <f t="shared" si="41"/>
        <v>1.1000000000000001</v>
      </c>
      <c r="BD40" s="57">
        <f t="shared" si="41"/>
        <v>2.5000000000000004</v>
      </c>
      <c r="BE40" s="57">
        <f t="shared" si="41"/>
        <v>2.25</v>
      </c>
      <c r="BF40" s="57">
        <f t="shared" si="41"/>
        <v>2.7500000000000004</v>
      </c>
      <c r="BG40" s="57">
        <f t="shared" si="41"/>
        <v>1.2</v>
      </c>
      <c r="BH40" s="57">
        <f t="shared" si="41"/>
        <v>1.0900000000000001</v>
      </c>
      <c r="BI40" s="57">
        <f t="shared" si="41"/>
        <v>1.5500000000000003</v>
      </c>
      <c r="BJ40" s="57">
        <f t="shared" si="41"/>
        <v>1.05</v>
      </c>
      <c r="BK40" s="57">
        <f t="shared" si="41"/>
        <v>1.1000000000000001</v>
      </c>
      <c r="BL40" s="57">
        <f t="shared" si="41"/>
        <v>1</v>
      </c>
      <c r="BM40" s="57">
        <f t="shared" si="41"/>
        <v>1.02</v>
      </c>
      <c r="BN40" s="57">
        <f t="shared" ref="BN40:CE40" si="42">SUM(BN2:BN13)</f>
        <v>1.02</v>
      </c>
      <c r="BO40" s="57">
        <f t="shared" si="42"/>
        <v>1.03</v>
      </c>
      <c r="BP40" s="57">
        <f t="shared" si="42"/>
        <v>1.03</v>
      </c>
      <c r="BQ40" s="57">
        <f t="shared" si="42"/>
        <v>1</v>
      </c>
      <c r="BR40" s="57">
        <f t="shared" si="42"/>
        <v>1.1300000000000001</v>
      </c>
      <c r="BS40" s="57">
        <f t="shared" si="42"/>
        <v>1.05</v>
      </c>
      <c r="BT40" s="57">
        <f t="shared" si="42"/>
        <v>1.2200000000000002</v>
      </c>
      <c r="BU40" s="57">
        <f t="shared" si="42"/>
        <v>1.07</v>
      </c>
      <c r="BV40" s="57">
        <f t="shared" si="42"/>
        <v>1.03</v>
      </c>
      <c r="BW40" s="57">
        <f t="shared" si="42"/>
        <v>1</v>
      </c>
      <c r="BX40" s="57">
        <f t="shared" si="42"/>
        <v>2.2000000000000002</v>
      </c>
      <c r="BY40" s="57">
        <f t="shared" si="42"/>
        <v>1.4500000000000004</v>
      </c>
      <c r="BZ40" s="57">
        <f t="shared" si="42"/>
        <v>1.4000000000000001</v>
      </c>
      <c r="CA40" s="57">
        <f t="shared" si="42"/>
        <v>1.4000000000000001</v>
      </c>
      <c r="CB40" s="57">
        <f t="shared" si="42"/>
        <v>1.5</v>
      </c>
      <c r="CC40" s="57">
        <f t="shared" si="42"/>
        <v>1.2</v>
      </c>
      <c r="CD40" s="57">
        <f t="shared" si="42"/>
        <v>1.1000000000000001</v>
      </c>
      <c r="CE40" s="57">
        <f t="shared" si="42"/>
        <v>1.5</v>
      </c>
      <c r="CQ40" t="s">
        <v>317</v>
      </c>
      <c r="CR40" t="s">
        <v>318</v>
      </c>
      <c r="CS40" t="s">
        <v>319</v>
      </c>
      <c r="CU40">
        <v>0.15</v>
      </c>
      <c r="CV40">
        <v>9.6969999999999992</v>
      </c>
      <c r="CW40">
        <f>CV40/CV41</f>
        <v>0.71427519151443719</v>
      </c>
      <c r="CX40" s="57">
        <f t="shared" si="21"/>
        <v>0.29643599999999998</v>
      </c>
      <c r="CY40">
        <v>39</v>
      </c>
      <c r="CZ40">
        <v>148218</v>
      </c>
      <c r="DA40" s="65">
        <f t="shared" si="22"/>
        <v>3800</v>
      </c>
      <c r="DB40" s="57">
        <f t="shared" si="23"/>
        <v>0.76847060775428522</v>
      </c>
    </row>
    <row r="41" spans="1:106">
      <c r="A41" s="45">
        <v>1872</v>
      </c>
      <c r="B41" s="57">
        <f t="shared" ref="B41:AG41" si="43">SUM(B2:B14)</f>
        <v>0.54</v>
      </c>
      <c r="C41" s="57">
        <f t="shared" si="43"/>
        <v>0.10000000000000003</v>
      </c>
      <c r="D41" s="57">
        <f t="shared" si="43"/>
        <v>0.5</v>
      </c>
      <c r="E41" s="57">
        <f t="shared" si="43"/>
        <v>1</v>
      </c>
      <c r="F41" s="57">
        <f t="shared" si="43"/>
        <v>1.25</v>
      </c>
      <c r="G41" s="57">
        <f t="shared" si="43"/>
        <v>2.65</v>
      </c>
      <c r="H41" s="57">
        <f t="shared" si="43"/>
        <v>2.7700000000000005</v>
      </c>
      <c r="I41" s="59">
        <f t="shared" si="43"/>
        <v>1</v>
      </c>
      <c r="J41" s="59">
        <f t="shared" si="43"/>
        <v>1</v>
      </c>
      <c r="K41" s="57">
        <f t="shared" si="43"/>
        <v>0.91999999999999993</v>
      </c>
      <c r="L41" s="57">
        <f t="shared" si="43"/>
        <v>1.1700000000000002</v>
      </c>
      <c r="M41" s="57">
        <f t="shared" si="43"/>
        <v>1.75</v>
      </c>
      <c r="N41" s="57">
        <f t="shared" si="43"/>
        <v>0.71</v>
      </c>
      <c r="O41" s="59">
        <f t="shared" si="43"/>
        <v>7.000000000000001E-4</v>
      </c>
      <c r="P41" s="57">
        <f t="shared" si="43"/>
        <v>0.7</v>
      </c>
      <c r="Q41" s="57">
        <f t="shared" si="43"/>
        <v>3.25</v>
      </c>
      <c r="R41" s="63">
        <f t="shared" si="43"/>
        <v>4</v>
      </c>
      <c r="S41" s="63">
        <f t="shared" si="43"/>
        <v>147</v>
      </c>
      <c r="T41" s="57">
        <f t="shared" si="43"/>
        <v>1</v>
      </c>
      <c r="U41" s="61">
        <f t="shared" si="43"/>
        <v>0.996</v>
      </c>
      <c r="V41" s="57">
        <f t="shared" si="43"/>
        <v>1.7</v>
      </c>
      <c r="W41" s="57">
        <f t="shared" si="43"/>
        <v>1.7</v>
      </c>
      <c r="X41" s="57">
        <f t="shared" si="43"/>
        <v>1.5999999999999999</v>
      </c>
      <c r="Y41" s="57">
        <f t="shared" si="43"/>
        <v>4.5</v>
      </c>
      <c r="Z41" s="57">
        <f t="shared" si="43"/>
        <v>2.5</v>
      </c>
      <c r="AA41" s="57">
        <f t="shared" si="43"/>
        <v>1.85</v>
      </c>
      <c r="AB41" s="57">
        <f t="shared" si="43"/>
        <v>2.5</v>
      </c>
      <c r="AC41" s="57">
        <f t="shared" si="43"/>
        <v>1.05</v>
      </c>
      <c r="AD41" s="57">
        <f t="shared" si="43"/>
        <v>3.4</v>
      </c>
      <c r="AE41" s="57">
        <f t="shared" si="43"/>
        <v>2.5</v>
      </c>
      <c r="AF41" s="57">
        <f t="shared" si="43"/>
        <v>1.6</v>
      </c>
      <c r="AG41" s="57">
        <f t="shared" si="43"/>
        <v>1.1000000000000001</v>
      </c>
      <c r="AH41" s="57">
        <f t="shared" ref="AH41:BM41" si="44">SUM(AH2:AH14)</f>
        <v>2.95</v>
      </c>
      <c r="AI41" s="57">
        <f t="shared" si="44"/>
        <v>2</v>
      </c>
      <c r="AJ41" s="57">
        <f t="shared" si="44"/>
        <v>1.1000000000000001</v>
      </c>
      <c r="AK41" s="57">
        <f t="shared" si="44"/>
        <v>1.4</v>
      </c>
      <c r="AL41" s="57">
        <f t="shared" si="44"/>
        <v>1.25</v>
      </c>
      <c r="AM41" s="57">
        <f t="shared" si="44"/>
        <v>1.02</v>
      </c>
      <c r="AN41" s="57">
        <f t="shared" si="44"/>
        <v>1.1000000000000001</v>
      </c>
      <c r="AO41" s="57">
        <f t="shared" si="44"/>
        <v>1.1000000000000001</v>
      </c>
      <c r="AP41" s="57">
        <f t="shared" si="44"/>
        <v>1.3</v>
      </c>
      <c r="AQ41" s="57">
        <f t="shared" si="44"/>
        <v>1.1000000000000001</v>
      </c>
      <c r="AR41" s="57">
        <f t="shared" si="44"/>
        <v>1.1500000000000001</v>
      </c>
      <c r="AS41" s="57">
        <f t="shared" si="44"/>
        <v>1.3</v>
      </c>
      <c r="AT41" s="57">
        <f t="shared" si="44"/>
        <v>1.05</v>
      </c>
      <c r="AU41" s="57">
        <f t="shared" si="44"/>
        <v>1</v>
      </c>
      <c r="AV41" s="57">
        <f t="shared" si="44"/>
        <v>1.05</v>
      </c>
      <c r="AW41" s="57">
        <f t="shared" si="44"/>
        <v>1</v>
      </c>
      <c r="AX41" s="57">
        <f t="shared" si="44"/>
        <v>1.01</v>
      </c>
      <c r="AY41" s="57">
        <f t="shared" si="44"/>
        <v>1.9</v>
      </c>
      <c r="AZ41" s="57">
        <f t="shared" si="44"/>
        <v>1.75</v>
      </c>
      <c r="BA41" s="57">
        <f t="shared" si="44"/>
        <v>1.45</v>
      </c>
      <c r="BB41" s="57">
        <f t="shared" si="44"/>
        <v>1.35</v>
      </c>
      <c r="BC41" s="57">
        <f t="shared" si="44"/>
        <v>1.1000000000000001</v>
      </c>
      <c r="BD41" s="57">
        <f t="shared" si="44"/>
        <v>2.5000000000000004</v>
      </c>
      <c r="BE41" s="57">
        <f t="shared" si="44"/>
        <v>2.25</v>
      </c>
      <c r="BF41" s="57">
        <f t="shared" si="44"/>
        <v>2.7500000000000004</v>
      </c>
      <c r="BG41" s="57">
        <f t="shared" si="44"/>
        <v>1.2</v>
      </c>
      <c r="BH41" s="57">
        <f t="shared" si="44"/>
        <v>1.0900000000000001</v>
      </c>
      <c r="BI41" s="57">
        <f t="shared" si="44"/>
        <v>1.5500000000000003</v>
      </c>
      <c r="BJ41" s="57">
        <f t="shared" si="44"/>
        <v>1.05</v>
      </c>
      <c r="BK41" s="57">
        <f t="shared" si="44"/>
        <v>1.1000000000000001</v>
      </c>
      <c r="BL41" s="57">
        <f t="shared" si="44"/>
        <v>1</v>
      </c>
      <c r="BM41" s="57">
        <f t="shared" si="44"/>
        <v>1.02</v>
      </c>
      <c r="BN41" s="57">
        <f t="shared" ref="BN41:CE41" si="45">SUM(BN2:BN14)</f>
        <v>1.02</v>
      </c>
      <c r="BO41" s="57">
        <f t="shared" si="45"/>
        <v>1.03</v>
      </c>
      <c r="BP41" s="57">
        <f t="shared" si="45"/>
        <v>1.03</v>
      </c>
      <c r="BQ41" s="57">
        <f t="shared" si="45"/>
        <v>1</v>
      </c>
      <c r="BR41" s="57">
        <f t="shared" si="45"/>
        <v>1.1300000000000001</v>
      </c>
      <c r="BS41" s="57">
        <f t="shared" si="45"/>
        <v>1.05</v>
      </c>
      <c r="BT41" s="57">
        <f t="shared" si="45"/>
        <v>1.2200000000000002</v>
      </c>
      <c r="BU41" s="57">
        <f t="shared" si="45"/>
        <v>1.07</v>
      </c>
      <c r="BV41" s="57">
        <f t="shared" si="45"/>
        <v>1.03</v>
      </c>
      <c r="BW41" s="57">
        <f t="shared" si="45"/>
        <v>1</v>
      </c>
      <c r="BX41" s="57">
        <f t="shared" si="45"/>
        <v>2.2000000000000002</v>
      </c>
      <c r="BY41" s="57">
        <f t="shared" si="45"/>
        <v>1.4500000000000004</v>
      </c>
      <c r="BZ41" s="57">
        <f t="shared" si="45"/>
        <v>1.4000000000000001</v>
      </c>
      <c r="CA41" s="57">
        <f t="shared" si="45"/>
        <v>1.4000000000000001</v>
      </c>
      <c r="CB41" s="57">
        <f t="shared" si="45"/>
        <v>1.5</v>
      </c>
      <c r="CC41" s="57">
        <f t="shared" si="45"/>
        <v>1.2</v>
      </c>
      <c r="CD41" s="57">
        <f t="shared" si="45"/>
        <v>1.1000000000000001</v>
      </c>
      <c r="CE41" s="57">
        <f t="shared" si="45"/>
        <v>1.5</v>
      </c>
      <c r="CP41">
        <v>56000</v>
      </c>
      <c r="CQ41">
        <v>35.799999999999997</v>
      </c>
      <c r="CR41" s="57">
        <v>0.35</v>
      </c>
      <c r="CS41">
        <f>CQ41*CR41</f>
        <v>12.529999999999998</v>
      </c>
      <c r="CU41">
        <v>0.35</v>
      </c>
      <c r="CV41">
        <v>13.576000000000001</v>
      </c>
      <c r="CW41">
        <f>CV41/CV40</f>
        <v>1.4000206249355474</v>
      </c>
      <c r="CX41" s="57">
        <f t="shared" si="21"/>
        <v>0.30403799999999997</v>
      </c>
      <c r="CY41">
        <v>40</v>
      </c>
      <c r="CZ41">
        <v>152019</v>
      </c>
      <c r="DA41" s="65">
        <f t="shared" si="22"/>
        <v>3801</v>
      </c>
      <c r="DB41" s="57">
        <f t="shared" si="23"/>
        <v>0.78817777409085721</v>
      </c>
    </row>
    <row r="42" spans="1:106">
      <c r="A42" s="45">
        <v>1875</v>
      </c>
      <c r="B42" s="57">
        <f t="shared" ref="B42:AG42" si="46">SUM(B2:B15)</f>
        <v>0.54</v>
      </c>
      <c r="C42" s="57">
        <f t="shared" si="46"/>
        <v>0.10000000000000003</v>
      </c>
      <c r="D42" s="57">
        <f t="shared" si="46"/>
        <v>0.5</v>
      </c>
      <c r="E42" s="57">
        <f t="shared" si="46"/>
        <v>1</v>
      </c>
      <c r="F42" s="57">
        <f t="shared" si="46"/>
        <v>1.25</v>
      </c>
      <c r="G42" s="57">
        <f t="shared" si="46"/>
        <v>2.65</v>
      </c>
      <c r="H42" s="57">
        <f t="shared" si="46"/>
        <v>2.7700000000000005</v>
      </c>
      <c r="I42" s="59">
        <f t="shared" si="46"/>
        <v>1</v>
      </c>
      <c r="J42" s="59">
        <f t="shared" si="46"/>
        <v>1</v>
      </c>
      <c r="K42" s="57">
        <f t="shared" si="46"/>
        <v>0.91999999999999993</v>
      </c>
      <c r="L42" s="57">
        <f t="shared" si="46"/>
        <v>1.1700000000000002</v>
      </c>
      <c r="M42" s="57">
        <f t="shared" si="46"/>
        <v>1.75</v>
      </c>
      <c r="N42" s="57">
        <f t="shared" si="46"/>
        <v>0.71</v>
      </c>
      <c r="O42" s="59">
        <f t="shared" si="46"/>
        <v>7.000000000000001E-4</v>
      </c>
      <c r="P42" s="57">
        <f t="shared" si="46"/>
        <v>0.7</v>
      </c>
      <c r="Q42" s="57">
        <f t="shared" si="46"/>
        <v>3.25</v>
      </c>
      <c r="R42" s="63">
        <f t="shared" si="46"/>
        <v>4</v>
      </c>
      <c r="S42" s="63">
        <f t="shared" si="46"/>
        <v>147</v>
      </c>
      <c r="T42" s="57">
        <f t="shared" si="46"/>
        <v>1</v>
      </c>
      <c r="U42" s="61">
        <f t="shared" si="46"/>
        <v>0.996</v>
      </c>
      <c r="V42" s="57">
        <f t="shared" si="46"/>
        <v>1.7</v>
      </c>
      <c r="W42" s="57">
        <f t="shared" si="46"/>
        <v>1.7</v>
      </c>
      <c r="X42" s="57">
        <f t="shared" si="46"/>
        <v>1.5999999999999999</v>
      </c>
      <c r="Y42" s="57">
        <f t="shared" si="46"/>
        <v>4.5</v>
      </c>
      <c r="Z42" s="57">
        <f t="shared" si="46"/>
        <v>2.5</v>
      </c>
      <c r="AA42" s="57">
        <f t="shared" si="46"/>
        <v>1.85</v>
      </c>
      <c r="AB42" s="57">
        <f t="shared" si="46"/>
        <v>2.5</v>
      </c>
      <c r="AC42" s="57">
        <f t="shared" si="46"/>
        <v>1.05</v>
      </c>
      <c r="AD42" s="57">
        <f t="shared" si="46"/>
        <v>3.4</v>
      </c>
      <c r="AE42" s="57">
        <f t="shared" si="46"/>
        <v>2.5</v>
      </c>
      <c r="AF42" s="57">
        <f t="shared" si="46"/>
        <v>1.6</v>
      </c>
      <c r="AG42" s="57">
        <f t="shared" si="46"/>
        <v>1.1000000000000001</v>
      </c>
      <c r="AH42" s="57">
        <f t="shared" ref="AH42:BM42" si="47">SUM(AH2:AH15)</f>
        <v>2.95</v>
      </c>
      <c r="AI42" s="57">
        <f t="shared" si="47"/>
        <v>2</v>
      </c>
      <c r="AJ42" s="57">
        <f t="shared" si="47"/>
        <v>1.1000000000000001</v>
      </c>
      <c r="AK42" s="57">
        <f t="shared" si="47"/>
        <v>1.4</v>
      </c>
      <c r="AL42" s="57">
        <f t="shared" si="47"/>
        <v>1.25</v>
      </c>
      <c r="AM42" s="57">
        <f t="shared" si="47"/>
        <v>1.02</v>
      </c>
      <c r="AN42" s="57">
        <f t="shared" si="47"/>
        <v>1.1000000000000001</v>
      </c>
      <c r="AO42" s="57">
        <f t="shared" si="47"/>
        <v>1.1000000000000001</v>
      </c>
      <c r="AP42" s="57">
        <f t="shared" si="47"/>
        <v>1.3</v>
      </c>
      <c r="AQ42" s="57">
        <f t="shared" si="47"/>
        <v>1.1000000000000001</v>
      </c>
      <c r="AR42" s="57">
        <f t="shared" si="47"/>
        <v>1.1500000000000001</v>
      </c>
      <c r="AS42" s="57">
        <f t="shared" si="47"/>
        <v>1.3</v>
      </c>
      <c r="AT42" s="57">
        <f t="shared" si="47"/>
        <v>1.05</v>
      </c>
      <c r="AU42" s="57">
        <f t="shared" si="47"/>
        <v>1</v>
      </c>
      <c r="AV42" s="57">
        <f t="shared" si="47"/>
        <v>1.05</v>
      </c>
      <c r="AW42" s="57">
        <f t="shared" si="47"/>
        <v>1</v>
      </c>
      <c r="AX42" s="57">
        <f t="shared" si="47"/>
        <v>1.01</v>
      </c>
      <c r="AY42" s="57">
        <f t="shared" si="47"/>
        <v>1.9</v>
      </c>
      <c r="AZ42" s="57">
        <f t="shared" si="47"/>
        <v>1.75</v>
      </c>
      <c r="BA42" s="57">
        <f t="shared" si="47"/>
        <v>1.45</v>
      </c>
      <c r="BB42" s="57">
        <f t="shared" si="47"/>
        <v>1.35</v>
      </c>
      <c r="BC42" s="57">
        <f t="shared" si="47"/>
        <v>1.1000000000000001</v>
      </c>
      <c r="BD42" s="57">
        <f t="shared" si="47"/>
        <v>2.5000000000000004</v>
      </c>
      <c r="BE42" s="57">
        <f t="shared" si="47"/>
        <v>2.25</v>
      </c>
      <c r="BF42" s="57">
        <f t="shared" si="47"/>
        <v>2.7500000000000004</v>
      </c>
      <c r="BG42" s="57">
        <f t="shared" si="47"/>
        <v>1.2</v>
      </c>
      <c r="BH42" s="57">
        <f t="shared" si="47"/>
        <v>1.0900000000000001</v>
      </c>
      <c r="BI42" s="57">
        <f t="shared" si="47"/>
        <v>1.5500000000000003</v>
      </c>
      <c r="BJ42" s="57">
        <f t="shared" si="47"/>
        <v>1.05</v>
      </c>
      <c r="BK42" s="57">
        <f t="shared" si="47"/>
        <v>1.1000000000000001</v>
      </c>
      <c r="BL42" s="57">
        <f t="shared" si="47"/>
        <v>1</v>
      </c>
      <c r="BM42" s="57">
        <f t="shared" si="47"/>
        <v>1.02</v>
      </c>
      <c r="BN42" s="57">
        <f t="shared" ref="BN42:CE42" si="48">SUM(BN2:BN15)</f>
        <v>1.02</v>
      </c>
      <c r="BO42" s="57">
        <f t="shared" si="48"/>
        <v>1.03</v>
      </c>
      <c r="BP42" s="57">
        <f t="shared" si="48"/>
        <v>1.03</v>
      </c>
      <c r="BQ42" s="57">
        <f t="shared" si="48"/>
        <v>1</v>
      </c>
      <c r="BR42" s="57">
        <f t="shared" si="48"/>
        <v>1.1300000000000001</v>
      </c>
      <c r="BS42" s="57">
        <f t="shared" si="48"/>
        <v>1.05</v>
      </c>
      <c r="BT42" s="57">
        <f t="shared" si="48"/>
        <v>1.2200000000000002</v>
      </c>
      <c r="BU42" s="57">
        <f t="shared" si="48"/>
        <v>1.07</v>
      </c>
      <c r="BV42" s="57">
        <f t="shared" si="48"/>
        <v>1.03</v>
      </c>
      <c r="BW42" s="57">
        <f t="shared" si="48"/>
        <v>1</v>
      </c>
      <c r="BX42" s="57">
        <f t="shared" si="48"/>
        <v>2.2000000000000002</v>
      </c>
      <c r="BY42" s="57">
        <f t="shared" si="48"/>
        <v>1.4500000000000004</v>
      </c>
      <c r="BZ42" s="57">
        <f t="shared" si="48"/>
        <v>1.4000000000000001</v>
      </c>
      <c r="CA42" s="57">
        <f t="shared" si="48"/>
        <v>1.4000000000000001</v>
      </c>
      <c r="CB42" s="57">
        <f t="shared" si="48"/>
        <v>1.5</v>
      </c>
      <c r="CC42" s="57">
        <f t="shared" si="48"/>
        <v>1.2</v>
      </c>
      <c r="CD42" s="57">
        <f t="shared" si="48"/>
        <v>1.1000000000000001</v>
      </c>
      <c r="CE42" s="57">
        <f t="shared" si="48"/>
        <v>1.5</v>
      </c>
      <c r="CP42" s="69">
        <f>CQ41/CP41</f>
        <v>6.392857142857142E-4</v>
      </c>
      <c r="CU42">
        <v>1</v>
      </c>
      <c r="CV42">
        <f>CV40/0.15</f>
        <v>64.646666666666661</v>
      </c>
      <c r="CX42" s="57">
        <f t="shared" si="21"/>
        <v>0.31163800000000003</v>
      </c>
      <c r="CY42">
        <v>41</v>
      </c>
      <c r="CZ42">
        <v>155819</v>
      </c>
      <c r="DA42" s="65">
        <f t="shared" si="22"/>
        <v>3800</v>
      </c>
      <c r="DB42" s="57">
        <f t="shared" si="23"/>
        <v>0.80787975569542814</v>
      </c>
    </row>
    <row r="43" spans="1:106">
      <c r="A43" s="45">
        <v>1880</v>
      </c>
      <c r="B43" s="57">
        <f t="shared" ref="B43:AG43" si="49">SUM(B2:B16)</f>
        <v>0.54</v>
      </c>
      <c r="C43" s="57">
        <f t="shared" si="49"/>
        <v>0.10000000000000003</v>
      </c>
      <c r="D43" s="57">
        <f t="shared" si="49"/>
        <v>0.5</v>
      </c>
      <c r="E43" s="57">
        <f t="shared" si="49"/>
        <v>1</v>
      </c>
      <c r="F43" s="57">
        <f t="shared" si="49"/>
        <v>1.25</v>
      </c>
      <c r="G43" s="57">
        <f t="shared" si="49"/>
        <v>2.8</v>
      </c>
      <c r="H43" s="57">
        <f t="shared" si="49"/>
        <v>3.2200000000000006</v>
      </c>
      <c r="I43" s="59">
        <f t="shared" si="49"/>
        <v>1</v>
      </c>
      <c r="J43" s="59">
        <f t="shared" si="49"/>
        <v>1</v>
      </c>
      <c r="K43" s="57">
        <f t="shared" si="49"/>
        <v>0.91999999999999993</v>
      </c>
      <c r="L43" s="57">
        <f t="shared" si="49"/>
        <v>1.1700000000000002</v>
      </c>
      <c r="M43" s="57">
        <f t="shared" si="49"/>
        <v>1.75</v>
      </c>
      <c r="N43" s="57">
        <f t="shared" si="49"/>
        <v>0.71</v>
      </c>
      <c r="O43" s="59">
        <f t="shared" si="49"/>
        <v>7.000000000000001E-4</v>
      </c>
      <c r="P43" s="57">
        <f t="shared" si="49"/>
        <v>0.7</v>
      </c>
      <c r="Q43" s="57">
        <f t="shared" si="49"/>
        <v>3.3</v>
      </c>
      <c r="R43" s="63">
        <f t="shared" si="49"/>
        <v>4</v>
      </c>
      <c r="S43" s="63">
        <f t="shared" si="49"/>
        <v>147</v>
      </c>
      <c r="T43" s="57">
        <f t="shared" si="49"/>
        <v>1</v>
      </c>
      <c r="U43" s="61">
        <f t="shared" si="49"/>
        <v>0.996</v>
      </c>
      <c r="V43" s="57">
        <f t="shared" si="49"/>
        <v>1.7</v>
      </c>
      <c r="W43" s="57">
        <f t="shared" si="49"/>
        <v>1.7</v>
      </c>
      <c r="X43" s="57">
        <f t="shared" si="49"/>
        <v>1.5999999999999999</v>
      </c>
      <c r="Y43" s="57">
        <f t="shared" si="49"/>
        <v>4.5</v>
      </c>
      <c r="Z43" s="57">
        <f t="shared" si="49"/>
        <v>2.5</v>
      </c>
      <c r="AA43" s="57">
        <f t="shared" si="49"/>
        <v>1.85</v>
      </c>
      <c r="AB43" s="57">
        <f t="shared" si="49"/>
        <v>2.5</v>
      </c>
      <c r="AC43" s="57">
        <f t="shared" si="49"/>
        <v>1.05</v>
      </c>
      <c r="AD43" s="57">
        <f t="shared" si="49"/>
        <v>3.4</v>
      </c>
      <c r="AE43" s="57">
        <f t="shared" si="49"/>
        <v>2.5</v>
      </c>
      <c r="AF43" s="57">
        <f t="shared" si="49"/>
        <v>1.75</v>
      </c>
      <c r="AG43" s="57">
        <f t="shared" si="49"/>
        <v>1.1000000000000001</v>
      </c>
      <c r="AH43" s="57">
        <f t="shared" ref="AH43:BM43" si="50">SUM(AH2:AH16)</f>
        <v>3.25</v>
      </c>
      <c r="AI43" s="57">
        <f t="shared" si="50"/>
        <v>2</v>
      </c>
      <c r="AJ43" s="57">
        <f t="shared" si="50"/>
        <v>1.1000000000000001</v>
      </c>
      <c r="AK43" s="57">
        <f t="shared" si="50"/>
        <v>1.4</v>
      </c>
      <c r="AL43" s="57">
        <f t="shared" si="50"/>
        <v>1.4</v>
      </c>
      <c r="AM43" s="57">
        <f t="shared" si="50"/>
        <v>1.05</v>
      </c>
      <c r="AN43" s="57">
        <f t="shared" si="50"/>
        <v>1.1000000000000001</v>
      </c>
      <c r="AO43" s="57">
        <f t="shared" si="50"/>
        <v>1.1000000000000001</v>
      </c>
      <c r="AP43" s="57">
        <f t="shared" si="50"/>
        <v>1.3</v>
      </c>
      <c r="AQ43" s="57">
        <f t="shared" si="50"/>
        <v>1.1000000000000001</v>
      </c>
      <c r="AR43" s="57">
        <f t="shared" si="50"/>
        <v>1.1500000000000001</v>
      </c>
      <c r="AS43" s="57">
        <f t="shared" si="50"/>
        <v>1.3</v>
      </c>
      <c r="AT43" s="57">
        <f t="shared" si="50"/>
        <v>1.05</v>
      </c>
      <c r="AU43" s="57">
        <f t="shared" si="50"/>
        <v>1</v>
      </c>
      <c r="AV43" s="57">
        <f t="shared" si="50"/>
        <v>1.05</v>
      </c>
      <c r="AW43" s="57">
        <f t="shared" si="50"/>
        <v>1</v>
      </c>
      <c r="AX43" s="57">
        <f t="shared" si="50"/>
        <v>1.01</v>
      </c>
      <c r="AY43" s="57">
        <f t="shared" si="50"/>
        <v>2.1</v>
      </c>
      <c r="AZ43" s="57">
        <f t="shared" si="50"/>
        <v>1.75</v>
      </c>
      <c r="BA43" s="57">
        <f t="shared" si="50"/>
        <v>1.45</v>
      </c>
      <c r="BB43" s="57">
        <f t="shared" si="50"/>
        <v>1.35</v>
      </c>
      <c r="BC43" s="57">
        <f t="shared" si="50"/>
        <v>1.1000000000000001</v>
      </c>
      <c r="BD43" s="57">
        <f t="shared" si="50"/>
        <v>2.5000000000000004</v>
      </c>
      <c r="BE43" s="57">
        <f t="shared" si="50"/>
        <v>2.25</v>
      </c>
      <c r="BF43" s="57">
        <f t="shared" si="50"/>
        <v>3.0500000000000003</v>
      </c>
      <c r="BG43" s="57">
        <f t="shared" si="50"/>
        <v>1.2</v>
      </c>
      <c r="BH43" s="57">
        <f t="shared" si="50"/>
        <v>1.0900000000000001</v>
      </c>
      <c r="BI43" s="57">
        <f t="shared" si="50"/>
        <v>1.5500000000000003</v>
      </c>
      <c r="BJ43" s="57">
        <f t="shared" si="50"/>
        <v>1.05</v>
      </c>
      <c r="BK43" s="57">
        <f t="shared" si="50"/>
        <v>1.1000000000000001</v>
      </c>
      <c r="BL43" s="57">
        <f t="shared" si="50"/>
        <v>1</v>
      </c>
      <c r="BM43" s="57">
        <f t="shared" si="50"/>
        <v>1.02</v>
      </c>
      <c r="BN43" s="57">
        <f t="shared" ref="BN43:CE43" si="51">SUM(BN2:BN16)</f>
        <v>1.02</v>
      </c>
      <c r="BO43" s="57">
        <f t="shared" si="51"/>
        <v>1.03</v>
      </c>
      <c r="BP43" s="57">
        <f t="shared" si="51"/>
        <v>1.03</v>
      </c>
      <c r="BQ43" s="57">
        <f t="shared" si="51"/>
        <v>1</v>
      </c>
      <c r="BR43" s="57">
        <f t="shared" si="51"/>
        <v>1.2300000000000002</v>
      </c>
      <c r="BS43" s="57">
        <f t="shared" si="51"/>
        <v>1.05</v>
      </c>
      <c r="BT43" s="57">
        <f t="shared" si="51"/>
        <v>1.2200000000000002</v>
      </c>
      <c r="BU43" s="57">
        <f t="shared" si="51"/>
        <v>1.07</v>
      </c>
      <c r="BV43" s="57">
        <f t="shared" si="51"/>
        <v>1.03</v>
      </c>
      <c r="BW43" s="57">
        <f t="shared" si="51"/>
        <v>1</v>
      </c>
      <c r="BX43" s="57">
        <f t="shared" si="51"/>
        <v>2.2000000000000002</v>
      </c>
      <c r="BY43" s="57">
        <f t="shared" si="51"/>
        <v>1.4500000000000004</v>
      </c>
      <c r="BZ43" s="57">
        <f t="shared" si="51"/>
        <v>1.4000000000000001</v>
      </c>
      <c r="CA43" s="57">
        <f t="shared" si="51"/>
        <v>1.4000000000000001</v>
      </c>
      <c r="CB43" s="57">
        <f t="shared" si="51"/>
        <v>1.5</v>
      </c>
      <c r="CC43" s="57">
        <f t="shared" si="51"/>
        <v>1.2</v>
      </c>
      <c r="CD43" s="57">
        <f t="shared" si="51"/>
        <v>1.1000000000000001</v>
      </c>
      <c r="CE43" s="57">
        <f t="shared" si="51"/>
        <v>1.5</v>
      </c>
      <c r="CX43" s="57">
        <f t="shared" si="21"/>
        <v>0.31924000000000002</v>
      </c>
      <c r="CY43">
        <v>42</v>
      </c>
      <c r="CZ43">
        <v>159620</v>
      </c>
      <c r="DA43" s="65">
        <f t="shared" si="22"/>
        <v>3801</v>
      </c>
      <c r="DB43" s="57">
        <f t="shared" si="23"/>
        <v>0.82758692203200013</v>
      </c>
    </row>
    <row r="44" spans="1:106">
      <c r="A44" s="45">
        <v>1890</v>
      </c>
      <c r="B44" s="57">
        <f t="shared" ref="B44:AG44" si="52">SUM(B2:B17)</f>
        <v>0.54</v>
      </c>
      <c r="C44" s="57">
        <f t="shared" si="52"/>
        <v>0.10000000000000003</v>
      </c>
      <c r="D44" s="57">
        <f t="shared" si="52"/>
        <v>0.5</v>
      </c>
      <c r="E44" s="57">
        <f t="shared" si="52"/>
        <v>1</v>
      </c>
      <c r="F44" s="57">
        <f t="shared" si="52"/>
        <v>1.25</v>
      </c>
      <c r="G44" s="57">
        <f t="shared" si="52"/>
        <v>2.8</v>
      </c>
      <c r="H44" s="57">
        <f t="shared" si="52"/>
        <v>3.2200000000000006</v>
      </c>
      <c r="I44" s="59">
        <f t="shared" si="52"/>
        <v>1</v>
      </c>
      <c r="J44" s="59">
        <f t="shared" si="52"/>
        <v>1</v>
      </c>
      <c r="K44" s="57">
        <f t="shared" si="52"/>
        <v>0.91999999999999993</v>
      </c>
      <c r="L44" s="57">
        <f t="shared" si="52"/>
        <v>1.1700000000000002</v>
      </c>
      <c r="M44" s="57">
        <f t="shared" si="52"/>
        <v>1.75</v>
      </c>
      <c r="N44" s="57">
        <f t="shared" si="52"/>
        <v>0.71</v>
      </c>
      <c r="O44" s="59">
        <f t="shared" si="52"/>
        <v>7.000000000000001E-4</v>
      </c>
      <c r="P44" s="57">
        <f t="shared" si="52"/>
        <v>0.7</v>
      </c>
      <c r="Q44" s="57">
        <f t="shared" si="52"/>
        <v>3.3</v>
      </c>
      <c r="R44" s="63">
        <f t="shared" si="52"/>
        <v>4</v>
      </c>
      <c r="S44" s="63">
        <f t="shared" si="52"/>
        <v>147</v>
      </c>
      <c r="T44" s="57">
        <f t="shared" si="52"/>
        <v>1</v>
      </c>
      <c r="U44" s="61">
        <f t="shared" si="52"/>
        <v>0.996</v>
      </c>
      <c r="V44" s="57">
        <f t="shared" si="52"/>
        <v>1.7</v>
      </c>
      <c r="W44" s="57">
        <f t="shared" si="52"/>
        <v>1.7</v>
      </c>
      <c r="X44" s="57">
        <f t="shared" si="52"/>
        <v>1.5999999999999999</v>
      </c>
      <c r="Y44" s="57">
        <f t="shared" si="52"/>
        <v>4.8499999999999996</v>
      </c>
      <c r="Z44" s="57">
        <f t="shared" si="52"/>
        <v>2.5</v>
      </c>
      <c r="AA44" s="57">
        <f t="shared" si="52"/>
        <v>2.0500000000000003</v>
      </c>
      <c r="AB44" s="57">
        <f t="shared" si="52"/>
        <v>2.5</v>
      </c>
      <c r="AC44" s="57">
        <f t="shared" si="52"/>
        <v>1.05</v>
      </c>
      <c r="AD44" s="57">
        <f t="shared" si="52"/>
        <v>3.6</v>
      </c>
      <c r="AE44" s="57">
        <f t="shared" si="52"/>
        <v>2.5</v>
      </c>
      <c r="AF44" s="57">
        <f t="shared" si="52"/>
        <v>1.75</v>
      </c>
      <c r="AG44" s="57">
        <f t="shared" si="52"/>
        <v>1.1000000000000001</v>
      </c>
      <c r="AH44" s="57">
        <f t="shared" ref="AH44:BM44" si="53">SUM(AH2:AH17)</f>
        <v>3.25</v>
      </c>
      <c r="AI44" s="57">
        <f t="shared" si="53"/>
        <v>2</v>
      </c>
      <c r="AJ44" s="57">
        <f t="shared" si="53"/>
        <v>1.1000000000000001</v>
      </c>
      <c r="AK44" s="57">
        <f t="shared" si="53"/>
        <v>1.44</v>
      </c>
      <c r="AL44" s="57">
        <f t="shared" si="53"/>
        <v>1.4</v>
      </c>
      <c r="AM44" s="57">
        <f t="shared" si="53"/>
        <v>1.05</v>
      </c>
      <c r="AN44" s="57">
        <f t="shared" si="53"/>
        <v>1.1000000000000001</v>
      </c>
      <c r="AO44" s="57">
        <f t="shared" si="53"/>
        <v>1.1000000000000001</v>
      </c>
      <c r="AP44" s="57">
        <f t="shared" si="53"/>
        <v>1.3</v>
      </c>
      <c r="AQ44" s="57">
        <f t="shared" si="53"/>
        <v>1.1000000000000001</v>
      </c>
      <c r="AR44" s="57">
        <f t="shared" si="53"/>
        <v>1.1500000000000001</v>
      </c>
      <c r="AS44" s="57">
        <f t="shared" si="53"/>
        <v>1.3</v>
      </c>
      <c r="AT44" s="57">
        <f t="shared" si="53"/>
        <v>1.05</v>
      </c>
      <c r="AU44" s="57">
        <f t="shared" si="53"/>
        <v>1</v>
      </c>
      <c r="AV44" s="57">
        <f t="shared" si="53"/>
        <v>1.05</v>
      </c>
      <c r="AW44" s="57">
        <f t="shared" si="53"/>
        <v>1</v>
      </c>
      <c r="AX44" s="57">
        <f t="shared" si="53"/>
        <v>1.01</v>
      </c>
      <c r="AY44" s="57">
        <f t="shared" si="53"/>
        <v>2.1</v>
      </c>
      <c r="AZ44" s="57">
        <f t="shared" si="53"/>
        <v>1.75</v>
      </c>
      <c r="BA44" s="57">
        <f t="shared" si="53"/>
        <v>1.45</v>
      </c>
      <c r="BB44" s="57">
        <f t="shared" si="53"/>
        <v>1.35</v>
      </c>
      <c r="BC44" s="57">
        <f t="shared" si="53"/>
        <v>1.1000000000000001</v>
      </c>
      <c r="BD44" s="57">
        <f t="shared" si="53"/>
        <v>2.7500000000000004</v>
      </c>
      <c r="BE44" s="57">
        <f t="shared" si="53"/>
        <v>2.25</v>
      </c>
      <c r="BF44" s="57">
        <f t="shared" si="53"/>
        <v>3.0500000000000003</v>
      </c>
      <c r="BG44" s="57">
        <f t="shared" si="53"/>
        <v>1.2</v>
      </c>
      <c r="BH44" s="57">
        <f t="shared" si="53"/>
        <v>1.0900000000000001</v>
      </c>
      <c r="BI44" s="57">
        <f t="shared" si="53"/>
        <v>1.5500000000000003</v>
      </c>
      <c r="BJ44" s="57">
        <f t="shared" si="53"/>
        <v>1.05</v>
      </c>
      <c r="BK44" s="57">
        <f t="shared" si="53"/>
        <v>1.1000000000000001</v>
      </c>
      <c r="BL44" s="57">
        <f t="shared" si="53"/>
        <v>1</v>
      </c>
      <c r="BM44" s="57">
        <f t="shared" si="53"/>
        <v>1.02</v>
      </c>
      <c r="BN44" s="57">
        <f t="shared" ref="BN44:CE44" si="54">SUM(BN2:BN17)</f>
        <v>1.02</v>
      </c>
      <c r="BO44" s="57">
        <f t="shared" si="54"/>
        <v>1.03</v>
      </c>
      <c r="BP44" s="57">
        <f t="shared" si="54"/>
        <v>1.03</v>
      </c>
      <c r="BQ44" s="57">
        <f t="shared" si="54"/>
        <v>1</v>
      </c>
      <c r="BR44" s="57">
        <f t="shared" si="54"/>
        <v>1.2300000000000002</v>
      </c>
      <c r="BS44" s="57">
        <f t="shared" si="54"/>
        <v>1.05</v>
      </c>
      <c r="BT44" s="57">
        <f t="shared" si="54"/>
        <v>1.2200000000000002</v>
      </c>
      <c r="BU44" s="57">
        <f t="shared" si="54"/>
        <v>1.07</v>
      </c>
      <c r="BV44" s="57">
        <f t="shared" si="54"/>
        <v>1.03</v>
      </c>
      <c r="BW44" s="57">
        <f t="shared" si="54"/>
        <v>1</v>
      </c>
      <c r="BX44" s="57">
        <f t="shared" si="54"/>
        <v>2.2000000000000002</v>
      </c>
      <c r="BY44" s="57">
        <f t="shared" si="54"/>
        <v>1.4500000000000004</v>
      </c>
      <c r="BZ44" s="57">
        <f t="shared" si="54"/>
        <v>1.4500000000000002</v>
      </c>
      <c r="CA44" s="57">
        <f t="shared" si="54"/>
        <v>1.4500000000000002</v>
      </c>
      <c r="CB44" s="57">
        <f t="shared" si="54"/>
        <v>1.5</v>
      </c>
      <c r="CC44" s="57">
        <f t="shared" si="54"/>
        <v>1.2</v>
      </c>
      <c r="CD44" s="57">
        <f t="shared" si="54"/>
        <v>1.1000000000000001</v>
      </c>
      <c r="CE44" s="57">
        <f t="shared" si="54"/>
        <v>1.5</v>
      </c>
      <c r="CP44">
        <v>502530</v>
      </c>
      <c r="CQ44">
        <v>0.6</v>
      </c>
      <c r="CR44">
        <v>193.54300000000001</v>
      </c>
      <c r="CX44" s="57">
        <f t="shared" si="21"/>
        <v>0.32684000000000002</v>
      </c>
      <c r="CY44">
        <v>43</v>
      </c>
      <c r="CZ44">
        <v>163420</v>
      </c>
      <c r="DA44" s="65">
        <f t="shared" si="22"/>
        <v>3800</v>
      </c>
      <c r="DB44" s="57">
        <f t="shared" si="23"/>
        <v>0.84728890363657106</v>
      </c>
    </row>
    <row r="45" spans="1:106">
      <c r="A45" s="45">
        <v>1895</v>
      </c>
      <c r="B45" s="57">
        <f t="shared" ref="B45:AG45" si="55">SUM(B2:B18)</f>
        <v>0.54</v>
      </c>
      <c r="C45" s="57">
        <f t="shared" si="55"/>
        <v>0.10000000000000003</v>
      </c>
      <c r="D45" s="57">
        <f t="shared" si="55"/>
        <v>0.5</v>
      </c>
      <c r="E45" s="57">
        <f t="shared" si="55"/>
        <v>1</v>
      </c>
      <c r="F45" s="57">
        <f t="shared" si="55"/>
        <v>1.25</v>
      </c>
      <c r="G45" s="57">
        <f t="shared" si="55"/>
        <v>2.8</v>
      </c>
      <c r="H45" s="57">
        <f t="shared" si="55"/>
        <v>3.2200000000000006</v>
      </c>
      <c r="I45" s="59">
        <f t="shared" si="55"/>
        <v>1</v>
      </c>
      <c r="J45" s="59">
        <f t="shared" si="55"/>
        <v>1</v>
      </c>
      <c r="K45" s="57">
        <f t="shared" si="55"/>
        <v>0.91999999999999993</v>
      </c>
      <c r="L45" s="57">
        <f t="shared" si="55"/>
        <v>1.1700000000000002</v>
      </c>
      <c r="M45" s="57">
        <f t="shared" si="55"/>
        <v>1.75</v>
      </c>
      <c r="N45" s="57">
        <f t="shared" si="55"/>
        <v>0.71</v>
      </c>
      <c r="O45" s="59">
        <f t="shared" si="55"/>
        <v>7.000000000000001E-4</v>
      </c>
      <c r="P45" s="57">
        <f t="shared" si="55"/>
        <v>0.7</v>
      </c>
      <c r="Q45" s="57">
        <f t="shared" si="55"/>
        <v>3.3</v>
      </c>
      <c r="R45" s="63">
        <f t="shared" si="55"/>
        <v>4</v>
      </c>
      <c r="S45" s="63">
        <f t="shared" si="55"/>
        <v>147</v>
      </c>
      <c r="T45" s="57">
        <f t="shared" si="55"/>
        <v>1</v>
      </c>
      <c r="U45" s="61">
        <f t="shared" si="55"/>
        <v>0.996</v>
      </c>
      <c r="V45" s="57">
        <f t="shared" si="55"/>
        <v>1.7</v>
      </c>
      <c r="W45" s="57">
        <f t="shared" si="55"/>
        <v>1.7</v>
      </c>
      <c r="X45" s="57">
        <f t="shared" si="55"/>
        <v>1.5999999999999999</v>
      </c>
      <c r="Y45" s="57">
        <f t="shared" si="55"/>
        <v>4.8499999999999996</v>
      </c>
      <c r="Z45" s="57">
        <f t="shared" si="55"/>
        <v>2.5</v>
      </c>
      <c r="AA45" s="57">
        <f t="shared" si="55"/>
        <v>2.0500000000000003</v>
      </c>
      <c r="AB45" s="57">
        <f t="shared" si="55"/>
        <v>2.5</v>
      </c>
      <c r="AC45" s="57">
        <f t="shared" si="55"/>
        <v>1.05</v>
      </c>
      <c r="AD45" s="57">
        <f t="shared" si="55"/>
        <v>3.6</v>
      </c>
      <c r="AE45" s="57">
        <f t="shared" si="55"/>
        <v>2.5</v>
      </c>
      <c r="AF45" s="57">
        <f t="shared" si="55"/>
        <v>1.75</v>
      </c>
      <c r="AG45" s="57">
        <f t="shared" si="55"/>
        <v>1.1000000000000001</v>
      </c>
      <c r="AH45" s="57">
        <f t="shared" ref="AH45:BM45" si="56">SUM(AH2:AH18)</f>
        <v>3.25</v>
      </c>
      <c r="AI45" s="57">
        <f t="shared" si="56"/>
        <v>2</v>
      </c>
      <c r="AJ45" s="57">
        <f t="shared" si="56"/>
        <v>1.1000000000000001</v>
      </c>
      <c r="AK45" s="57">
        <f t="shared" si="56"/>
        <v>1.44</v>
      </c>
      <c r="AL45" s="57">
        <f t="shared" si="56"/>
        <v>1.4</v>
      </c>
      <c r="AM45" s="57">
        <f t="shared" si="56"/>
        <v>1.05</v>
      </c>
      <c r="AN45" s="57">
        <f t="shared" si="56"/>
        <v>1.1000000000000001</v>
      </c>
      <c r="AO45" s="57">
        <f t="shared" si="56"/>
        <v>1.1000000000000001</v>
      </c>
      <c r="AP45" s="57">
        <f t="shared" si="56"/>
        <v>1.3</v>
      </c>
      <c r="AQ45" s="57">
        <f t="shared" si="56"/>
        <v>1.1000000000000001</v>
      </c>
      <c r="AR45" s="57">
        <f t="shared" si="56"/>
        <v>1.1500000000000001</v>
      </c>
      <c r="AS45" s="57">
        <f t="shared" si="56"/>
        <v>1.3</v>
      </c>
      <c r="AT45" s="57">
        <f t="shared" si="56"/>
        <v>1.05</v>
      </c>
      <c r="AU45" s="57">
        <f t="shared" si="56"/>
        <v>1</v>
      </c>
      <c r="AV45" s="57">
        <f t="shared" si="56"/>
        <v>1.05</v>
      </c>
      <c r="AW45" s="57">
        <f t="shared" si="56"/>
        <v>1</v>
      </c>
      <c r="AX45" s="57">
        <f t="shared" si="56"/>
        <v>1.01</v>
      </c>
      <c r="AY45" s="57">
        <f t="shared" si="56"/>
        <v>2.1</v>
      </c>
      <c r="AZ45" s="57">
        <f t="shared" si="56"/>
        <v>1.75</v>
      </c>
      <c r="BA45" s="57">
        <f t="shared" si="56"/>
        <v>1.45</v>
      </c>
      <c r="BB45" s="57">
        <f t="shared" si="56"/>
        <v>1.35</v>
      </c>
      <c r="BC45" s="57">
        <f t="shared" si="56"/>
        <v>1.1000000000000001</v>
      </c>
      <c r="BD45" s="57">
        <f t="shared" si="56"/>
        <v>2.7500000000000004</v>
      </c>
      <c r="BE45" s="57">
        <f t="shared" si="56"/>
        <v>2.25</v>
      </c>
      <c r="BF45" s="57">
        <f t="shared" si="56"/>
        <v>3.0500000000000003</v>
      </c>
      <c r="BG45" s="57">
        <f t="shared" si="56"/>
        <v>1.2</v>
      </c>
      <c r="BH45" s="57">
        <f t="shared" si="56"/>
        <v>1.0900000000000001</v>
      </c>
      <c r="BI45" s="57">
        <f t="shared" si="56"/>
        <v>1.5500000000000003</v>
      </c>
      <c r="BJ45" s="57">
        <f t="shared" si="56"/>
        <v>1.05</v>
      </c>
      <c r="BK45" s="57">
        <f t="shared" si="56"/>
        <v>1.1000000000000001</v>
      </c>
      <c r="BL45" s="57">
        <f t="shared" si="56"/>
        <v>1</v>
      </c>
      <c r="BM45" s="57">
        <f t="shared" si="56"/>
        <v>1.02</v>
      </c>
      <c r="BN45" s="57">
        <f t="shared" ref="BN45:CE45" si="57">SUM(BN2:BN18)</f>
        <v>1.02</v>
      </c>
      <c r="BO45" s="57">
        <f t="shared" si="57"/>
        <v>1.03</v>
      </c>
      <c r="BP45" s="57">
        <f t="shared" si="57"/>
        <v>1.03</v>
      </c>
      <c r="BQ45" s="57">
        <f t="shared" si="57"/>
        <v>1</v>
      </c>
      <c r="BR45" s="57">
        <f t="shared" si="57"/>
        <v>1.2300000000000002</v>
      </c>
      <c r="BS45" s="57">
        <f t="shared" si="57"/>
        <v>1.05</v>
      </c>
      <c r="BT45" s="57">
        <f t="shared" si="57"/>
        <v>1.2200000000000002</v>
      </c>
      <c r="BU45" s="57">
        <f t="shared" si="57"/>
        <v>1.07</v>
      </c>
      <c r="BV45" s="57">
        <f t="shared" si="57"/>
        <v>1.03</v>
      </c>
      <c r="BW45" s="57">
        <f t="shared" si="57"/>
        <v>1</v>
      </c>
      <c r="BX45" s="57">
        <f t="shared" si="57"/>
        <v>2.2000000000000002</v>
      </c>
      <c r="BY45" s="57">
        <f t="shared" si="57"/>
        <v>1.4500000000000004</v>
      </c>
      <c r="BZ45" s="57">
        <f t="shared" si="57"/>
        <v>1.4500000000000002</v>
      </c>
      <c r="CA45" s="57">
        <f t="shared" si="57"/>
        <v>1.4500000000000002</v>
      </c>
      <c r="CB45" s="57">
        <f t="shared" si="57"/>
        <v>1.5</v>
      </c>
      <c r="CC45" s="57">
        <f t="shared" si="57"/>
        <v>1.2</v>
      </c>
      <c r="CD45" s="57">
        <f t="shared" si="57"/>
        <v>1.1000000000000001</v>
      </c>
      <c r="CE45" s="57">
        <f t="shared" si="57"/>
        <v>1.5</v>
      </c>
      <c r="CP45">
        <v>502530</v>
      </c>
      <c r="CQ45">
        <v>0.5</v>
      </c>
      <c r="CR45">
        <v>161.28399999999999</v>
      </c>
      <c r="CX45" s="57">
        <f t="shared" si="21"/>
        <v>0.33444200000000002</v>
      </c>
      <c r="CY45">
        <v>44</v>
      </c>
      <c r="CZ45">
        <v>167221</v>
      </c>
      <c r="DA45" s="65">
        <f t="shared" si="22"/>
        <v>3801</v>
      </c>
      <c r="DB45" s="57">
        <f t="shared" si="23"/>
        <v>0.86699606997314305</v>
      </c>
    </row>
    <row r="46" spans="1:106">
      <c r="A46" s="45">
        <v>1898</v>
      </c>
      <c r="B46" s="57">
        <f t="shared" ref="B46:AG46" si="58">SUM(B2:B19)</f>
        <v>0.54</v>
      </c>
      <c r="C46" s="57">
        <f t="shared" si="58"/>
        <v>0.10000000000000003</v>
      </c>
      <c r="D46" s="57">
        <f t="shared" si="58"/>
        <v>0.5</v>
      </c>
      <c r="E46" s="57">
        <f t="shared" si="58"/>
        <v>1</v>
      </c>
      <c r="F46" s="57">
        <f t="shared" si="58"/>
        <v>1.25</v>
      </c>
      <c r="G46" s="57">
        <f t="shared" si="58"/>
        <v>2.8</v>
      </c>
      <c r="H46" s="57">
        <f t="shared" si="58"/>
        <v>3.2200000000000006</v>
      </c>
      <c r="I46" s="59">
        <f t="shared" si="58"/>
        <v>1</v>
      </c>
      <c r="J46" s="59">
        <f t="shared" si="58"/>
        <v>1</v>
      </c>
      <c r="K46" s="57">
        <f t="shared" si="58"/>
        <v>0.91999999999999993</v>
      </c>
      <c r="L46" s="57">
        <f t="shared" si="58"/>
        <v>1.1700000000000002</v>
      </c>
      <c r="M46" s="57">
        <f t="shared" si="58"/>
        <v>1.75</v>
      </c>
      <c r="N46" s="57">
        <f t="shared" si="58"/>
        <v>0.71</v>
      </c>
      <c r="O46" s="59">
        <f t="shared" si="58"/>
        <v>7.000000000000001E-4</v>
      </c>
      <c r="P46" s="57">
        <f t="shared" si="58"/>
        <v>0.7</v>
      </c>
      <c r="Q46" s="57">
        <f t="shared" si="58"/>
        <v>3.3</v>
      </c>
      <c r="R46" s="63">
        <f t="shared" si="58"/>
        <v>5</v>
      </c>
      <c r="S46" s="63">
        <f t="shared" si="58"/>
        <v>147</v>
      </c>
      <c r="T46" s="57">
        <f t="shared" si="58"/>
        <v>1</v>
      </c>
      <c r="U46" s="61">
        <f t="shared" si="58"/>
        <v>0.996</v>
      </c>
      <c r="V46" s="57">
        <f t="shared" si="58"/>
        <v>1.7</v>
      </c>
      <c r="W46" s="57">
        <f t="shared" si="58"/>
        <v>1.7</v>
      </c>
      <c r="X46" s="57">
        <f t="shared" si="58"/>
        <v>1.5999999999999999</v>
      </c>
      <c r="Y46" s="57">
        <f t="shared" si="58"/>
        <v>4.8499999999999996</v>
      </c>
      <c r="Z46" s="57">
        <f t="shared" si="58"/>
        <v>2.5</v>
      </c>
      <c r="AA46" s="57">
        <f t="shared" si="58"/>
        <v>2.0500000000000003</v>
      </c>
      <c r="AB46" s="57">
        <f t="shared" si="58"/>
        <v>2.5</v>
      </c>
      <c r="AC46" s="57">
        <f t="shared" si="58"/>
        <v>1.05</v>
      </c>
      <c r="AD46" s="57">
        <f t="shared" si="58"/>
        <v>3.6</v>
      </c>
      <c r="AE46" s="57">
        <f t="shared" si="58"/>
        <v>2.5</v>
      </c>
      <c r="AF46" s="57">
        <f t="shared" si="58"/>
        <v>1.9</v>
      </c>
      <c r="AG46" s="57">
        <f t="shared" si="58"/>
        <v>1.1000000000000001</v>
      </c>
      <c r="AH46" s="57">
        <f t="shared" ref="AH46:BM46" si="59">SUM(AH2:AH19)</f>
        <v>3.25</v>
      </c>
      <c r="AI46" s="57">
        <f t="shared" si="59"/>
        <v>2</v>
      </c>
      <c r="AJ46" s="57">
        <f t="shared" si="59"/>
        <v>1.1000000000000001</v>
      </c>
      <c r="AK46" s="57">
        <f t="shared" si="59"/>
        <v>1.44</v>
      </c>
      <c r="AL46" s="57">
        <f t="shared" si="59"/>
        <v>1.4</v>
      </c>
      <c r="AM46" s="57">
        <f t="shared" si="59"/>
        <v>1.05</v>
      </c>
      <c r="AN46" s="57">
        <f t="shared" si="59"/>
        <v>1.1000000000000001</v>
      </c>
      <c r="AO46" s="57">
        <f t="shared" si="59"/>
        <v>1.1000000000000001</v>
      </c>
      <c r="AP46" s="57">
        <f t="shared" si="59"/>
        <v>1.3</v>
      </c>
      <c r="AQ46" s="57">
        <f t="shared" si="59"/>
        <v>1.1000000000000001</v>
      </c>
      <c r="AR46" s="57">
        <f t="shared" si="59"/>
        <v>1.1500000000000001</v>
      </c>
      <c r="AS46" s="57">
        <f t="shared" si="59"/>
        <v>1.3</v>
      </c>
      <c r="AT46" s="57">
        <f t="shared" si="59"/>
        <v>1.05</v>
      </c>
      <c r="AU46" s="57">
        <f t="shared" si="59"/>
        <v>1</v>
      </c>
      <c r="AV46" s="57">
        <f t="shared" si="59"/>
        <v>1.05</v>
      </c>
      <c r="AW46" s="57">
        <f t="shared" si="59"/>
        <v>1</v>
      </c>
      <c r="AX46" s="57">
        <f t="shared" si="59"/>
        <v>1.01</v>
      </c>
      <c r="AY46" s="57">
        <f t="shared" si="59"/>
        <v>2.1</v>
      </c>
      <c r="AZ46" s="57">
        <f t="shared" si="59"/>
        <v>1.75</v>
      </c>
      <c r="BA46" s="57">
        <f t="shared" si="59"/>
        <v>1.45</v>
      </c>
      <c r="BB46" s="57">
        <f t="shared" si="59"/>
        <v>1.35</v>
      </c>
      <c r="BC46" s="57">
        <f t="shared" si="59"/>
        <v>1.1000000000000001</v>
      </c>
      <c r="BD46" s="57">
        <f t="shared" si="59"/>
        <v>2.7500000000000004</v>
      </c>
      <c r="BE46" s="57">
        <f t="shared" si="59"/>
        <v>2.25</v>
      </c>
      <c r="BF46" s="57">
        <f t="shared" si="59"/>
        <v>3.0500000000000003</v>
      </c>
      <c r="BG46" s="57">
        <f t="shared" si="59"/>
        <v>1.2</v>
      </c>
      <c r="BH46" s="57">
        <f t="shared" si="59"/>
        <v>1.0900000000000001</v>
      </c>
      <c r="BI46" s="57">
        <f t="shared" si="59"/>
        <v>1.5500000000000003</v>
      </c>
      <c r="BJ46" s="57">
        <f t="shared" si="59"/>
        <v>1.05</v>
      </c>
      <c r="BK46" s="57">
        <f t="shared" si="59"/>
        <v>1.1000000000000001</v>
      </c>
      <c r="BL46" s="57">
        <f t="shared" si="59"/>
        <v>1</v>
      </c>
      <c r="BM46" s="57">
        <f t="shared" si="59"/>
        <v>1.02</v>
      </c>
      <c r="BN46" s="57">
        <f t="shared" ref="BN46:CE46" si="60">SUM(BN2:BN19)</f>
        <v>1.02</v>
      </c>
      <c r="BO46" s="57">
        <f t="shared" si="60"/>
        <v>1.03</v>
      </c>
      <c r="BP46" s="57">
        <f t="shared" si="60"/>
        <v>1.03</v>
      </c>
      <c r="BQ46" s="57">
        <f t="shared" si="60"/>
        <v>1</v>
      </c>
      <c r="BR46" s="57">
        <f t="shared" si="60"/>
        <v>1.2300000000000002</v>
      </c>
      <c r="BS46" s="57">
        <f t="shared" si="60"/>
        <v>1.05</v>
      </c>
      <c r="BT46" s="57">
        <f t="shared" si="60"/>
        <v>1.2200000000000002</v>
      </c>
      <c r="BU46" s="57">
        <f t="shared" si="60"/>
        <v>1.07</v>
      </c>
      <c r="BV46" s="57">
        <f t="shared" si="60"/>
        <v>1.03</v>
      </c>
      <c r="BW46" s="57">
        <f t="shared" si="60"/>
        <v>1</v>
      </c>
      <c r="BX46" s="57">
        <f t="shared" si="60"/>
        <v>2.2000000000000002</v>
      </c>
      <c r="BY46" s="57">
        <f t="shared" si="60"/>
        <v>1.4500000000000004</v>
      </c>
      <c r="BZ46" s="57">
        <f t="shared" si="60"/>
        <v>1.4500000000000002</v>
      </c>
      <c r="CA46" s="57">
        <f t="shared" si="60"/>
        <v>1.4500000000000002</v>
      </c>
      <c r="CB46" s="57">
        <f t="shared" si="60"/>
        <v>1.5</v>
      </c>
      <c r="CC46" s="57">
        <f t="shared" si="60"/>
        <v>1.2</v>
      </c>
      <c r="CD46" s="57">
        <f t="shared" si="60"/>
        <v>1.1000000000000001</v>
      </c>
      <c r="CE46" s="57">
        <f t="shared" si="60"/>
        <v>1.5</v>
      </c>
      <c r="CP46">
        <v>502530</v>
      </c>
      <c r="CQ46">
        <v>1</v>
      </c>
      <c r="CR46">
        <f>CR45*2</f>
        <v>322.56799999999998</v>
      </c>
      <c r="CX46" s="57">
        <f t="shared" si="21"/>
        <v>0.34204200000000001</v>
      </c>
      <c r="CY46">
        <v>45</v>
      </c>
      <c r="CZ46">
        <v>171021</v>
      </c>
      <c r="DA46" s="65">
        <f t="shared" si="22"/>
        <v>3800</v>
      </c>
      <c r="DB46" s="57">
        <f t="shared" si="23"/>
        <v>0.88669805157771397</v>
      </c>
    </row>
    <row r="47" spans="1:106">
      <c r="A47" s="45">
        <v>1900</v>
      </c>
      <c r="B47" s="57">
        <f t="shared" ref="B47:AG47" si="61">SUM(B2:B20)</f>
        <v>0.59000000000000008</v>
      </c>
      <c r="C47" s="57">
        <f t="shared" si="61"/>
        <v>0.10000000000000003</v>
      </c>
      <c r="D47" s="57">
        <f t="shared" si="61"/>
        <v>0.6</v>
      </c>
      <c r="E47" s="57">
        <f t="shared" si="61"/>
        <v>1.1499999999999999</v>
      </c>
      <c r="F47" s="57">
        <f t="shared" si="61"/>
        <v>1.25</v>
      </c>
      <c r="G47" s="57">
        <f t="shared" si="61"/>
        <v>3.4499999999999997</v>
      </c>
      <c r="H47" s="57">
        <f t="shared" si="61"/>
        <v>3.3700000000000006</v>
      </c>
      <c r="I47" s="59">
        <f t="shared" si="61"/>
        <v>1</v>
      </c>
      <c r="J47" s="59">
        <f t="shared" si="61"/>
        <v>1</v>
      </c>
      <c r="K47" s="57">
        <f t="shared" si="61"/>
        <v>0.90999999999999992</v>
      </c>
      <c r="L47" s="57">
        <f t="shared" si="61"/>
        <v>1.2000000000000002</v>
      </c>
      <c r="M47" s="57">
        <f t="shared" si="61"/>
        <v>2.04</v>
      </c>
      <c r="N47" s="57">
        <f t="shared" si="61"/>
        <v>0.79999999999999993</v>
      </c>
      <c r="O47" s="59">
        <f t="shared" si="61"/>
        <v>7.000000000000001E-4</v>
      </c>
      <c r="P47" s="57">
        <f t="shared" si="61"/>
        <v>0.7</v>
      </c>
      <c r="Q47" s="57">
        <f t="shared" si="61"/>
        <v>4.1499999999999995</v>
      </c>
      <c r="R47" s="63">
        <f t="shared" si="61"/>
        <v>5</v>
      </c>
      <c r="S47" s="63">
        <f t="shared" si="61"/>
        <v>147</v>
      </c>
      <c r="T47" s="57">
        <f t="shared" si="61"/>
        <v>1</v>
      </c>
      <c r="U47" s="61">
        <f t="shared" si="61"/>
        <v>0.98099999999999998</v>
      </c>
      <c r="V47" s="57">
        <f t="shared" si="61"/>
        <v>1.7</v>
      </c>
      <c r="W47" s="57">
        <f t="shared" si="61"/>
        <v>1.7</v>
      </c>
      <c r="X47" s="57">
        <f t="shared" si="61"/>
        <v>1.5999999999999999</v>
      </c>
      <c r="Y47" s="57">
        <f t="shared" si="61"/>
        <v>4.8499999999999996</v>
      </c>
      <c r="Z47" s="57">
        <f t="shared" si="61"/>
        <v>2.5</v>
      </c>
      <c r="AA47" s="57">
        <f t="shared" si="61"/>
        <v>2.0500000000000003</v>
      </c>
      <c r="AB47" s="57">
        <f t="shared" si="61"/>
        <v>2.5</v>
      </c>
      <c r="AC47" s="57">
        <f t="shared" si="61"/>
        <v>1.05</v>
      </c>
      <c r="AD47" s="57">
        <f t="shared" si="61"/>
        <v>3.6</v>
      </c>
      <c r="AE47" s="57">
        <f t="shared" si="61"/>
        <v>2.5</v>
      </c>
      <c r="AF47" s="57">
        <f t="shared" si="61"/>
        <v>2.0499999999999998</v>
      </c>
      <c r="AG47" s="57">
        <f t="shared" si="61"/>
        <v>1.1000000000000001</v>
      </c>
      <c r="AH47" s="57">
        <f t="shared" ref="AH47:BM47" si="62">SUM(AH2:AH20)</f>
        <v>3.75</v>
      </c>
      <c r="AI47" s="57">
        <f t="shared" si="62"/>
        <v>2</v>
      </c>
      <c r="AJ47" s="57">
        <f t="shared" si="62"/>
        <v>1.1000000000000001</v>
      </c>
      <c r="AK47" s="57">
        <f t="shared" si="62"/>
        <v>1.44</v>
      </c>
      <c r="AL47" s="57">
        <f t="shared" si="62"/>
        <v>1.4</v>
      </c>
      <c r="AM47" s="57">
        <f t="shared" si="62"/>
        <v>1.05</v>
      </c>
      <c r="AN47" s="57">
        <f t="shared" si="62"/>
        <v>1.1500000000000001</v>
      </c>
      <c r="AO47" s="57">
        <f t="shared" si="62"/>
        <v>1.1000000000000001</v>
      </c>
      <c r="AP47" s="57">
        <f t="shared" si="62"/>
        <v>1.3</v>
      </c>
      <c r="AQ47" s="57">
        <f t="shared" si="62"/>
        <v>1.2000000000000002</v>
      </c>
      <c r="AR47" s="57">
        <f t="shared" si="62"/>
        <v>1.1500000000000001</v>
      </c>
      <c r="AS47" s="57">
        <f t="shared" si="62"/>
        <v>1.4000000000000001</v>
      </c>
      <c r="AT47" s="57">
        <f t="shared" si="62"/>
        <v>1.05</v>
      </c>
      <c r="AU47" s="57">
        <f t="shared" si="62"/>
        <v>1</v>
      </c>
      <c r="AV47" s="57">
        <f t="shared" si="62"/>
        <v>1.05</v>
      </c>
      <c r="AW47" s="57">
        <f t="shared" si="62"/>
        <v>1.03</v>
      </c>
      <c r="AX47" s="57">
        <f t="shared" si="62"/>
        <v>1.01</v>
      </c>
      <c r="AY47" s="57">
        <f t="shared" si="62"/>
        <v>2.1</v>
      </c>
      <c r="AZ47" s="57">
        <f t="shared" si="62"/>
        <v>2.0499999999999998</v>
      </c>
      <c r="BA47" s="57">
        <f t="shared" si="62"/>
        <v>1.45</v>
      </c>
      <c r="BB47" s="57">
        <f t="shared" si="62"/>
        <v>1.35</v>
      </c>
      <c r="BC47" s="57">
        <f t="shared" si="62"/>
        <v>1.1000000000000001</v>
      </c>
      <c r="BD47" s="57">
        <f t="shared" si="62"/>
        <v>3.1000000000000005</v>
      </c>
      <c r="BE47" s="57">
        <f t="shared" si="62"/>
        <v>2.85</v>
      </c>
      <c r="BF47" s="57">
        <f t="shared" si="62"/>
        <v>3.45</v>
      </c>
      <c r="BG47" s="57">
        <f t="shared" si="62"/>
        <v>1.2</v>
      </c>
      <c r="BH47" s="57">
        <f t="shared" si="62"/>
        <v>1.0900000000000001</v>
      </c>
      <c r="BI47" s="57">
        <f t="shared" si="62"/>
        <v>1.5500000000000003</v>
      </c>
      <c r="BJ47" s="57">
        <f t="shared" si="62"/>
        <v>1.05</v>
      </c>
      <c r="BK47" s="57">
        <f t="shared" si="62"/>
        <v>1.1000000000000001</v>
      </c>
      <c r="BL47" s="57">
        <f t="shared" si="62"/>
        <v>2</v>
      </c>
      <c r="BM47" s="57">
        <f t="shared" si="62"/>
        <v>1.02</v>
      </c>
      <c r="BN47" s="57">
        <f t="shared" ref="BN47:CE47" si="63">SUM(BN2:BN20)</f>
        <v>1.02</v>
      </c>
      <c r="BO47" s="57">
        <f t="shared" si="63"/>
        <v>1.06</v>
      </c>
      <c r="BP47" s="57">
        <f t="shared" si="63"/>
        <v>1.03</v>
      </c>
      <c r="BQ47" s="57">
        <f t="shared" si="63"/>
        <v>1.03</v>
      </c>
      <c r="BR47" s="57">
        <f t="shared" si="63"/>
        <v>1.2300000000000002</v>
      </c>
      <c r="BS47" s="57">
        <f t="shared" si="63"/>
        <v>1.05</v>
      </c>
      <c r="BT47" s="57">
        <f t="shared" si="63"/>
        <v>1.2200000000000002</v>
      </c>
      <c r="BU47" s="57">
        <f t="shared" si="63"/>
        <v>1.07</v>
      </c>
      <c r="BV47" s="57">
        <f t="shared" si="63"/>
        <v>1.03</v>
      </c>
      <c r="BW47" s="57">
        <f t="shared" si="63"/>
        <v>1</v>
      </c>
      <c r="BX47" s="57">
        <f t="shared" si="63"/>
        <v>2.6</v>
      </c>
      <c r="BY47" s="57">
        <f t="shared" si="63"/>
        <v>1.5500000000000005</v>
      </c>
      <c r="BZ47" s="57">
        <f t="shared" si="63"/>
        <v>1.4500000000000002</v>
      </c>
      <c r="CA47" s="57">
        <f t="shared" si="63"/>
        <v>1.4500000000000002</v>
      </c>
      <c r="CB47" s="57">
        <f t="shared" si="63"/>
        <v>1.8</v>
      </c>
      <c r="CC47" s="57">
        <f t="shared" si="63"/>
        <v>1.2</v>
      </c>
      <c r="CD47" s="57">
        <f t="shared" si="63"/>
        <v>1.1000000000000001</v>
      </c>
      <c r="CE47" s="57">
        <f t="shared" si="63"/>
        <v>1.5</v>
      </c>
      <c r="CR47">
        <f>CR46/CP46</f>
        <v>6.418880464847869E-4</v>
      </c>
      <c r="CX47" s="57">
        <f t="shared" si="21"/>
        <v>0.34964400000000001</v>
      </c>
      <c r="CY47">
        <v>46</v>
      </c>
      <c r="CZ47">
        <v>174822</v>
      </c>
      <c r="DA47" s="65">
        <f t="shared" si="22"/>
        <v>3801</v>
      </c>
      <c r="DB47" s="57">
        <f t="shared" si="23"/>
        <v>0.90640521791428597</v>
      </c>
    </row>
    <row r="48" spans="1:106">
      <c r="A48" s="45">
        <v>1905</v>
      </c>
      <c r="B48" s="57">
        <f t="shared" ref="B48:AG48" si="64">SUM(B2:B21)</f>
        <v>0.59000000000000008</v>
      </c>
      <c r="C48" s="57">
        <f t="shared" si="64"/>
        <v>0.10000000000000003</v>
      </c>
      <c r="D48" s="57">
        <f t="shared" si="64"/>
        <v>0.6</v>
      </c>
      <c r="E48" s="57">
        <f t="shared" si="64"/>
        <v>1.1499999999999999</v>
      </c>
      <c r="F48" s="57">
        <f t="shared" si="64"/>
        <v>1.25</v>
      </c>
      <c r="G48" s="57">
        <f t="shared" si="64"/>
        <v>3.4499999999999997</v>
      </c>
      <c r="H48" s="57">
        <f t="shared" si="64"/>
        <v>3.3700000000000006</v>
      </c>
      <c r="I48" s="59">
        <f t="shared" si="64"/>
        <v>1</v>
      </c>
      <c r="J48" s="59">
        <f t="shared" si="64"/>
        <v>1</v>
      </c>
      <c r="K48" s="57">
        <f t="shared" si="64"/>
        <v>0.90999999999999992</v>
      </c>
      <c r="L48" s="57">
        <f t="shared" si="64"/>
        <v>1.2000000000000002</v>
      </c>
      <c r="M48" s="57">
        <f t="shared" si="64"/>
        <v>2.04</v>
      </c>
      <c r="N48" s="57">
        <f t="shared" si="64"/>
        <v>0.79999999999999993</v>
      </c>
      <c r="O48" s="59">
        <f t="shared" si="64"/>
        <v>8.0000000000000015E-4</v>
      </c>
      <c r="P48" s="57">
        <f t="shared" si="64"/>
        <v>0.7</v>
      </c>
      <c r="Q48" s="57">
        <f t="shared" si="64"/>
        <v>4.1499999999999995</v>
      </c>
      <c r="R48" s="63">
        <f t="shared" si="64"/>
        <v>5</v>
      </c>
      <c r="S48" s="63">
        <f t="shared" si="64"/>
        <v>147</v>
      </c>
      <c r="T48" s="57">
        <f t="shared" si="64"/>
        <v>1</v>
      </c>
      <c r="U48" s="61">
        <f t="shared" si="64"/>
        <v>0.98099999999999998</v>
      </c>
      <c r="V48" s="57">
        <f t="shared" si="64"/>
        <v>1.7</v>
      </c>
      <c r="W48" s="57">
        <f t="shared" si="64"/>
        <v>1.7</v>
      </c>
      <c r="X48" s="57">
        <f t="shared" si="64"/>
        <v>1.5999999999999999</v>
      </c>
      <c r="Y48" s="57">
        <f t="shared" si="64"/>
        <v>6.1499999999999995</v>
      </c>
      <c r="Z48" s="57">
        <f t="shared" si="64"/>
        <v>2.5</v>
      </c>
      <c r="AA48" s="57">
        <f t="shared" si="64"/>
        <v>2.6000000000000005</v>
      </c>
      <c r="AB48" s="57">
        <f t="shared" si="64"/>
        <v>2.5</v>
      </c>
      <c r="AC48" s="57">
        <f t="shared" si="64"/>
        <v>1.05</v>
      </c>
      <c r="AD48" s="57">
        <f t="shared" si="64"/>
        <v>4.6500000000000004</v>
      </c>
      <c r="AE48" s="57">
        <f t="shared" si="64"/>
        <v>2.5</v>
      </c>
      <c r="AF48" s="57">
        <f t="shared" si="64"/>
        <v>2.0499999999999998</v>
      </c>
      <c r="AG48" s="57">
        <f t="shared" si="64"/>
        <v>1.1000000000000001</v>
      </c>
      <c r="AH48" s="57">
        <f t="shared" ref="AH48:BM48" si="65">SUM(AH2:AH21)</f>
        <v>3.75</v>
      </c>
      <c r="AI48" s="57">
        <f t="shared" si="65"/>
        <v>2</v>
      </c>
      <c r="AJ48" s="57">
        <f t="shared" si="65"/>
        <v>1.1000000000000001</v>
      </c>
      <c r="AK48" s="57">
        <f t="shared" si="65"/>
        <v>1.49</v>
      </c>
      <c r="AL48" s="57">
        <f t="shared" si="65"/>
        <v>1.4</v>
      </c>
      <c r="AM48" s="57">
        <f t="shared" si="65"/>
        <v>1.05</v>
      </c>
      <c r="AN48" s="57">
        <f t="shared" si="65"/>
        <v>1.1500000000000001</v>
      </c>
      <c r="AO48" s="57">
        <f t="shared" si="65"/>
        <v>1.1000000000000001</v>
      </c>
      <c r="AP48" s="57">
        <f t="shared" si="65"/>
        <v>1.3</v>
      </c>
      <c r="AQ48" s="57">
        <f t="shared" si="65"/>
        <v>1.2000000000000002</v>
      </c>
      <c r="AR48" s="57">
        <f t="shared" si="65"/>
        <v>1.1500000000000001</v>
      </c>
      <c r="AS48" s="57">
        <f t="shared" si="65"/>
        <v>1.4000000000000001</v>
      </c>
      <c r="AT48" s="57">
        <f t="shared" si="65"/>
        <v>1.05</v>
      </c>
      <c r="AU48" s="57">
        <f t="shared" si="65"/>
        <v>1</v>
      </c>
      <c r="AV48" s="57">
        <f t="shared" si="65"/>
        <v>1.05</v>
      </c>
      <c r="AW48" s="57">
        <f t="shared" si="65"/>
        <v>1.03</v>
      </c>
      <c r="AX48" s="57">
        <f t="shared" si="65"/>
        <v>1.01</v>
      </c>
      <c r="AY48" s="57">
        <f t="shared" si="65"/>
        <v>2.1</v>
      </c>
      <c r="AZ48" s="57">
        <f t="shared" si="65"/>
        <v>2.0499999999999998</v>
      </c>
      <c r="BA48" s="57">
        <f t="shared" si="65"/>
        <v>1.45</v>
      </c>
      <c r="BB48" s="57">
        <f t="shared" si="65"/>
        <v>1.35</v>
      </c>
      <c r="BC48" s="57">
        <f t="shared" si="65"/>
        <v>1.1000000000000001</v>
      </c>
      <c r="BD48" s="57">
        <f t="shared" si="65"/>
        <v>3.1000000000000005</v>
      </c>
      <c r="BE48" s="57">
        <f t="shared" si="65"/>
        <v>2.85</v>
      </c>
      <c r="BF48" s="57">
        <f t="shared" si="65"/>
        <v>3.45</v>
      </c>
      <c r="BG48" s="57">
        <f t="shared" si="65"/>
        <v>1.2</v>
      </c>
      <c r="BH48" s="57">
        <f t="shared" si="65"/>
        <v>1.0900000000000001</v>
      </c>
      <c r="BI48" s="57">
        <f t="shared" si="65"/>
        <v>1.5500000000000003</v>
      </c>
      <c r="BJ48" s="57">
        <f t="shared" si="65"/>
        <v>1.05</v>
      </c>
      <c r="BK48" s="57">
        <f t="shared" si="65"/>
        <v>1.1000000000000001</v>
      </c>
      <c r="BL48" s="57">
        <f t="shared" si="65"/>
        <v>2</v>
      </c>
      <c r="BM48" s="57">
        <f t="shared" si="65"/>
        <v>1.02</v>
      </c>
      <c r="BN48" s="57">
        <f t="shared" ref="BN48:CE48" si="66">SUM(BN2:BN21)</f>
        <v>1.02</v>
      </c>
      <c r="BO48" s="57">
        <f t="shared" si="66"/>
        <v>1.06</v>
      </c>
      <c r="BP48" s="57">
        <f t="shared" si="66"/>
        <v>1.03</v>
      </c>
      <c r="BQ48" s="57">
        <f t="shared" si="66"/>
        <v>1.03</v>
      </c>
      <c r="BR48" s="57">
        <f t="shared" si="66"/>
        <v>1.2300000000000002</v>
      </c>
      <c r="BS48" s="57">
        <f t="shared" si="66"/>
        <v>1.05</v>
      </c>
      <c r="BT48" s="57">
        <f t="shared" si="66"/>
        <v>1.2200000000000002</v>
      </c>
      <c r="BU48" s="57">
        <f t="shared" si="66"/>
        <v>1.07</v>
      </c>
      <c r="BV48" s="57">
        <f t="shared" si="66"/>
        <v>1.03</v>
      </c>
      <c r="BW48" s="57">
        <f t="shared" si="66"/>
        <v>1</v>
      </c>
      <c r="BX48" s="57">
        <f t="shared" si="66"/>
        <v>2.6</v>
      </c>
      <c r="BY48" s="57">
        <f t="shared" si="66"/>
        <v>1.5500000000000005</v>
      </c>
      <c r="BZ48" s="57">
        <f t="shared" si="66"/>
        <v>1.4500000000000002</v>
      </c>
      <c r="CA48" s="57">
        <f t="shared" si="66"/>
        <v>1.4500000000000002</v>
      </c>
      <c r="CB48" s="57">
        <f t="shared" si="66"/>
        <v>1.8</v>
      </c>
      <c r="CC48" s="57">
        <f t="shared" si="66"/>
        <v>1.2</v>
      </c>
      <c r="CD48" s="57">
        <f t="shared" si="66"/>
        <v>1.1000000000000001</v>
      </c>
      <c r="CE48" s="57">
        <f t="shared" si="66"/>
        <v>1.5</v>
      </c>
      <c r="CX48" s="57">
        <f t="shared" si="21"/>
        <v>0.35724400000000001</v>
      </c>
      <c r="CY48">
        <v>47</v>
      </c>
      <c r="CZ48">
        <v>178622</v>
      </c>
      <c r="DA48" s="65">
        <f t="shared" si="22"/>
        <v>3800</v>
      </c>
      <c r="DB48" s="57">
        <f t="shared" si="23"/>
        <v>0.92610719951885689</v>
      </c>
    </row>
    <row r="49" spans="1:106">
      <c r="A49" s="45">
        <v>1910</v>
      </c>
      <c r="B49" s="57">
        <f t="shared" ref="B49:AG49" si="67">SUM(B2:B22)</f>
        <v>0.59000000000000008</v>
      </c>
      <c r="C49" s="57">
        <f t="shared" si="67"/>
        <v>0.10000000000000003</v>
      </c>
      <c r="D49" s="57">
        <f t="shared" si="67"/>
        <v>0.6</v>
      </c>
      <c r="E49" s="57">
        <f t="shared" si="67"/>
        <v>1.1499999999999999</v>
      </c>
      <c r="F49" s="57">
        <f t="shared" si="67"/>
        <v>1.25</v>
      </c>
      <c r="G49" s="57">
        <f t="shared" si="67"/>
        <v>3.4499999999999997</v>
      </c>
      <c r="H49" s="57">
        <f t="shared" si="67"/>
        <v>3.3700000000000006</v>
      </c>
      <c r="I49" s="59">
        <f t="shared" si="67"/>
        <v>1</v>
      </c>
      <c r="J49" s="59">
        <f t="shared" si="67"/>
        <v>1</v>
      </c>
      <c r="K49" s="57">
        <f t="shared" si="67"/>
        <v>0.90999999999999992</v>
      </c>
      <c r="L49" s="57">
        <f t="shared" si="67"/>
        <v>1.2000000000000002</v>
      </c>
      <c r="M49" s="57">
        <f t="shared" si="67"/>
        <v>2.04</v>
      </c>
      <c r="N49" s="57">
        <f t="shared" si="67"/>
        <v>0.79999999999999993</v>
      </c>
      <c r="O49" s="59">
        <f t="shared" si="67"/>
        <v>9.0000000000000019E-4</v>
      </c>
      <c r="P49" s="57">
        <f t="shared" si="67"/>
        <v>0.7</v>
      </c>
      <c r="Q49" s="57">
        <f t="shared" si="67"/>
        <v>4.1499999999999995</v>
      </c>
      <c r="R49" s="63">
        <f t="shared" si="67"/>
        <v>5</v>
      </c>
      <c r="S49" s="63">
        <f t="shared" si="67"/>
        <v>147</v>
      </c>
      <c r="T49" s="57">
        <f t="shared" si="67"/>
        <v>1</v>
      </c>
      <c r="U49" s="61">
        <f t="shared" si="67"/>
        <v>0.98099999999999998</v>
      </c>
      <c r="V49" s="57">
        <f t="shared" si="67"/>
        <v>1.7</v>
      </c>
      <c r="W49" s="57">
        <f t="shared" si="67"/>
        <v>1.7</v>
      </c>
      <c r="X49" s="57">
        <f t="shared" si="67"/>
        <v>1.5999999999999999</v>
      </c>
      <c r="Y49" s="57">
        <f t="shared" si="67"/>
        <v>6.1499999999999995</v>
      </c>
      <c r="Z49" s="57">
        <f t="shared" si="67"/>
        <v>2.5</v>
      </c>
      <c r="AA49" s="57">
        <f t="shared" si="67"/>
        <v>2.6000000000000005</v>
      </c>
      <c r="AB49" s="57">
        <f t="shared" si="67"/>
        <v>2.5</v>
      </c>
      <c r="AC49" s="57">
        <f t="shared" si="67"/>
        <v>1.05</v>
      </c>
      <c r="AD49" s="57">
        <f t="shared" si="67"/>
        <v>4.6500000000000004</v>
      </c>
      <c r="AE49" s="57">
        <f t="shared" si="67"/>
        <v>2.5</v>
      </c>
      <c r="AF49" s="57">
        <f t="shared" si="67"/>
        <v>2.0499999999999998</v>
      </c>
      <c r="AG49" s="57">
        <f t="shared" si="67"/>
        <v>1.1000000000000001</v>
      </c>
      <c r="AH49" s="57">
        <f t="shared" ref="AH49:BM49" si="68">SUM(AH2:AH22)</f>
        <v>3.75</v>
      </c>
      <c r="AI49" s="57">
        <f t="shared" si="68"/>
        <v>2</v>
      </c>
      <c r="AJ49" s="57">
        <f t="shared" si="68"/>
        <v>1.1000000000000001</v>
      </c>
      <c r="AK49" s="57">
        <f t="shared" si="68"/>
        <v>1.49</v>
      </c>
      <c r="AL49" s="57">
        <f t="shared" si="68"/>
        <v>1.4</v>
      </c>
      <c r="AM49" s="57">
        <f t="shared" si="68"/>
        <v>1.05</v>
      </c>
      <c r="AN49" s="57">
        <f t="shared" si="68"/>
        <v>1.1500000000000001</v>
      </c>
      <c r="AO49" s="57">
        <f t="shared" si="68"/>
        <v>1.1000000000000001</v>
      </c>
      <c r="AP49" s="57">
        <f t="shared" si="68"/>
        <v>1.3</v>
      </c>
      <c r="AQ49" s="57">
        <f t="shared" si="68"/>
        <v>1.2000000000000002</v>
      </c>
      <c r="AR49" s="57">
        <f t="shared" si="68"/>
        <v>1.1500000000000001</v>
      </c>
      <c r="AS49" s="57">
        <f t="shared" si="68"/>
        <v>1.4000000000000001</v>
      </c>
      <c r="AT49" s="57">
        <f t="shared" si="68"/>
        <v>1.05</v>
      </c>
      <c r="AU49" s="57">
        <f t="shared" si="68"/>
        <v>1</v>
      </c>
      <c r="AV49" s="57">
        <f t="shared" si="68"/>
        <v>1.05</v>
      </c>
      <c r="AW49" s="57">
        <f t="shared" si="68"/>
        <v>1.03</v>
      </c>
      <c r="AX49" s="57">
        <f t="shared" si="68"/>
        <v>1.01</v>
      </c>
      <c r="AY49" s="57">
        <f t="shared" si="68"/>
        <v>2.1</v>
      </c>
      <c r="AZ49" s="57">
        <f t="shared" si="68"/>
        <v>2.0499999999999998</v>
      </c>
      <c r="BA49" s="57">
        <f t="shared" si="68"/>
        <v>1.45</v>
      </c>
      <c r="BB49" s="57">
        <f t="shared" si="68"/>
        <v>1.35</v>
      </c>
      <c r="BC49" s="57">
        <f t="shared" si="68"/>
        <v>1.1000000000000001</v>
      </c>
      <c r="BD49" s="57">
        <f t="shared" si="68"/>
        <v>3.1000000000000005</v>
      </c>
      <c r="BE49" s="57">
        <f t="shared" si="68"/>
        <v>2.85</v>
      </c>
      <c r="BF49" s="57">
        <f t="shared" si="68"/>
        <v>3.45</v>
      </c>
      <c r="BG49" s="57">
        <f t="shared" si="68"/>
        <v>1.2</v>
      </c>
      <c r="BH49" s="57">
        <f t="shared" si="68"/>
        <v>1.0900000000000001</v>
      </c>
      <c r="BI49" s="57">
        <f t="shared" si="68"/>
        <v>1.5500000000000003</v>
      </c>
      <c r="BJ49" s="57">
        <f t="shared" si="68"/>
        <v>1.05</v>
      </c>
      <c r="BK49" s="57">
        <f t="shared" si="68"/>
        <v>1.1000000000000001</v>
      </c>
      <c r="BL49" s="57">
        <f t="shared" si="68"/>
        <v>2</v>
      </c>
      <c r="BM49" s="57">
        <f t="shared" si="68"/>
        <v>1.02</v>
      </c>
      <c r="BN49" s="57">
        <f t="shared" ref="BN49:CE49" si="69">SUM(BN2:BN22)</f>
        <v>1.02</v>
      </c>
      <c r="BO49" s="57">
        <f t="shared" si="69"/>
        <v>1.06</v>
      </c>
      <c r="BP49" s="57">
        <f t="shared" si="69"/>
        <v>1.03</v>
      </c>
      <c r="BQ49" s="57">
        <f t="shared" si="69"/>
        <v>1.03</v>
      </c>
      <c r="BR49" s="57">
        <f t="shared" si="69"/>
        <v>1.2300000000000002</v>
      </c>
      <c r="BS49" s="57">
        <f t="shared" si="69"/>
        <v>1.05</v>
      </c>
      <c r="BT49" s="57">
        <f t="shared" si="69"/>
        <v>1.2200000000000002</v>
      </c>
      <c r="BU49" s="57">
        <f t="shared" si="69"/>
        <v>1.07</v>
      </c>
      <c r="BV49" s="57">
        <f t="shared" si="69"/>
        <v>1.03</v>
      </c>
      <c r="BW49" s="57">
        <f t="shared" si="69"/>
        <v>1</v>
      </c>
      <c r="BX49" s="57">
        <f t="shared" si="69"/>
        <v>2.6</v>
      </c>
      <c r="BY49" s="57">
        <f t="shared" si="69"/>
        <v>1.5500000000000005</v>
      </c>
      <c r="BZ49" s="57">
        <f t="shared" si="69"/>
        <v>1.4500000000000002</v>
      </c>
      <c r="CA49" s="57">
        <f t="shared" si="69"/>
        <v>1.4500000000000002</v>
      </c>
      <c r="CB49" s="57">
        <f t="shared" si="69"/>
        <v>1.8</v>
      </c>
      <c r="CC49" s="57">
        <f t="shared" si="69"/>
        <v>1.2</v>
      </c>
      <c r="CD49" s="57">
        <f t="shared" si="69"/>
        <v>1.1000000000000001</v>
      </c>
      <c r="CE49" s="57">
        <f t="shared" si="69"/>
        <v>1.5</v>
      </c>
      <c r="CO49">
        <f>CU40*CV41</f>
        <v>2.0364</v>
      </c>
      <c r="CX49" s="57">
        <f t="shared" si="21"/>
        <v>0.364846</v>
      </c>
      <c r="CY49">
        <v>48</v>
      </c>
      <c r="CZ49">
        <v>182423</v>
      </c>
      <c r="DA49" s="65">
        <f t="shared" si="22"/>
        <v>3801</v>
      </c>
      <c r="DB49" s="57">
        <f t="shared" si="23"/>
        <v>0.94581436585542888</v>
      </c>
    </row>
    <row r="50" spans="1:106">
      <c r="A50" s="45">
        <v>1914</v>
      </c>
      <c r="B50" s="57">
        <f t="shared" ref="B50:AG50" si="70">SUM(B2:B23)</f>
        <v>0.59000000000000008</v>
      </c>
      <c r="C50" s="57">
        <f t="shared" si="70"/>
        <v>0.10000000000000003</v>
      </c>
      <c r="D50" s="57">
        <f t="shared" si="70"/>
        <v>0.6</v>
      </c>
      <c r="E50" s="57">
        <f t="shared" si="70"/>
        <v>1.1499999999999999</v>
      </c>
      <c r="F50" s="57">
        <f t="shared" si="70"/>
        <v>1.25</v>
      </c>
      <c r="G50" s="57">
        <f t="shared" si="70"/>
        <v>3.4499999999999997</v>
      </c>
      <c r="H50" s="57">
        <f t="shared" si="70"/>
        <v>3.3700000000000006</v>
      </c>
      <c r="I50" s="59">
        <f t="shared" si="70"/>
        <v>1</v>
      </c>
      <c r="J50" s="59">
        <f t="shared" si="70"/>
        <v>1</v>
      </c>
      <c r="K50" s="57">
        <f t="shared" si="70"/>
        <v>0.90999999999999992</v>
      </c>
      <c r="L50" s="57">
        <f t="shared" si="70"/>
        <v>1.2000000000000002</v>
      </c>
      <c r="M50" s="57">
        <f t="shared" si="70"/>
        <v>2.04</v>
      </c>
      <c r="N50" s="57">
        <f t="shared" si="70"/>
        <v>0.79999999999999993</v>
      </c>
      <c r="O50" s="59">
        <f t="shared" si="70"/>
        <v>9.0000000000000019E-4</v>
      </c>
      <c r="P50" s="57">
        <f t="shared" si="70"/>
        <v>0.7</v>
      </c>
      <c r="Q50" s="57">
        <f t="shared" si="70"/>
        <v>4.3499999999999996</v>
      </c>
      <c r="R50" s="63">
        <f t="shared" si="70"/>
        <v>5</v>
      </c>
      <c r="S50" s="63">
        <f t="shared" si="70"/>
        <v>147</v>
      </c>
      <c r="T50" s="57">
        <f t="shared" si="70"/>
        <v>1</v>
      </c>
      <c r="U50" s="61">
        <f t="shared" si="70"/>
        <v>0.98099999999999998</v>
      </c>
      <c r="V50" s="57">
        <f t="shared" si="70"/>
        <v>1.7</v>
      </c>
      <c r="W50" s="57">
        <f t="shared" si="70"/>
        <v>1.7</v>
      </c>
      <c r="X50" s="57">
        <f t="shared" si="70"/>
        <v>1.5999999999999999</v>
      </c>
      <c r="Y50" s="57">
        <f t="shared" si="70"/>
        <v>6.1499999999999995</v>
      </c>
      <c r="Z50" s="57">
        <f t="shared" si="70"/>
        <v>2.5</v>
      </c>
      <c r="AA50" s="57">
        <f t="shared" si="70"/>
        <v>2.6000000000000005</v>
      </c>
      <c r="AB50" s="57">
        <f t="shared" si="70"/>
        <v>2.5</v>
      </c>
      <c r="AC50" s="57">
        <f t="shared" si="70"/>
        <v>1.05</v>
      </c>
      <c r="AD50" s="57">
        <f t="shared" si="70"/>
        <v>4.6500000000000004</v>
      </c>
      <c r="AE50" s="57">
        <f t="shared" si="70"/>
        <v>2.5</v>
      </c>
      <c r="AF50" s="57">
        <f t="shared" si="70"/>
        <v>2.0499999999999998</v>
      </c>
      <c r="AG50" s="57">
        <f t="shared" si="70"/>
        <v>1.1000000000000001</v>
      </c>
      <c r="AH50" s="57">
        <f t="shared" ref="AH50:BM50" si="71">SUM(AH2:AH23)</f>
        <v>3.75</v>
      </c>
      <c r="AI50" s="57">
        <f t="shared" si="71"/>
        <v>2</v>
      </c>
      <c r="AJ50" s="57">
        <f t="shared" si="71"/>
        <v>1.1000000000000001</v>
      </c>
      <c r="AK50" s="57">
        <f t="shared" si="71"/>
        <v>1.49</v>
      </c>
      <c r="AL50" s="57">
        <f t="shared" si="71"/>
        <v>1.4</v>
      </c>
      <c r="AM50" s="57">
        <f t="shared" si="71"/>
        <v>1.05</v>
      </c>
      <c r="AN50" s="57">
        <f t="shared" si="71"/>
        <v>1.1500000000000001</v>
      </c>
      <c r="AO50" s="57">
        <f t="shared" si="71"/>
        <v>1.1000000000000001</v>
      </c>
      <c r="AP50" s="57">
        <f t="shared" si="71"/>
        <v>1.3</v>
      </c>
      <c r="AQ50" s="57">
        <f t="shared" si="71"/>
        <v>1.2000000000000002</v>
      </c>
      <c r="AR50" s="57">
        <f t="shared" si="71"/>
        <v>1.1500000000000001</v>
      </c>
      <c r="AS50" s="57">
        <f t="shared" si="71"/>
        <v>1.4000000000000001</v>
      </c>
      <c r="AT50" s="57">
        <f t="shared" si="71"/>
        <v>1.05</v>
      </c>
      <c r="AU50" s="57">
        <f t="shared" si="71"/>
        <v>1</v>
      </c>
      <c r="AV50" s="57">
        <f t="shared" si="71"/>
        <v>1.05</v>
      </c>
      <c r="AW50" s="57">
        <f t="shared" si="71"/>
        <v>1.03</v>
      </c>
      <c r="AX50" s="57">
        <f t="shared" si="71"/>
        <v>1.01</v>
      </c>
      <c r="AY50" s="57">
        <f t="shared" si="71"/>
        <v>2.1</v>
      </c>
      <c r="AZ50" s="57">
        <f t="shared" si="71"/>
        <v>2.0499999999999998</v>
      </c>
      <c r="BA50" s="57">
        <f t="shared" si="71"/>
        <v>1.45</v>
      </c>
      <c r="BB50" s="57">
        <f t="shared" si="71"/>
        <v>1.35</v>
      </c>
      <c r="BC50" s="57">
        <f t="shared" si="71"/>
        <v>1.1000000000000001</v>
      </c>
      <c r="BD50" s="57">
        <f t="shared" si="71"/>
        <v>3.1000000000000005</v>
      </c>
      <c r="BE50" s="57">
        <f t="shared" si="71"/>
        <v>2.85</v>
      </c>
      <c r="BF50" s="57">
        <f t="shared" si="71"/>
        <v>3.45</v>
      </c>
      <c r="BG50" s="57">
        <f t="shared" si="71"/>
        <v>1.2</v>
      </c>
      <c r="BH50" s="57">
        <f t="shared" si="71"/>
        <v>1.0900000000000001</v>
      </c>
      <c r="BI50" s="57">
        <f t="shared" si="71"/>
        <v>1.5500000000000003</v>
      </c>
      <c r="BJ50" s="57">
        <f t="shared" si="71"/>
        <v>1.05</v>
      </c>
      <c r="BK50" s="57">
        <f t="shared" si="71"/>
        <v>1.1000000000000001</v>
      </c>
      <c r="BL50" s="57">
        <f t="shared" si="71"/>
        <v>2</v>
      </c>
      <c r="BM50" s="57">
        <f t="shared" si="71"/>
        <v>1.02</v>
      </c>
      <c r="BN50" s="57">
        <f t="shared" ref="BN50:CE50" si="72">SUM(BN2:BN23)</f>
        <v>1.02</v>
      </c>
      <c r="BO50" s="57">
        <f t="shared" si="72"/>
        <v>1.06</v>
      </c>
      <c r="BP50" s="57">
        <f t="shared" si="72"/>
        <v>1.03</v>
      </c>
      <c r="BQ50" s="57">
        <f t="shared" si="72"/>
        <v>1.03</v>
      </c>
      <c r="BR50" s="57">
        <f t="shared" si="72"/>
        <v>1.2300000000000002</v>
      </c>
      <c r="BS50" s="57">
        <f t="shared" si="72"/>
        <v>1.05</v>
      </c>
      <c r="BT50" s="57">
        <f t="shared" si="72"/>
        <v>1.2200000000000002</v>
      </c>
      <c r="BU50" s="57">
        <f t="shared" si="72"/>
        <v>1.07</v>
      </c>
      <c r="BV50" s="57">
        <f t="shared" si="72"/>
        <v>1.03</v>
      </c>
      <c r="BW50" s="57">
        <f t="shared" si="72"/>
        <v>1</v>
      </c>
      <c r="BX50" s="57">
        <f t="shared" si="72"/>
        <v>2.6</v>
      </c>
      <c r="BY50" s="57">
        <f t="shared" si="72"/>
        <v>1.5500000000000005</v>
      </c>
      <c r="BZ50" s="57">
        <f t="shared" si="72"/>
        <v>1.4500000000000002</v>
      </c>
      <c r="CA50" s="57">
        <f t="shared" si="72"/>
        <v>1.4500000000000002</v>
      </c>
      <c r="CB50" s="57">
        <f t="shared" si="72"/>
        <v>1.8</v>
      </c>
      <c r="CC50" s="57">
        <f t="shared" si="72"/>
        <v>1.2</v>
      </c>
      <c r="CD50" s="57">
        <f t="shared" si="72"/>
        <v>1.1000000000000001</v>
      </c>
      <c r="CE50" s="57">
        <f t="shared" si="72"/>
        <v>1.5</v>
      </c>
      <c r="CO50">
        <f>CV40*CU41</f>
        <v>3.3939499999999994</v>
      </c>
      <c r="CT50">
        <v>13.576000000000001</v>
      </c>
      <c r="CX50" s="57">
        <f t="shared" si="21"/>
        <v>0.372446</v>
      </c>
      <c r="CY50">
        <v>49</v>
      </c>
      <c r="CZ50">
        <v>186223</v>
      </c>
      <c r="DA50" s="65">
        <f t="shared" si="22"/>
        <v>3800</v>
      </c>
      <c r="DB50" s="57">
        <f t="shared" si="23"/>
        <v>0.96551634745999981</v>
      </c>
    </row>
    <row r="51" spans="1:106">
      <c r="A51" s="45">
        <v>1915</v>
      </c>
      <c r="B51" s="57">
        <f t="shared" ref="B51:AG51" si="73">SUM(B2:B24)</f>
        <v>0.59000000000000008</v>
      </c>
      <c r="C51" s="57">
        <f t="shared" si="73"/>
        <v>0.10000000000000003</v>
      </c>
      <c r="D51" s="57">
        <f t="shared" si="73"/>
        <v>0.6</v>
      </c>
      <c r="E51" s="57">
        <f t="shared" si="73"/>
        <v>1.1499999999999999</v>
      </c>
      <c r="F51" s="57">
        <f t="shared" si="73"/>
        <v>1.25</v>
      </c>
      <c r="G51" s="57">
        <f t="shared" si="73"/>
        <v>3.4499999999999997</v>
      </c>
      <c r="H51" s="57">
        <f t="shared" si="73"/>
        <v>3.3700000000000006</v>
      </c>
      <c r="I51" s="59">
        <f t="shared" si="73"/>
        <v>1</v>
      </c>
      <c r="J51" s="59">
        <f t="shared" si="73"/>
        <v>1</v>
      </c>
      <c r="K51" s="57">
        <f t="shared" si="73"/>
        <v>0.90999999999999992</v>
      </c>
      <c r="L51" s="57">
        <f t="shared" si="73"/>
        <v>1.2000000000000002</v>
      </c>
      <c r="M51" s="57">
        <f t="shared" si="73"/>
        <v>2.04</v>
      </c>
      <c r="N51" s="57">
        <f t="shared" si="73"/>
        <v>0.79999999999999993</v>
      </c>
      <c r="O51" s="59">
        <f t="shared" si="73"/>
        <v>9.0000000000000019E-4</v>
      </c>
      <c r="P51" s="57">
        <f t="shared" si="73"/>
        <v>0.7</v>
      </c>
      <c r="Q51" s="57">
        <f t="shared" si="73"/>
        <v>4.3499999999999996</v>
      </c>
      <c r="R51" s="63">
        <f t="shared" si="73"/>
        <v>6</v>
      </c>
      <c r="S51" s="63">
        <f t="shared" si="73"/>
        <v>147</v>
      </c>
      <c r="T51" s="57">
        <f t="shared" si="73"/>
        <v>1</v>
      </c>
      <c r="U51" s="61">
        <f t="shared" si="73"/>
        <v>0.98099999999999998</v>
      </c>
      <c r="V51" s="57">
        <f t="shared" si="73"/>
        <v>1.7</v>
      </c>
      <c r="W51" s="57">
        <f t="shared" si="73"/>
        <v>1.7</v>
      </c>
      <c r="X51" s="57">
        <f t="shared" si="73"/>
        <v>1.5999999999999999</v>
      </c>
      <c r="Y51" s="57">
        <f t="shared" si="73"/>
        <v>6.1499999999999995</v>
      </c>
      <c r="Z51" s="57">
        <f t="shared" si="73"/>
        <v>2.5</v>
      </c>
      <c r="AA51" s="57">
        <f t="shared" si="73"/>
        <v>2.6000000000000005</v>
      </c>
      <c r="AB51" s="57">
        <f t="shared" si="73"/>
        <v>2.5</v>
      </c>
      <c r="AC51" s="57">
        <f t="shared" si="73"/>
        <v>1.05</v>
      </c>
      <c r="AD51" s="57">
        <f t="shared" si="73"/>
        <v>4.6500000000000004</v>
      </c>
      <c r="AE51" s="57">
        <f t="shared" si="73"/>
        <v>2.5</v>
      </c>
      <c r="AF51" s="57">
        <f t="shared" si="73"/>
        <v>2.0499999999999998</v>
      </c>
      <c r="AG51" s="57">
        <f t="shared" si="73"/>
        <v>1.1000000000000001</v>
      </c>
      <c r="AH51" s="57">
        <f t="shared" ref="AH51:BM51" si="74">SUM(AH2:AH24)</f>
        <v>3.75</v>
      </c>
      <c r="AI51" s="57">
        <f t="shared" si="74"/>
        <v>2</v>
      </c>
      <c r="AJ51" s="57">
        <f t="shared" si="74"/>
        <v>1.1000000000000001</v>
      </c>
      <c r="AK51" s="57">
        <f t="shared" si="74"/>
        <v>1.49</v>
      </c>
      <c r="AL51" s="57">
        <f t="shared" si="74"/>
        <v>1.4</v>
      </c>
      <c r="AM51" s="57">
        <f t="shared" si="74"/>
        <v>1.05</v>
      </c>
      <c r="AN51" s="57">
        <f t="shared" si="74"/>
        <v>1.1500000000000001</v>
      </c>
      <c r="AO51" s="57">
        <f t="shared" si="74"/>
        <v>1.1000000000000001</v>
      </c>
      <c r="AP51" s="57">
        <f t="shared" si="74"/>
        <v>1.3</v>
      </c>
      <c r="AQ51" s="57">
        <f t="shared" si="74"/>
        <v>1.2000000000000002</v>
      </c>
      <c r="AR51" s="57">
        <f t="shared" si="74"/>
        <v>1.1500000000000001</v>
      </c>
      <c r="AS51" s="57">
        <f t="shared" si="74"/>
        <v>1.4000000000000001</v>
      </c>
      <c r="AT51" s="57">
        <f t="shared" si="74"/>
        <v>1.05</v>
      </c>
      <c r="AU51" s="57">
        <f t="shared" si="74"/>
        <v>1</v>
      </c>
      <c r="AV51" s="57">
        <f t="shared" si="74"/>
        <v>1.05</v>
      </c>
      <c r="AW51" s="57">
        <f t="shared" si="74"/>
        <v>1.03</v>
      </c>
      <c r="AX51" s="57">
        <f t="shared" si="74"/>
        <v>1.01</v>
      </c>
      <c r="AY51" s="57">
        <f t="shared" si="74"/>
        <v>2.1</v>
      </c>
      <c r="AZ51" s="57">
        <f t="shared" si="74"/>
        <v>2.0499999999999998</v>
      </c>
      <c r="BA51" s="57">
        <f t="shared" si="74"/>
        <v>1.45</v>
      </c>
      <c r="BB51" s="57">
        <f t="shared" si="74"/>
        <v>1.35</v>
      </c>
      <c r="BC51" s="57">
        <f t="shared" si="74"/>
        <v>1.1000000000000001</v>
      </c>
      <c r="BD51" s="57">
        <f t="shared" si="74"/>
        <v>3.1000000000000005</v>
      </c>
      <c r="BE51" s="57">
        <f t="shared" si="74"/>
        <v>2.85</v>
      </c>
      <c r="BF51" s="57">
        <f t="shared" si="74"/>
        <v>3.45</v>
      </c>
      <c r="BG51" s="57">
        <f t="shared" si="74"/>
        <v>1.2</v>
      </c>
      <c r="BH51" s="57">
        <f t="shared" si="74"/>
        <v>1.0900000000000001</v>
      </c>
      <c r="BI51" s="57">
        <f t="shared" si="74"/>
        <v>1.5500000000000003</v>
      </c>
      <c r="BJ51" s="57">
        <f t="shared" si="74"/>
        <v>1.05</v>
      </c>
      <c r="BK51" s="57">
        <f t="shared" si="74"/>
        <v>1.1000000000000001</v>
      </c>
      <c r="BL51" s="57">
        <f t="shared" si="74"/>
        <v>2</v>
      </c>
      <c r="BM51" s="57">
        <f t="shared" si="74"/>
        <v>1.02</v>
      </c>
      <c r="BN51" s="57">
        <f t="shared" ref="BN51:CE51" si="75">SUM(BN2:BN24)</f>
        <v>1.02</v>
      </c>
      <c r="BO51" s="57">
        <f t="shared" si="75"/>
        <v>1.06</v>
      </c>
      <c r="BP51" s="57">
        <f t="shared" si="75"/>
        <v>1.03</v>
      </c>
      <c r="BQ51" s="57">
        <f t="shared" si="75"/>
        <v>1.03</v>
      </c>
      <c r="BR51" s="57">
        <f t="shared" si="75"/>
        <v>1.2300000000000002</v>
      </c>
      <c r="BS51" s="57">
        <f t="shared" si="75"/>
        <v>1.05</v>
      </c>
      <c r="BT51" s="57">
        <f t="shared" si="75"/>
        <v>1.2200000000000002</v>
      </c>
      <c r="BU51" s="57">
        <f t="shared" si="75"/>
        <v>1.07</v>
      </c>
      <c r="BV51" s="57">
        <f t="shared" si="75"/>
        <v>1.03</v>
      </c>
      <c r="BW51" s="57">
        <f t="shared" si="75"/>
        <v>1</v>
      </c>
      <c r="BX51" s="57">
        <f t="shared" si="75"/>
        <v>2.6</v>
      </c>
      <c r="BY51" s="57">
        <f t="shared" si="75"/>
        <v>1.5500000000000005</v>
      </c>
      <c r="BZ51" s="57">
        <f t="shared" si="75"/>
        <v>1.4500000000000002</v>
      </c>
      <c r="CA51" s="57">
        <f t="shared" si="75"/>
        <v>1.4500000000000002</v>
      </c>
      <c r="CB51" s="57">
        <f t="shared" si="75"/>
        <v>1.8</v>
      </c>
      <c r="CC51" s="57">
        <f t="shared" si="75"/>
        <v>1.2</v>
      </c>
      <c r="CD51" s="57">
        <f t="shared" si="75"/>
        <v>1.1000000000000001</v>
      </c>
      <c r="CE51" s="57">
        <f t="shared" si="75"/>
        <v>1.5</v>
      </c>
      <c r="CT51">
        <v>9.6969999999999992</v>
      </c>
      <c r="CU51">
        <f>CT51*CT52</f>
        <v>1.4545499999999998</v>
      </c>
      <c r="CX51" s="57">
        <f t="shared" si="21"/>
        <v>0.380048</v>
      </c>
      <c r="CY51">
        <v>50</v>
      </c>
      <c r="CZ51">
        <v>190024</v>
      </c>
      <c r="DA51" s="65">
        <f t="shared" si="22"/>
        <v>3801</v>
      </c>
      <c r="DB51" s="57">
        <f t="shared" si="23"/>
        <v>0.9852235137965718</v>
      </c>
    </row>
    <row r="52" spans="1:106">
      <c r="A52" s="45">
        <v>1919</v>
      </c>
      <c r="B52" s="57">
        <f t="shared" ref="B52:AG52" si="76">SUM(B2:B25)</f>
        <v>0.64000000000000012</v>
      </c>
      <c r="C52" s="57">
        <f t="shared" si="76"/>
        <v>0.10000000000000003</v>
      </c>
      <c r="D52" s="57">
        <f t="shared" si="76"/>
        <v>0.6</v>
      </c>
      <c r="E52" s="57">
        <f t="shared" si="76"/>
        <v>1.1499999999999999</v>
      </c>
      <c r="F52" s="57">
        <f t="shared" si="76"/>
        <v>1.25</v>
      </c>
      <c r="G52" s="57">
        <f t="shared" si="76"/>
        <v>3.4499999999999997</v>
      </c>
      <c r="H52" s="57">
        <f t="shared" si="76"/>
        <v>3.3700000000000006</v>
      </c>
      <c r="I52" s="59">
        <f t="shared" si="76"/>
        <v>1</v>
      </c>
      <c r="J52" s="59">
        <f t="shared" si="76"/>
        <v>1</v>
      </c>
      <c r="K52" s="57">
        <f t="shared" si="76"/>
        <v>0.90999999999999992</v>
      </c>
      <c r="L52" s="57">
        <f t="shared" si="76"/>
        <v>1.2000000000000002</v>
      </c>
      <c r="M52" s="57">
        <f t="shared" si="76"/>
        <v>2.04</v>
      </c>
      <c r="N52" s="57">
        <f t="shared" si="76"/>
        <v>0.78999999999999992</v>
      </c>
      <c r="O52" s="59">
        <f t="shared" si="76"/>
        <v>9.0000000000000019E-4</v>
      </c>
      <c r="P52" s="57">
        <f t="shared" si="76"/>
        <v>0.7</v>
      </c>
      <c r="Q52" s="57">
        <f t="shared" si="76"/>
        <v>4.1499999999999995</v>
      </c>
      <c r="R52" s="63">
        <f t="shared" si="76"/>
        <v>6</v>
      </c>
      <c r="S52" s="63">
        <f t="shared" si="76"/>
        <v>147</v>
      </c>
      <c r="T52" s="57">
        <f t="shared" si="76"/>
        <v>1</v>
      </c>
      <c r="U52" s="61">
        <f t="shared" si="76"/>
        <v>0.98099999999999998</v>
      </c>
      <c r="V52" s="57">
        <f t="shared" si="76"/>
        <v>1.7</v>
      </c>
      <c r="W52" s="57">
        <f t="shared" si="76"/>
        <v>1.7</v>
      </c>
      <c r="X52" s="57">
        <f t="shared" si="76"/>
        <v>1.5999999999999999</v>
      </c>
      <c r="Y52" s="57">
        <f t="shared" si="76"/>
        <v>6.1499999999999995</v>
      </c>
      <c r="Z52" s="57">
        <f t="shared" si="76"/>
        <v>2.5</v>
      </c>
      <c r="AA52" s="57">
        <f t="shared" si="76"/>
        <v>2.6000000000000005</v>
      </c>
      <c r="AB52" s="57">
        <f t="shared" si="76"/>
        <v>2.5</v>
      </c>
      <c r="AC52" s="57">
        <f t="shared" si="76"/>
        <v>1.05</v>
      </c>
      <c r="AD52" s="57">
        <f t="shared" si="76"/>
        <v>4.6500000000000004</v>
      </c>
      <c r="AE52" s="57">
        <f t="shared" si="76"/>
        <v>2.5</v>
      </c>
      <c r="AF52" s="57">
        <f t="shared" si="76"/>
        <v>2.0499999999999998</v>
      </c>
      <c r="AG52" s="57">
        <f t="shared" si="76"/>
        <v>1.1000000000000001</v>
      </c>
      <c r="AH52" s="57">
        <f t="shared" ref="AH52:BM52" si="77">SUM(AH2:AH25)</f>
        <v>3.75</v>
      </c>
      <c r="AI52" s="57">
        <f t="shared" si="77"/>
        <v>2</v>
      </c>
      <c r="AJ52" s="57">
        <f t="shared" si="77"/>
        <v>1.1000000000000001</v>
      </c>
      <c r="AK52" s="57">
        <f t="shared" si="77"/>
        <v>1.49</v>
      </c>
      <c r="AL52" s="57">
        <f t="shared" si="77"/>
        <v>1.4</v>
      </c>
      <c r="AM52" s="57">
        <f t="shared" si="77"/>
        <v>1.05</v>
      </c>
      <c r="AN52" s="57">
        <f t="shared" si="77"/>
        <v>1.1500000000000001</v>
      </c>
      <c r="AO52" s="57">
        <f t="shared" si="77"/>
        <v>1.1000000000000001</v>
      </c>
      <c r="AP52" s="57">
        <f t="shared" si="77"/>
        <v>1.3</v>
      </c>
      <c r="AQ52" s="57">
        <f t="shared" si="77"/>
        <v>1.2000000000000002</v>
      </c>
      <c r="AR52" s="57">
        <f t="shared" si="77"/>
        <v>1.1500000000000001</v>
      </c>
      <c r="AS52" s="57">
        <f t="shared" si="77"/>
        <v>1.4000000000000001</v>
      </c>
      <c r="AT52" s="57">
        <f t="shared" si="77"/>
        <v>1.05</v>
      </c>
      <c r="AU52" s="57">
        <f t="shared" si="77"/>
        <v>1</v>
      </c>
      <c r="AV52" s="57">
        <f t="shared" si="77"/>
        <v>1.05</v>
      </c>
      <c r="AW52" s="57">
        <f t="shared" si="77"/>
        <v>1.03</v>
      </c>
      <c r="AX52" s="57">
        <f t="shared" si="77"/>
        <v>1.01</v>
      </c>
      <c r="AY52" s="57">
        <f t="shared" si="77"/>
        <v>2.1</v>
      </c>
      <c r="AZ52" s="57">
        <f t="shared" si="77"/>
        <v>2.0499999999999998</v>
      </c>
      <c r="BA52" s="57">
        <f t="shared" si="77"/>
        <v>1.45</v>
      </c>
      <c r="BB52" s="57">
        <f t="shared" si="77"/>
        <v>1.35</v>
      </c>
      <c r="BC52" s="57">
        <f t="shared" si="77"/>
        <v>1.1000000000000001</v>
      </c>
      <c r="BD52" s="57">
        <f t="shared" si="77"/>
        <v>3.1000000000000005</v>
      </c>
      <c r="BE52" s="57">
        <f t="shared" si="77"/>
        <v>2.85</v>
      </c>
      <c r="BF52" s="57">
        <f t="shared" si="77"/>
        <v>3.45</v>
      </c>
      <c r="BG52" s="57">
        <f t="shared" si="77"/>
        <v>1.2</v>
      </c>
      <c r="BH52" s="57">
        <f t="shared" si="77"/>
        <v>1.0900000000000001</v>
      </c>
      <c r="BI52" s="57">
        <f t="shared" si="77"/>
        <v>1.5500000000000003</v>
      </c>
      <c r="BJ52" s="57">
        <f t="shared" si="77"/>
        <v>1.05</v>
      </c>
      <c r="BK52" s="57">
        <f t="shared" si="77"/>
        <v>1.1000000000000001</v>
      </c>
      <c r="BL52" s="57">
        <f t="shared" si="77"/>
        <v>2</v>
      </c>
      <c r="BM52" s="57">
        <f t="shared" si="77"/>
        <v>1.02</v>
      </c>
      <c r="BN52" s="57">
        <f t="shared" ref="BN52:CE52" si="78">SUM(BN2:BN25)</f>
        <v>1.02</v>
      </c>
      <c r="BO52" s="57">
        <f t="shared" si="78"/>
        <v>1.06</v>
      </c>
      <c r="BP52" s="57">
        <f t="shared" si="78"/>
        <v>1.03</v>
      </c>
      <c r="BQ52" s="57">
        <f t="shared" si="78"/>
        <v>1.03</v>
      </c>
      <c r="BR52" s="57">
        <f t="shared" si="78"/>
        <v>1.2300000000000002</v>
      </c>
      <c r="BS52" s="57">
        <f t="shared" si="78"/>
        <v>1.05</v>
      </c>
      <c r="BT52" s="57">
        <f t="shared" si="78"/>
        <v>1.2200000000000002</v>
      </c>
      <c r="BU52" s="57">
        <f t="shared" si="78"/>
        <v>1.07</v>
      </c>
      <c r="BV52" s="57">
        <f t="shared" si="78"/>
        <v>1.03</v>
      </c>
      <c r="BW52" s="57">
        <f t="shared" si="78"/>
        <v>1</v>
      </c>
      <c r="BX52" s="57">
        <f t="shared" si="78"/>
        <v>2.6</v>
      </c>
      <c r="BY52" s="57">
        <f t="shared" si="78"/>
        <v>1.5500000000000005</v>
      </c>
      <c r="BZ52" s="57">
        <f t="shared" si="78"/>
        <v>1.4500000000000002</v>
      </c>
      <c r="CA52" s="57">
        <f t="shared" si="78"/>
        <v>1.4500000000000002</v>
      </c>
      <c r="CB52" s="57">
        <f t="shared" si="78"/>
        <v>1.8</v>
      </c>
      <c r="CC52" s="57">
        <f t="shared" si="78"/>
        <v>1.2</v>
      </c>
      <c r="CD52" s="57">
        <f t="shared" si="78"/>
        <v>1.1000000000000001</v>
      </c>
      <c r="CE52" s="57">
        <f t="shared" si="78"/>
        <v>1.5</v>
      </c>
      <c r="CO52">
        <f>CO49/CO50</f>
        <v>0.60000883925809168</v>
      </c>
      <c r="CT52">
        <v>0.15</v>
      </c>
      <c r="CX52" s="59">
        <f t="shared" si="21"/>
        <v>0.38574799999999998</v>
      </c>
      <c r="CY52">
        <v>51</v>
      </c>
      <c r="CZ52">
        <v>192874</v>
      </c>
      <c r="DA52" s="65">
        <f t="shared" si="22"/>
        <v>2850</v>
      </c>
      <c r="DB52" s="57">
        <f t="shared" si="23"/>
        <v>1</v>
      </c>
    </row>
    <row r="54" spans="1:106">
      <c r="CP54" t="s">
        <v>317</v>
      </c>
      <c r="CQ54" t="s">
        <v>318</v>
      </c>
      <c r="CR54" t="s">
        <v>319</v>
      </c>
      <c r="CX54" s="57">
        <f>CZ54/CZ52</f>
        <v>1.0833601211153396</v>
      </c>
      <c r="CZ54">
        <v>208952</v>
      </c>
    </row>
    <row r="55" spans="1:106">
      <c r="A55" s="45" t="s">
        <v>0</v>
      </c>
      <c r="B55" s="43" t="s">
        <v>207</v>
      </c>
      <c r="C55" s="45" t="s">
        <v>70</v>
      </c>
      <c r="D55" s="45" t="s">
        <v>320</v>
      </c>
      <c r="E55" s="45" t="s">
        <v>321</v>
      </c>
      <c r="F55" s="45" t="s">
        <v>322</v>
      </c>
      <c r="G55" s="45" t="s">
        <v>323</v>
      </c>
      <c r="H55" s="43" t="s">
        <v>228</v>
      </c>
      <c r="I55" s="43" t="s">
        <v>229</v>
      </c>
      <c r="J55" s="68" t="s">
        <v>324</v>
      </c>
      <c r="K55" s="45" t="s">
        <v>85</v>
      </c>
      <c r="L55" s="68" t="s">
        <v>236</v>
      </c>
      <c r="CP55">
        <v>16258</v>
      </c>
      <c r="CQ55">
        <v>0.3</v>
      </c>
      <c r="CR55">
        <v>4.7510000000000003</v>
      </c>
      <c r="CS55">
        <f>CR55/CQ55</f>
        <v>15.836666666666668</v>
      </c>
    </row>
    <row r="56" spans="1:106">
      <c r="A56" s="45" t="s">
        <v>307</v>
      </c>
      <c r="B56" s="45" t="s">
        <v>163</v>
      </c>
      <c r="C56" s="70">
        <v>100000</v>
      </c>
      <c r="D56" s="43" t="s">
        <v>58</v>
      </c>
      <c r="E56" s="45" t="s">
        <v>58</v>
      </c>
      <c r="F56" s="45" t="s">
        <v>58</v>
      </c>
      <c r="G56" s="45" t="s">
        <v>58</v>
      </c>
      <c r="H56" s="68">
        <f>VLOOKUP($A$56,$A$28:$CE$52,5,0)+INDEX($A$28:$CE$52, MATCH(A56, $A$28:$A$52, 0), MATCH(B56 &amp; " Output", $A$28:$CE$28, 0))+IF(VLOOKUP(B56,B65:C92,2,0)="Mine",VLOOKUP(A56,$A$28:$CE$52,7,0),VLOOKUP(A56,$A$28:$CE$52,8,0))-3</f>
        <v>0.84999999999999964</v>
      </c>
      <c r="I56" s="43">
        <f>VLOOKUP(A56,$A$28:$CE$52,6,0)-1</f>
        <v>0.25</v>
      </c>
      <c r="J56" s="43">
        <f>VLOOKUP($A$56,$A$28:$CE$52,5,0)+INDEX($A$28:$CE$52, MATCH(A56, $A$28:$A$52, 0), MATCH(B56 &amp; " Size", $A$28:$CE$28, 0))</f>
        <v>2</v>
      </c>
      <c r="K56" s="71">
        <f>VLOOKUP(A56,$A$28:$CE$52,15,0)</f>
        <v>5.0000000000000001E-4</v>
      </c>
      <c r="L56" s="43">
        <f>VLOOKUP(A56,$A$28:$CE$52,16,0)-1</f>
        <v>-9.9999999999999978E-2</v>
      </c>
      <c r="CQ56">
        <f>CP55/CQ55</f>
        <v>54193.333333333336</v>
      </c>
      <c r="CR56" s="72">
        <f>CR55/CQ56</f>
        <v>8.7667609792102351E-5</v>
      </c>
    </row>
    <row r="58" spans="1:106">
      <c r="CQ58" s="65"/>
    </row>
    <row r="59" spans="1:106">
      <c r="CP59" t="s">
        <v>317</v>
      </c>
      <c r="CQ59" t="s">
        <v>318</v>
      </c>
      <c r="CR59" t="s">
        <v>319</v>
      </c>
    </row>
    <row r="60" spans="1:106">
      <c r="CP60">
        <v>98168</v>
      </c>
      <c r="CQ60">
        <v>0.5</v>
      </c>
      <c r="CR60">
        <f>CP60*CQ60/1000</f>
        <v>49.084000000000003</v>
      </c>
    </row>
    <row r="64" spans="1:106">
      <c r="B64" s="73" t="s">
        <v>207</v>
      </c>
      <c r="C64" s="74" t="s">
        <v>325</v>
      </c>
    </row>
    <row r="65" spans="2:3">
      <c r="B65" s="75" t="s">
        <v>148</v>
      </c>
      <c r="C65" s="43" t="s">
        <v>326</v>
      </c>
    </row>
    <row r="66" spans="2:3">
      <c r="B66" s="75" t="s">
        <v>150</v>
      </c>
      <c r="C66" s="43" t="s">
        <v>326</v>
      </c>
    </row>
    <row r="67" spans="2:3">
      <c r="B67" s="75" t="s">
        <v>152</v>
      </c>
      <c r="C67" s="43" t="s">
        <v>326</v>
      </c>
    </row>
    <row r="68" spans="2:3">
      <c r="B68" s="75" t="s">
        <v>153</v>
      </c>
      <c r="C68" s="43" t="s">
        <v>326</v>
      </c>
    </row>
    <row r="69" spans="2:3">
      <c r="B69" s="75" t="s">
        <v>154</v>
      </c>
      <c r="C69" s="43" t="s">
        <v>326</v>
      </c>
    </row>
    <row r="70" spans="2:3">
      <c r="B70" s="75" t="s">
        <v>155</v>
      </c>
      <c r="C70" s="43" t="s">
        <v>326</v>
      </c>
    </row>
    <row r="71" spans="2:3">
      <c r="B71" s="75" t="s">
        <v>156</v>
      </c>
      <c r="C71" s="43" t="s">
        <v>327</v>
      </c>
    </row>
    <row r="72" spans="2:3">
      <c r="B72" s="75" t="s">
        <v>157</v>
      </c>
      <c r="C72" s="43" t="s">
        <v>327</v>
      </c>
    </row>
    <row r="73" spans="2:3">
      <c r="B73" s="75" t="s">
        <v>158</v>
      </c>
      <c r="C73" s="43" t="s">
        <v>326</v>
      </c>
    </row>
    <row r="74" spans="2:3">
      <c r="B74" s="75" t="s">
        <v>328</v>
      </c>
      <c r="C74" s="43" t="s">
        <v>326</v>
      </c>
    </row>
    <row r="75" spans="2:3">
      <c r="B75" s="75" t="s">
        <v>160</v>
      </c>
      <c r="C75" s="43" t="s">
        <v>326</v>
      </c>
    </row>
    <row r="76" spans="2:3">
      <c r="B76" s="75" t="s">
        <v>161</v>
      </c>
      <c r="C76" s="43" t="s">
        <v>326</v>
      </c>
    </row>
    <row r="77" spans="2:3">
      <c r="B77" s="75" t="s">
        <v>162</v>
      </c>
      <c r="C77" s="43" t="s">
        <v>326</v>
      </c>
    </row>
    <row r="78" spans="2:3">
      <c r="B78" s="75" t="s">
        <v>163</v>
      </c>
      <c r="C78" s="43" t="s">
        <v>326</v>
      </c>
    </row>
    <row r="79" spans="2:3">
      <c r="B79" s="75" t="s">
        <v>164</v>
      </c>
      <c r="C79" s="43" t="s">
        <v>326</v>
      </c>
    </row>
    <row r="80" spans="2:3">
      <c r="B80" s="75" t="s">
        <v>165</v>
      </c>
      <c r="C80" s="43" t="s">
        <v>327</v>
      </c>
    </row>
    <row r="81" spans="2:3">
      <c r="B81" s="75" t="s">
        <v>166</v>
      </c>
      <c r="C81" s="43" t="s">
        <v>327</v>
      </c>
    </row>
    <row r="82" spans="2:3">
      <c r="B82" s="75" t="s">
        <v>167</v>
      </c>
      <c r="C82" s="43" t="s">
        <v>327</v>
      </c>
    </row>
    <row r="83" spans="2:3">
      <c r="B83" s="75" t="s">
        <v>168</v>
      </c>
      <c r="C83" s="43" t="s">
        <v>327</v>
      </c>
    </row>
    <row r="84" spans="2:3">
      <c r="B84" s="75" t="s">
        <v>169</v>
      </c>
      <c r="C84" s="43" t="s">
        <v>327</v>
      </c>
    </row>
    <row r="85" spans="2:3">
      <c r="B85" s="75" t="s">
        <v>170</v>
      </c>
      <c r="C85" s="43" t="s">
        <v>327</v>
      </c>
    </row>
    <row r="86" spans="2:3">
      <c r="B86" s="75" t="s">
        <v>171</v>
      </c>
      <c r="C86" s="43" t="s">
        <v>327</v>
      </c>
    </row>
    <row r="87" spans="2:3">
      <c r="B87" s="75" t="s">
        <v>172</v>
      </c>
      <c r="C87" s="43" t="s">
        <v>327</v>
      </c>
    </row>
    <row r="88" spans="2:3">
      <c r="B88" s="75" t="s">
        <v>173</v>
      </c>
      <c r="C88" s="43" t="s">
        <v>327</v>
      </c>
    </row>
    <row r="89" spans="2:3">
      <c r="B89" s="75" t="s">
        <v>174</v>
      </c>
      <c r="C89" s="43" t="s">
        <v>327</v>
      </c>
    </row>
    <row r="90" spans="2:3">
      <c r="B90" s="75" t="s">
        <v>175</v>
      </c>
      <c r="C90" s="43" t="s">
        <v>327</v>
      </c>
    </row>
    <row r="91" spans="2:3">
      <c r="B91" s="75" t="s">
        <v>176</v>
      </c>
      <c r="C91" s="43" t="s">
        <v>327</v>
      </c>
    </row>
    <row r="92" spans="2:3">
      <c r="B92" s="75" t="s">
        <v>177</v>
      </c>
      <c r="C92" s="43" t="s">
        <v>327</v>
      </c>
    </row>
  </sheetData>
  <dataValidations count="3">
    <dataValidation type="list" operator="equal" showErrorMessage="1" sqref="D56:G56" xr:uid="{00000000-0002-0000-0900-000000000000}">
      <formula1>"No,Yes"</formula1>
      <formula2>0</formula2>
    </dataValidation>
    <dataValidation type="list" operator="equal" showErrorMessage="1" sqref="B56" xr:uid="{00000000-0002-0000-0900-000001000000}">
      <formula1>"Cotton,Dye,Wool,Silk,Coal,Sulfur,Iron,Wood,Tropical Wood,Sugar,Rubber,Oil,Livestock,Fish,Fruit,Grain,Tobacco,Tea,Coffee,Opium"</formula1>
      <formula2>0</formula2>
    </dataValidation>
    <dataValidation type="list" operator="equal" showErrorMessage="1" sqref="A56" xr:uid="{00000000-0002-0000-0900-000002000000}">
      <formula1>"Base Values,No Reforms,Unciv Reforms,Base Techs,1830 2 row,1830 all,1840,1848,1850,1855,1860,1870,1875,1880,1890,1895,1898,1900,1905,1910,1914,1915,1919"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F54EF-9835-47E0-8BB1-19E08373A5F2}">
  <dimension ref="A1:U21"/>
  <sheetViews>
    <sheetView tabSelected="1" zoomScale="130" zoomScaleNormal="130" workbookViewId="0">
      <selection activeCell="J8" sqref="J8"/>
    </sheetView>
  </sheetViews>
  <sheetFormatPr defaultRowHeight="15"/>
  <cols>
    <col min="1" max="1" width="4.85546875" bestFit="1" customWidth="1"/>
    <col min="2" max="2" width="6.42578125" bestFit="1" customWidth="1"/>
    <col min="3" max="3" width="4.5703125" bestFit="1" customWidth="1"/>
    <col min="4" max="4" width="10.42578125" bestFit="1" customWidth="1"/>
    <col min="5" max="5" width="7.85546875" bestFit="1" customWidth="1"/>
    <col min="6" max="6" width="8.28515625" bestFit="1" customWidth="1"/>
    <col min="7" max="7" width="6.42578125" bestFit="1" customWidth="1"/>
    <col min="8" max="8" width="9.42578125" bestFit="1" customWidth="1"/>
    <col min="9" max="9" width="11.85546875" bestFit="1" customWidth="1"/>
    <col min="10" max="10" width="11" bestFit="1" customWidth="1"/>
    <col min="11" max="11" width="4.85546875" bestFit="1" customWidth="1"/>
    <col min="12" max="12" width="8.28515625" bestFit="1" customWidth="1"/>
  </cols>
  <sheetData>
    <row r="1" spans="1:21">
      <c r="A1" s="77" t="s">
        <v>180</v>
      </c>
      <c r="B1" s="77"/>
      <c r="C1" s="77"/>
      <c r="D1" s="77"/>
      <c r="E1" s="77"/>
      <c r="F1" s="77"/>
      <c r="T1" s="45" t="s">
        <v>330</v>
      </c>
      <c r="U1" s="45" t="s">
        <v>181</v>
      </c>
    </row>
    <row r="2" spans="1:21">
      <c r="A2" s="45" t="s">
        <v>330</v>
      </c>
      <c r="B2" s="45" t="s">
        <v>194</v>
      </c>
      <c r="C2" s="45" t="s">
        <v>333</v>
      </c>
      <c r="D2" s="45" t="s">
        <v>334</v>
      </c>
      <c r="E2" s="45" t="s">
        <v>335</v>
      </c>
      <c r="F2" s="45" t="s">
        <v>329</v>
      </c>
      <c r="H2" s="45" t="s">
        <v>194</v>
      </c>
      <c r="I2" s="45" t="s">
        <v>332</v>
      </c>
      <c r="J2" s="45" t="s">
        <v>331</v>
      </c>
      <c r="T2" s="45">
        <v>-5</v>
      </c>
      <c r="U2" s="45">
        <v>2</v>
      </c>
    </row>
    <row r="3" spans="1:21">
      <c r="A3" s="45">
        <v>7</v>
      </c>
      <c r="B3" s="45">
        <v>17</v>
      </c>
      <c r="C3" s="45">
        <v>13</v>
      </c>
      <c r="D3" s="45">
        <v>0</v>
      </c>
      <c r="E3" s="76">
        <v>0</v>
      </c>
      <c r="F3" s="76">
        <v>1</v>
      </c>
      <c r="H3" s="78">
        <f>B3*VLOOKUP(A3,$T$2:$U$21,2)/C6*(1-(D6/100))*(1-E6)*F3</f>
        <v>46.363636363636367</v>
      </c>
      <c r="I3" s="79">
        <f>H3*0.4</f>
        <v>18.545454545454547</v>
      </c>
      <c r="J3" s="80">
        <f>H3*0.2</f>
        <v>9.2727272727272734</v>
      </c>
      <c r="T3" s="45">
        <v>-4</v>
      </c>
      <c r="U3" s="45">
        <v>2</v>
      </c>
    </row>
    <row r="4" spans="1:21">
      <c r="A4" s="77" t="s">
        <v>199</v>
      </c>
      <c r="B4" s="77"/>
      <c r="C4" s="77"/>
      <c r="D4" s="77"/>
      <c r="E4" s="77"/>
      <c r="F4" s="77"/>
      <c r="T4" s="45">
        <v>-3</v>
      </c>
      <c r="U4" s="45">
        <v>2</v>
      </c>
    </row>
    <row r="5" spans="1:21">
      <c r="A5" s="45" t="s">
        <v>330</v>
      </c>
      <c r="B5" s="45" t="s">
        <v>194</v>
      </c>
      <c r="C5" s="45" t="s">
        <v>333</v>
      </c>
      <c r="D5" s="45" t="s">
        <v>334</v>
      </c>
      <c r="E5" s="45" t="s">
        <v>335</v>
      </c>
      <c r="F5" s="45" t="s">
        <v>329</v>
      </c>
      <c r="H5" s="45" t="s">
        <v>194</v>
      </c>
      <c r="I5" s="45" t="s">
        <v>332</v>
      </c>
      <c r="J5" s="45" t="s">
        <v>331</v>
      </c>
      <c r="T5" s="45">
        <v>-2</v>
      </c>
      <c r="U5" s="45">
        <v>2</v>
      </c>
    </row>
    <row r="6" spans="1:21">
      <c r="A6" s="45">
        <v>7</v>
      </c>
      <c r="B6" s="45">
        <v>25</v>
      </c>
      <c r="C6" s="45">
        <v>11</v>
      </c>
      <c r="D6" s="45">
        <v>0</v>
      </c>
      <c r="E6" s="76">
        <v>0</v>
      </c>
      <c r="F6" s="76">
        <v>1</v>
      </c>
      <c r="H6" s="78">
        <f>B6*VLOOKUP(A6,$T$2:$U$21,2)/C3*(1-(D3/100))*(1-E3)*F6</f>
        <v>57.692307692307693</v>
      </c>
      <c r="I6" s="79">
        <f>H6*0.4</f>
        <v>23.07692307692308</v>
      </c>
      <c r="J6" s="80">
        <f>H6*0.2</f>
        <v>11.53846153846154</v>
      </c>
      <c r="T6" s="45">
        <v>-1</v>
      </c>
      <c r="U6" s="45">
        <v>4</v>
      </c>
    </row>
    <row r="7" spans="1:21">
      <c r="T7" s="45">
        <v>0</v>
      </c>
      <c r="U7" s="45">
        <v>6</v>
      </c>
    </row>
    <row r="8" spans="1:21">
      <c r="T8" s="45">
        <v>1</v>
      </c>
      <c r="U8" s="45">
        <v>8</v>
      </c>
    </row>
    <row r="9" spans="1:21">
      <c r="T9" s="45">
        <v>2</v>
      </c>
      <c r="U9" s="45">
        <v>10</v>
      </c>
    </row>
    <row r="10" spans="1:21">
      <c r="T10" s="45">
        <v>3</v>
      </c>
      <c r="U10" s="45">
        <v>12</v>
      </c>
    </row>
    <row r="11" spans="1:21">
      <c r="T11" s="45">
        <v>4</v>
      </c>
      <c r="U11" s="45">
        <v>16</v>
      </c>
    </row>
    <row r="12" spans="1:21">
      <c r="T12" s="45">
        <v>5</v>
      </c>
      <c r="U12" s="45">
        <v>20</v>
      </c>
    </row>
    <row r="13" spans="1:21">
      <c r="T13" s="45">
        <v>6</v>
      </c>
      <c r="U13" s="45">
        <v>25</v>
      </c>
    </row>
    <row r="14" spans="1:21">
      <c r="T14" s="45">
        <v>7</v>
      </c>
      <c r="U14" s="45">
        <v>30</v>
      </c>
    </row>
    <row r="15" spans="1:21">
      <c r="T15" s="45">
        <v>8</v>
      </c>
      <c r="U15" s="45">
        <v>35</v>
      </c>
    </row>
    <row r="16" spans="1:21">
      <c r="T16" s="45">
        <v>9</v>
      </c>
      <c r="U16" s="45">
        <v>40</v>
      </c>
    </row>
    <row r="17" spans="20:21">
      <c r="T17" s="45">
        <v>10</v>
      </c>
      <c r="U17" s="45">
        <v>45</v>
      </c>
    </row>
    <row r="18" spans="20:21">
      <c r="T18" s="45">
        <v>11</v>
      </c>
      <c r="U18" s="45">
        <v>50</v>
      </c>
    </row>
    <row r="19" spans="20:21">
      <c r="T19" s="45">
        <v>12</v>
      </c>
      <c r="U19" s="45">
        <v>60</v>
      </c>
    </row>
    <row r="20" spans="20:21">
      <c r="T20" s="45">
        <v>13</v>
      </c>
      <c r="U20" s="45">
        <v>70</v>
      </c>
    </row>
    <row r="21" spans="20:21">
      <c r="T21" s="45">
        <v>14</v>
      </c>
      <c r="U21" s="45">
        <v>80</v>
      </c>
    </row>
  </sheetData>
  <mergeCells count="2">
    <mergeCell ref="A1:F1"/>
    <mergeCell ref="A4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1714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11</vt:i4>
      </vt:variant>
    </vt:vector>
  </HeadingPairs>
  <TitlesOfParts>
    <vt:vector size="11" baseType="lpstr">
      <vt:lpstr>Tech Graph</vt:lpstr>
      <vt:lpstr>Tech Cost</vt:lpstr>
      <vt:lpstr>Education Efficiency</vt:lpstr>
      <vt:lpstr>State Sim</vt:lpstr>
      <vt:lpstr>Treaty Ports</vt:lpstr>
      <vt:lpstr>Goods values</vt:lpstr>
      <vt:lpstr>POP Growth</vt:lpstr>
      <vt:lpstr>Military</vt:lpstr>
      <vt:lpstr>Colonial RGOs</vt:lpstr>
      <vt:lpstr>Stocks</vt:lpstr>
      <vt:lpstr>Navy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Debski Franciszek</dc:creator>
  <dc:description/>
  <cp:lastModifiedBy>Debski Franciszek</cp:lastModifiedBy>
  <cp:revision>401</cp:revision>
  <dcterms:created xsi:type="dcterms:W3CDTF">2026-08-26T05:40:12Z</dcterms:created>
  <dcterms:modified xsi:type="dcterms:W3CDTF">2026-09-25T11:30:56Z</dcterms:modified>
  <dc:language>pl-PL</dc:language>
</cp:coreProperties>
</file>