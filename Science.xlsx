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l009526\Searches\Folderek\"/>
    </mc:Choice>
  </mc:AlternateContent>
  <xr:revisionPtr revIDLastSave="0" documentId="13_ncr:1_{FB4F4121-4CD6-4BA1-A625-CFD202CE9E7D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Tech Graph" sheetId="1" r:id="rId1"/>
    <sheet name="Tech Cost" sheetId="2" r:id="rId2"/>
    <sheet name="Education Efficiency" sheetId="3" r:id="rId3"/>
    <sheet name="State Sim" sheetId="4" r:id="rId4"/>
    <sheet name="Treaty Ports" sheetId="5" r:id="rId5"/>
    <sheet name="Goods values" sheetId="6" r:id="rId6"/>
    <sheet name="POP Growth" sheetId="7" r:id="rId7"/>
    <sheet name="Military" sheetId="8" r:id="rId8"/>
    <sheet name="Navy" sheetId="9" r:id="rId9"/>
    <sheet name="Stocks" sheetId="10" r:id="rId10"/>
    <sheet name="Colonial RGOs" sheetId="11" r:id="rId11"/>
  </sheets>
  <definedNames>
    <definedName name="_xlnm._FilterDatabase" localSheetId="4" hidden="1">'Treaty Ports'!$A$1:$H$27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3" i="9" l="1"/>
  <c r="N3" i="9"/>
  <c r="Q3" i="9"/>
  <c r="M3" i="9"/>
  <c r="AG38" i="9"/>
  <c r="AG39" i="9"/>
  <c r="AG40" i="9"/>
  <c r="AG41" i="9"/>
  <c r="AG42" i="9"/>
  <c r="AG43" i="9"/>
  <c r="AG44" i="9"/>
  <c r="AG45" i="9"/>
  <c r="AG46" i="9"/>
  <c r="AG47" i="9"/>
  <c r="AG48" i="9"/>
  <c r="AG49" i="9"/>
  <c r="AG50" i="9"/>
  <c r="AG37" i="9"/>
  <c r="AF38" i="9"/>
  <c r="AF39" i="9"/>
  <c r="AF40" i="9"/>
  <c r="AF41" i="9"/>
  <c r="AF42" i="9"/>
  <c r="AF43" i="9"/>
  <c r="AF44" i="9"/>
  <c r="AF45" i="9"/>
  <c r="AF46" i="9"/>
  <c r="AF47" i="9"/>
  <c r="AF48" i="9"/>
  <c r="AF49" i="9"/>
  <c r="AF50" i="9"/>
  <c r="AF37" i="9"/>
  <c r="AE50" i="9"/>
  <c r="AE38" i="9"/>
  <c r="AE39" i="9"/>
  <c r="AE40" i="9"/>
  <c r="AE41" i="9"/>
  <c r="AE42" i="9"/>
  <c r="AE43" i="9"/>
  <c r="AE44" i="9"/>
  <c r="AE45" i="9"/>
  <c r="AE46" i="9"/>
  <c r="AE47" i="9"/>
  <c r="AE48" i="9"/>
  <c r="AE49" i="9"/>
  <c r="AE33" i="9"/>
  <c r="AJ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20" i="9"/>
  <c r="DB20" i="9"/>
  <c r="DC20" i="9"/>
  <c r="DC37" i="9" s="1"/>
  <c r="DD20" i="9"/>
  <c r="DE20" i="9"/>
  <c r="DF20" i="9"/>
  <c r="DF37" i="9" s="1"/>
  <c r="DG20" i="9"/>
  <c r="DG37" i="9" s="1"/>
  <c r="DH20" i="9"/>
  <c r="DB21" i="9"/>
  <c r="DC21" i="9"/>
  <c r="DC38" i="9" s="1"/>
  <c r="DD21" i="9"/>
  <c r="DE21" i="9"/>
  <c r="DF21" i="9"/>
  <c r="DF38" i="9" s="1"/>
  <c r="DG21" i="9"/>
  <c r="DG38" i="9" s="1"/>
  <c r="DH21" i="9"/>
  <c r="DB22" i="9"/>
  <c r="DC22" i="9"/>
  <c r="DC39" i="9" s="1"/>
  <c r="DD22" i="9"/>
  <c r="DE22" i="9"/>
  <c r="DF22" i="9"/>
  <c r="DF39" i="9" s="1"/>
  <c r="DG22" i="9"/>
  <c r="DG39" i="9" s="1"/>
  <c r="DH22" i="9"/>
  <c r="DB23" i="9"/>
  <c r="DC23" i="9"/>
  <c r="DC40" i="9" s="1"/>
  <c r="DD23" i="9"/>
  <c r="DE23" i="9"/>
  <c r="DF23" i="9"/>
  <c r="DF40" i="9" s="1"/>
  <c r="DG23" i="9"/>
  <c r="DG40" i="9" s="1"/>
  <c r="DH23" i="9"/>
  <c r="DB24" i="9"/>
  <c r="DC24" i="9"/>
  <c r="DC41" i="9" s="1"/>
  <c r="DD24" i="9"/>
  <c r="DE24" i="9"/>
  <c r="DF24" i="9"/>
  <c r="DF41" i="9" s="1"/>
  <c r="DG24" i="9"/>
  <c r="DG41" i="9" s="1"/>
  <c r="DH24" i="9"/>
  <c r="DB25" i="9"/>
  <c r="DC25" i="9"/>
  <c r="DC42" i="9" s="1"/>
  <c r="DD25" i="9"/>
  <c r="DE25" i="9"/>
  <c r="DF25" i="9"/>
  <c r="DF42" i="9" s="1"/>
  <c r="DG25" i="9"/>
  <c r="DG42" i="9" s="1"/>
  <c r="DH25" i="9"/>
  <c r="DB26" i="9"/>
  <c r="DC26" i="9"/>
  <c r="DC43" i="9" s="1"/>
  <c r="DD26" i="9"/>
  <c r="DE26" i="9"/>
  <c r="DF26" i="9"/>
  <c r="DF43" i="9" s="1"/>
  <c r="DG26" i="9"/>
  <c r="DG43" i="9" s="1"/>
  <c r="DH26" i="9"/>
  <c r="DB27" i="9"/>
  <c r="DC27" i="9"/>
  <c r="DC44" i="9" s="1"/>
  <c r="DD27" i="9"/>
  <c r="DE27" i="9"/>
  <c r="DF27" i="9"/>
  <c r="DF44" i="9" s="1"/>
  <c r="DG27" i="9"/>
  <c r="DG44" i="9" s="1"/>
  <c r="DH27" i="9"/>
  <c r="DB28" i="9"/>
  <c r="DC28" i="9"/>
  <c r="DC45" i="9" s="1"/>
  <c r="DD28" i="9"/>
  <c r="DE28" i="9"/>
  <c r="DF28" i="9"/>
  <c r="DF45" i="9" s="1"/>
  <c r="DG28" i="9"/>
  <c r="DG45" i="9" s="1"/>
  <c r="DH28" i="9"/>
  <c r="DB29" i="9"/>
  <c r="DC29" i="9"/>
  <c r="DC46" i="9" s="1"/>
  <c r="DD29" i="9"/>
  <c r="DE29" i="9"/>
  <c r="DF29" i="9"/>
  <c r="DF46" i="9" s="1"/>
  <c r="DG29" i="9"/>
  <c r="DG46" i="9" s="1"/>
  <c r="DH29" i="9"/>
  <c r="DB30" i="9"/>
  <c r="DC30" i="9"/>
  <c r="DC47" i="9" s="1"/>
  <c r="DD30" i="9"/>
  <c r="DE30" i="9"/>
  <c r="DF30" i="9"/>
  <c r="DF47" i="9" s="1"/>
  <c r="DG30" i="9"/>
  <c r="DG47" i="9" s="1"/>
  <c r="DH30" i="9"/>
  <c r="DB31" i="9"/>
  <c r="DC31" i="9"/>
  <c r="DC48" i="9" s="1"/>
  <c r="DD31" i="9"/>
  <c r="DE31" i="9"/>
  <c r="DF31" i="9"/>
  <c r="DF48" i="9" s="1"/>
  <c r="DG31" i="9"/>
  <c r="DG48" i="9" s="1"/>
  <c r="DH31" i="9"/>
  <c r="DB32" i="9"/>
  <c r="DC32" i="9"/>
  <c r="DC49" i="9" s="1"/>
  <c r="DD32" i="9"/>
  <c r="DE32" i="9"/>
  <c r="DF32" i="9"/>
  <c r="DF49" i="9" s="1"/>
  <c r="DG32" i="9"/>
  <c r="DG49" i="9" s="1"/>
  <c r="DH32" i="9"/>
  <c r="DB33" i="9"/>
  <c r="DC33" i="9"/>
  <c r="DC50" i="9" s="1"/>
  <c r="DD33" i="9"/>
  <c r="DE33" i="9"/>
  <c r="DF33" i="9"/>
  <c r="DF50" i="9" s="1"/>
  <c r="DG33" i="9"/>
  <c r="DG50" i="9" s="1"/>
  <c r="DH33" i="9"/>
  <c r="CJ20" i="9"/>
  <c r="CK20" i="9"/>
  <c r="CK37" i="9" s="1"/>
  <c r="CL20" i="9"/>
  <c r="CL37" i="9" s="1"/>
  <c r="CM20" i="9"/>
  <c r="CN20" i="9"/>
  <c r="CO20" i="9"/>
  <c r="CO37" i="9" s="1"/>
  <c r="CP20" i="9"/>
  <c r="CQ20" i="9"/>
  <c r="CR20" i="9"/>
  <c r="CR37" i="9" s="1"/>
  <c r="CS20" i="9"/>
  <c r="CS37" i="9" s="1"/>
  <c r="CT20" i="9"/>
  <c r="CU20" i="9"/>
  <c r="CV20" i="9"/>
  <c r="CV37" i="9" s="1"/>
  <c r="CW20" i="9"/>
  <c r="CX20" i="9"/>
  <c r="CY20" i="9"/>
  <c r="CY37" i="9" s="1"/>
  <c r="CZ20" i="9"/>
  <c r="CZ37" i="9" s="1"/>
  <c r="DA20" i="9"/>
  <c r="CJ21" i="9"/>
  <c r="CK21" i="9"/>
  <c r="CK38" i="9" s="1"/>
  <c r="CL21" i="9"/>
  <c r="CL38" i="9" s="1"/>
  <c r="CM21" i="9"/>
  <c r="CN21" i="9"/>
  <c r="CO21" i="9"/>
  <c r="CO38" i="9" s="1"/>
  <c r="CP21" i="9"/>
  <c r="CQ21" i="9"/>
  <c r="CR21" i="9"/>
  <c r="CR38" i="9" s="1"/>
  <c r="CS21" i="9"/>
  <c r="CS38" i="9" s="1"/>
  <c r="CT21" i="9"/>
  <c r="CU21" i="9"/>
  <c r="CV21" i="9"/>
  <c r="CV38" i="9" s="1"/>
  <c r="CW21" i="9"/>
  <c r="CX21" i="9"/>
  <c r="CY21" i="9"/>
  <c r="CY38" i="9" s="1"/>
  <c r="CZ21" i="9"/>
  <c r="CZ38" i="9" s="1"/>
  <c r="DA21" i="9"/>
  <c r="CJ22" i="9"/>
  <c r="CK22" i="9"/>
  <c r="CK39" i="9" s="1"/>
  <c r="CL22" i="9"/>
  <c r="CL39" i="9" s="1"/>
  <c r="CM22" i="9"/>
  <c r="CN22" i="9"/>
  <c r="CO22" i="9"/>
  <c r="CO39" i="9" s="1"/>
  <c r="CP22" i="9"/>
  <c r="CQ22" i="9"/>
  <c r="CR22" i="9"/>
  <c r="CR39" i="9" s="1"/>
  <c r="CS22" i="9"/>
  <c r="CS39" i="9" s="1"/>
  <c r="CT22" i="9"/>
  <c r="CU22" i="9"/>
  <c r="CV22" i="9"/>
  <c r="CV39" i="9" s="1"/>
  <c r="CW22" i="9"/>
  <c r="CX22" i="9"/>
  <c r="CY22" i="9"/>
  <c r="CY39" i="9" s="1"/>
  <c r="CZ22" i="9"/>
  <c r="CZ39" i="9" s="1"/>
  <c r="DA22" i="9"/>
  <c r="CJ23" i="9"/>
  <c r="CK23" i="9"/>
  <c r="CK40" i="9" s="1"/>
  <c r="CL23" i="9"/>
  <c r="CL40" i="9" s="1"/>
  <c r="CM23" i="9"/>
  <c r="CN23" i="9"/>
  <c r="CO23" i="9"/>
  <c r="CO40" i="9" s="1"/>
  <c r="CP23" i="9"/>
  <c r="CQ23" i="9"/>
  <c r="CR23" i="9"/>
  <c r="CR40" i="9" s="1"/>
  <c r="CS23" i="9"/>
  <c r="CS40" i="9" s="1"/>
  <c r="CT23" i="9"/>
  <c r="CU23" i="9"/>
  <c r="CV23" i="9"/>
  <c r="CV40" i="9" s="1"/>
  <c r="CW23" i="9"/>
  <c r="CX23" i="9"/>
  <c r="CY23" i="9"/>
  <c r="CY40" i="9" s="1"/>
  <c r="CZ23" i="9"/>
  <c r="CZ40" i="9" s="1"/>
  <c r="DA23" i="9"/>
  <c r="CJ24" i="9"/>
  <c r="CK24" i="9"/>
  <c r="CK41" i="9" s="1"/>
  <c r="CL24" i="9"/>
  <c r="CL41" i="9" s="1"/>
  <c r="CM24" i="9"/>
  <c r="CN24" i="9"/>
  <c r="CO24" i="9"/>
  <c r="CO41" i="9" s="1"/>
  <c r="CP24" i="9"/>
  <c r="CQ24" i="9"/>
  <c r="CR24" i="9"/>
  <c r="CR41" i="9" s="1"/>
  <c r="CS24" i="9"/>
  <c r="CS41" i="9" s="1"/>
  <c r="CT24" i="9"/>
  <c r="CU24" i="9"/>
  <c r="CV24" i="9"/>
  <c r="CV41" i="9" s="1"/>
  <c r="CW24" i="9"/>
  <c r="CX24" i="9"/>
  <c r="CY24" i="9"/>
  <c r="CY41" i="9" s="1"/>
  <c r="CZ24" i="9"/>
  <c r="CZ41" i="9" s="1"/>
  <c r="DA24" i="9"/>
  <c r="CJ25" i="9"/>
  <c r="CK25" i="9"/>
  <c r="CK42" i="9" s="1"/>
  <c r="CL25" i="9"/>
  <c r="CL42" i="9" s="1"/>
  <c r="CM25" i="9"/>
  <c r="CN25" i="9"/>
  <c r="CO25" i="9"/>
  <c r="CO42" i="9" s="1"/>
  <c r="CP25" i="9"/>
  <c r="CQ25" i="9"/>
  <c r="CR25" i="9"/>
  <c r="CR42" i="9" s="1"/>
  <c r="CS25" i="9"/>
  <c r="CS42" i="9" s="1"/>
  <c r="CT25" i="9"/>
  <c r="CU25" i="9"/>
  <c r="CV25" i="9"/>
  <c r="CV42" i="9" s="1"/>
  <c r="CW25" i="9"/>
  <c r="CX25" i="9"/>
  <c r="CY25" i="9"/>
  <c r="CY42" i="9" s="1"/>
  <c r="CZ25" i="9"/>
  <c r="CZ42" i="9" s="1"/>
  <c r="DA25" i="9"/>
  <c r="CJ26" i="9"/>
  <c r="CK26" i="9"/>
  <c r="CK43" i="9" s="1"/>
  <c r="CL26" i="9"/>
  <c r="CL43" i="9" s="1"/>
  <c r="CM26" i="9"/>
  <c r="CN26" i="9"/>
  <c r="CO26" i="9"/>
  <c r="CO43" i="9" s="1"/>
  <c r="CP26" i="9"/>
  <c r="CQ26" i="9"/>
  <c r="CR26" i="9"/>
  <c r="CR43" i="9" s="1"/>
  <c r="CS26" i="9"/>
  <c r="CS43" i="9" s="1"/>
  <c r="CT26" i="9"/>
  <c r="CU26" i="9"/>
  <c r="CV26" i="9"/>
  <c r="CV43" i="9" s="1"/>
  <c r="CW26" i="9"/>
  <c r="CX26" i="9"/>
  <c r="CY26" i="9"/>
  <c r="CY43" i="9" s="1"/>
  <c r="CZ26" i="9"/>
  <c r="CZ43" i="9" s="1"/>
  <c r="DA26" i="9"/>
  <c r="CJ27" i="9"/>
  <c r="CK27" i="9"/>
  <c r="CK44" i="9" s="1"/>
  <c r="CL27" i="9"/>
  <c r="CL44" i="9" s="1"/>
  <c r="CM27" i="9"/>
  <c r="CN27" i="9"/>
  <c r="CO27" i="9"/>
  <c r="CO44" i="9" s="1"/>
  <c r="CP27" i="9"/>
  <c r="CQ27" i="9"/>
  <c r="CR27" i="9"/>
  <c r="CR44" i="9" s="1"/>
  <c r="CS27" i="9"/>
  <c r="CS44" i="9" s="1"/>
  <c r="CT27" i="9"/>
  <c r="CU27" i="9"/>
  <c r="CV27" i="9"/>
  <c r="CV44" i="9" s="1"/>
  <c r="CW27" i="9"/>
  <c r="CX27" i="9"/>
  <c r="CY27" i="9"/>
  <c r="CY44" i="9" s="1"/>
  <c r="CZ27" i="9"/>
  <c r="CZ44" i="9" s="1"/>
  <c r="DA27" i="9"/>
  <c r="CJ28" i="9"/>
  <c r="CK28" i="9"/>
  <c r="CK45" i="9" s="1"/>
  <c r="CL28" i="9"/>
  <c r="CL45" i="9" s="1"/>
  <c r="CM28" i="9"/>
  <c r="CN28" i="9"/>
  <c r="CO28" i="9"/>
  <c r="CO45" i="9" s="1"/>
  <c r="CP28" i="9"/>
  <c r="CQ28" i="9"/>
  <c r="CR28" i="9"/>
  <c r="CR45" i="9" s="1"/>
  <c r="CS28" i="9"/>
  <c r="CS45" i="9" s="1"/>
  <c r="CT28" i="9"/>
  <c r="CU28" i="9"/>
  <c r="CV28" i="9"/>
  <c r="CV45" i="9" s="1"/>
  <c r="CW28" i="9"/>
  <c r="CX28" i="9"/>
  <c r="CY28" i="9"/>
  <c r="CY45" i="9" s="1"/>
  <c r="CZ28" i="9"/>
  <c r="CZ45" i="9" s="1"/>
  <c r="DA28" i="9"/>
  <c r="CJ29" i="9"/>
  <c r="CK29" i="9"/>
  <c r="CK46" i="9" s="1"/>
  <c r="CL29" i="9"/>
  <c r="CL46" i="9" s="1"/>
  <c r="CM29" i="9"/>
  <c r="CN29" i="9"/>
  <c r="CO29" i="9"/>
  <c r="CO46" i="9" s="1"/>
  <c r="CP29" i="9"/>
  <c r="CQ29" i="9"/>
  <c r="CR29" i="9"/>
  <c r="CR46" i="9" s="1"/>
  <c r="CS29" i="9"/>
  <c r="CS46" i="9" s="1"/>
  <c r="CT29" i="9"/>
  <c r="CU29" i="9"/>
  <c r="CV29" i="9"/>
  <c r="CV46" i="9" s="1"/>
  <c r="CW29" i="9"/>
  <c r="CX29" i="9"/>
  <c r="CY29" i="9"/>
  <c r="CY46" i="9" s="1"/>
  <c r="CZ29" i="9"/>
  <c r="CZ46" i="9" s="1"/>
  <c r="DA29" i="9"/>
  <c r="CJ30" i="9"/>
  <c r="CK30" i="9"/>
  <c r="CK47" i="9" s="1"/>
  <c r="CL30" i="9"/>
  <c r="CL47" i="9" s="1"/>
  <c r="CM30" i="9"/>
  <c r="CN30" i="9"/>
  <c r="CO30" i="9"/>
  <c r="CO47" i="9" s="1"/>
  <c r="CP30" i="9"/>
  <c r="CQ30" i="9"/>
  <c r="CR30" i="9"/>
  <c r="CR47" i="9" s="1"/>
  <c r="CS30" i="9"/>
  <c r="CS47" i="9" s="1"/>
  <c r="CT30" i="9"/>
  <c r="CU30" i="9"/>
  <c r="CV30" i="9"/>
  <c r="CV47" i="9" s="1"/>
  <c r="CW30" i="9"/>
  <c r="CX30" i="9"/>
  <c r="CY30" i="9"/>
  <c r="CY47" i="9" s="1"/>
  <c r="CZ30" i="9"/>
  <c r="CZ47" i="9" s="1"/>
  <c r="DA30" i="9"/>
  <c r="CJ31" i="9"/>
  <c r="CK31" i="9"/>
  <c r="CK48" i="9" s="1"/>
  <c r="CL31" i="9"/>
  <c r="CL48" i="9" s="1"/>
  <c r="CM31" i="9"/>
  <c r="CN31" i="9"/>
  <c r="CO31" i="9"/>
  <c r="CO48" i="9" s="1"/>
  <c r="CP31" i="9"/>
  <c r="CQ31" i="9"/>
  <c r="CR31" i="9"/>
  <c r="CR48" i="9" s="1"/>
  <c r="CS31" i="9"/>
  <c r="CS48" i="9" s="1"/>
  <c r="CT31" i="9"/>
  <c r="CU31" i="9"/>
  <c r="CV31" i="9"/>
  <c r="CV48" i="9" s="1"/>
  <c r="CW31" i="9"/>
  <c r="CX31" i="9"/>
  <c r="CY31" i="9"/>
  <c r="CY48" i="9" s="1"/>
  <c r="CZ31" i="9"/>
  <c r="CZ48" i="9" s="1"/>
  <c r="DA31" i="9"/>
  <c r="CJ32" i="9"/>
  <c r="CK32" i="9"/>
  <c r="CK49" i="9" s="1"/>
  <c r="CL32" i="9"/>
  <c r="CL49" i="9" s="1"/>
  <c r="CM32" i="9"/>
  <c r="CN32" i="9"/>
  <c r="CO32" i="9"/>
  <c r="CO49" i="9" s="1"/>
  <c r="CP32" i="9"/>
  <c r="CQ32" i="9"/>
  <c r="CR32" i="9"/>
  <c r="CR49" i="9" s="1"/>
  <c r="CS32" i="9"/>
  <c r="CS49" i="9" s="1"/>
  <c r="CT32" i="9"/>
  <c r="CU32" i="9"/>
  <c r="CV32" i="9"/>
  <c r="CV49" i="9" s="1"/>
  <c r="CW32" i="9"/>
  <c r="CX32" i="9"/>
  <c r="CY32" i="9"/>
  <c r="CY49" i="9" s="1"/>
  <c r="CZ32" i="9"/>
  <c r="CZ49" i="9" s="1"/>
  <c r="DA32" i="9"/>
  <c r="CJ33" i="9"/>
  <c r="CK33" i="9"/>
  <c r="CK50" i="9" s="1"/>
  <c r="CL33" i="9"/>
  <c r="CL50" i="9" s="1"/>
  <c r="CM33" i="9"/>
  <c r="CN33" i="9"/>
  <c r="CO33" i="9"/>
  <c r="CO50" i="9" s="1"/>
  <c r="CP33" i="9"/>
  <c r="CQ33" i="9"/>
  <c r="CR33" i="9"/>
  <c r="CR50" i="9" s="1"/>
  <c r="CS33" i="9"/>
  <c r="CS50" i="9" s="1"/>
  <c r="CT33" i="9"/>
  <c r="CU33" i="9"/>
  <c r="CV33" i="9"/>
  <c r="CV50" i="9" s="1"/>
  <c r="CW33" i="9"/>
  <c r="CX33" i="9"/>
  <c r="CY33" i="9"/>
  <c r="CY50" i="9" s="1"/>
  <c r="CZ33" i="9"/>
  <c r="CZ50" i="9" s="1"/>
  <c r="DA33" i="9"/>
  <c r="BV20" i="9"/>
  <c r="BW20" i="9"/>
  <c r="BW37" i="9" s="1"/>
  <c r="BX20" i="9"/>
  <c r="BX37" i="9" s="1"/>
  <c r="BY20" i="9"/>
  <c r="BZ20" i="9"/>
  <c r="CA20" i="9"/>
  <c r="CA37" i="9" s="1"/>
  <c r="CB20" i="9"/>
  <c r="CC20" i="9"/>
  <c r="CD20" i="9"/>
  <c r="CD37" i="9" s="1"/>
  <c r="CE20" i="9"/>
  <c r="CE37" i="9" s="1"/>
  <c r="CF20" i="9"/>
  <c r="CG20" i="9"/>
  <c r="CH20" i="9"/>
  <c r="CH37" i="9" s="1"/>
  <c r="CI20" i="9"/>
  <c r="BV21" i="9"/>
  <c r="BW21" i="9"/>
  <c r="BW38" i="9" s="1"/>
  <c r="BX21" i="9"/>
  <c r="BX38" i="9" s="1"/>
  <c r="BY21" i="9"/>
  <c r="BZ21" i="9"/>
  <c r="CA21" i="9"/>
  <c r="CA38" i="9" s="1"/>
  <c r="CB21" i="9"/>
  <c r="CC21" i="9"/>
  <c r="CD21" i="9"/>
  <c r="CD38" i="9" s="1"/>
  <c r="CE21" i="9"/>
  <c r="CE38" i="9" s="1"/>
  <c r="CF21" i="9"/>
  <c r="CG21" i="9"/>
  <c r="CH21" i="9"/>
  <c r="CH38" i="9" s="1"/>
  <c r="CI21" i="9"/>
  <c r="BV22" i="9"/>
  <c r="BW22" i="9"/>
  <c r="BW39" i="9" s="1"/>
  <c r="BX22" i="9"/>
  <c r="BX39" i="9" s="1"/>
  <c r="BY22" i="9"/>
  <c r="BZ22" i="9"/>
  <c r="CA22" i="9"/>
  <c r="CA39" i="9" s="1"/>
  <c r="CB22" i="9"/>
  <c r="CC22" i="9"/>
  <c r="CD22" i="9"/>
  <c r="CD39" i="9" s="1"/>
  <c r="CE22" i="9"/>
  <c r="CE39" i="9" s="1"/>
  <c r="CF22" i="9"/>
  <c r="CG22" i="9"/>
  <c r="CH22" i="9"/>
  <c r="CH39" i="9" s="1"/>
  <c r="CI22" i="9"/>
  <c r="BV23" i="9"/>
  <c r="BW23" i="9"/>
  <c r="BW40" i="9" s="1"/>
  <c r="BX23" i="9"/>
  <c r="BX40" i="9" s="1"/>
  <c r="BY23" i="9"/>
  <c r="BZ23" i="9"/>
  <c r="CA23" i="9"/>
  <c r="CA40" i="9" s="1"/>
  <c r="CB23" i="9"/>
  <c r="CC23" i="9"/>
  <c r="CD23" i="9"/>
  <c r="CD40" i="9" s="1"/>
  <c r="CE23" i="9"/>
  <c r="CE40" i="9" s="1"/>
  <c r="CF23" i="9"/>
  <c r="CG23" i="9"/>
  <c r="CH23" i="9"/>
  <c r="CH40" i="9" s="1"/>
  <c r="CI23" i="9"/>
  <c r="BV24" i="9"/>
  <c r="BW24" i="9"/>
  <c r="BW41" i="9" s="1"/>
  <c r="BX24" i="9"/>
  <c r="BX41" i="9" s="1"/>
  <c r="BY24" i="9"/>
  <c r="BZ24" i="9"/>
  <c r="CA24" i="9"/>
  <c r="CA41" i="9" s="1"/>
  <c r="CB24" i="9"/>
  <c r="CC24" i="9"/>
  <c r="CD24" i="9"/>
  <c r="CD41" i="9" s="1"/>
  <c r="CE24" i="9"/>
  <c r="CE41" i="9" s="1"/>
  <c r="CF24" i="9"/>
  <c r="CG24" i="9"/>
  <c r="CH24" i="9"/>
  <c r="CH41" i="9" s="1"/>
  <c r="CI24" i="9"/>
  <c r="BV25" i="9"/>
  <c r="BW25" i="9"/>
  <c r="BW42" i="9" s="1"/>
  <c r="BX25" i="9"/>
  <c r="BX42" i="9" s="1"/>
  <c r="BY25" i="9"/>
  <c r="BZ25" i="9"/>
  <c r="CA25" i="9"/>
  <c r="CA42" i="9" s="1"/>
  <c r="CB25" i="9"/>
  <c r="CC25" i="9"/>
  <c r="CD25" i="9"/>
  <c r="CD42" i="9" s="1"/>
  <c r="CE25" i="9"/>
  <c r="CE42" i="9" s="1"/>
  <c r="CF25" i="9"/>
  <c r="CG25" i="9"/>
  <c r="CH25" i="9"/>
  <c r="CH42" i="9" s="1"/>
  <c r="CI25" i="9"/>
  <c r="BV26" i="9"/>
  <c r="BW26" i="9"/>
  <c r="BW43" i="9" s="1"/>
  <c r="BX26" i="9"/>
  <c r="BX43" i="9" s="1"/>
  <c r="BY26" i="9"/>
  <c r="BZ26" i="9"/>
  <c r="CA26" i="9"/>
  <c r="CA43" i="9" s="1"/>
  <c r="CB26" i="9"/>
  <c r="CC26" i="9"/>
  <c r="CD26" i="9"/>
  <c r="CD43" i="9" s="1"/>
  <c r="CE26" i="9"/>
  <c r="CE43" i="9" s="1"/>
  <c r="CF26" i="9"/>
  <c r="CG26" i="9"/>
  <c r="CH26" i="9"/>
  <c r="CH43" i="9" s="1"/>
  <c r="CI26" i="9"/>
  <c r="BV27" i="9"/>
  <c r="BW27" i="9"/>
  <c r="BW44" i="9" s="1"/>
  <c r="BX27" i="9"/>
  <c r="BX44" i="9" s="1"/>
  <c r="BY27" i="9"/>
  <c r="BZ27" i="9"/>
  <c r="CA27" i="9"/>
  <c r="CA44" i="9" s="1"/>
  <c r="CB27" i="9"/>
  <c r="CC27" i="9"/>
  <c r="CD27" i="9"/>
  <c r="CD44" i="9" s="1"/>
  <c r="CE27" i="9"/>
  <c r="CE44" i="9" s="1"/>
  <c r="CF27" i="9"/>
  <c r="CG27" i="9"/>
  <c r="CH27" i="9"/>
  <c r="CH44" i="9" s="1"/>
  <c r="CI27" i="9"/>
  <c r="BV28" i="9"/>
  <c r="BW28" i="9"/>
  <c r="BW45" i="9" s="1"/>
  <c r="BX28" i="9"/>
  <c r="BX45" i="9" s="1"/>
  <c r="BY28" i="9"/>
  <c r="BZ28" i="9"/>
  <c r="CA28" i="9"/>
  <c r="CA45" i="9" s="1"/>
  <c r="CB28" i="9"/>
  <c r="CC28" i="9"/>
  <c r="CD28" i="9"/>
  <c r="CD45" i="9" s="1"/>
  <c r="CE28" i="9"/>
  <c r="CE45" i="9" s="1"/>
  <c r="CF28" i="9"/>
  <c r="CG28" i="9"/>
  <c r="CH28" i="9"/>
  <c r="CH45" i="9" s="1"/>
  <c r="CI28" i="9"/>
  <c r="BV29" i="9"/>
  <c r="BW29" i="9"/>
  <c r="BW46" i="9" s="1"/>
  <c r="BX29" i="9"/>
  <c r="BX46" i="9" s="1"/>
  <c r="BY29" i="9"/>
  <c r="BZ29" i="9"/>
  <c r="CA29" i="9"/>
  <c r="CA46" i="9" s="1"/>
  <c r="CB29" i="9"/>
  <c r="CC29" i="9"/>
  <c r="CD29" i="9"/>
  <c r="CD46" i="9" s="1"/>
  <c r="CE29" i="9"/>
  <c r="CE46" i="9" s="1"/>
  <c r="CF29" i="9"/>
  <c r="CG29" i="9"/>
  <c r="CH29" i="9"/>
  <c r="CH46" i="9" s="1"/>
  <c r="CI29" i="9"/>
  <c r="BV30" i="9"/>
  <c r="BW30" i="9"/>
  <c r="BW47" i="9" s="1"/>
  <c r="BX30" i="9"/>
  <c r="BX47" i="9" s="1"/>
  <c r="BY30" i="9"/>
  <c r="BZ30" i="9"/>
  <c r="CA30" i="9"/>
  <c r="CA47" i="9" s="1"/>
  <c r="CB30" i="9"/>
  <c r="CC30" i="9"/>
  <c r="CD30" i="9"/>
  <c r="CD47" i="9" s="1"/>
  <c r="CE30" i="9"/>
  <c r="CE47" i="9" s="1"/>
  <c r="CF30" i="9"/>
  <c r="CG30" i="9"/>
  <c r="CH30" i="9"/>
  <c r="CH47" i="9" s="1"/>
  <c r="CI30" i="9"/>
  <c r="BV31" i="9"/>
  <c r="BW31" i="9"/>
  <c r="BW48" i="9" s="1"/>
  <c r="BX31" i="9"/>
  <c r="BX48" i="9" s="1"/>
  <c r="BY31" i="9"/>
  <c r="BZ31" i="9"/>
  <c r="CA31" i="9"/>
  <c r="CA48" i="9" s="1"/>
  <c r="CB31" i="9"/>
  <c r="CC31" i="9"/>
  <c r="CD31" i="9"/>
  <c r="CD48" i="9" s="1"/>
  <c r="CE31" i="9"/>
  <c r="CE48" i="9" s="1"/>
  <c r="CF31" i="9"/>
  <c r="CG31" i="9"/>
  <c r="CH31" i="9"/>
  <c r="CH48" i="9" s="1"/>
  <c r="CI31" i="9"/>
  <c r="BV32" i="9"/>
  <c r="BW32" i="9"/>
  <c r="BW49" i="9" s="1"/>
  <c r="BX32" i="9"/>
  <c r="BX49" i="9" s="1"/>
  <c r="BY32" i="9"/>
  <c r="BZ32" i="9"/>
  <c r="CA32" i="9"/>
  <c r="CA49" i="9" s="1"/>
  <c r="CB32" i="9"/>
  <c r="CC32" i="9"/>
  <c r="CD32" i="9"/>
  <c r="CD49" i="9" s="1"/>
  <c r="CE32" i="9"/>
  <c r="CE49" i="9" s="1"/>
  <c r="CF32" i="9"/>
  <c r="CG32" i="9"/>
  <c r="CH32" i="9"/>
  <c r="CH49" i="9" s="1"/>
  <c r="CI32" i="9"/>
  <c r="BV33" i="9"/>
  <c r="BW33" i="9"/>
  <c r="BW50" i="9" s="1"/>
  <c r="BX33" i="9"/>
  <c r="BX50" i="9" s="1"/>
  <c r="BY33" i="9"/>
  <c r="BZ33" i="9"/>
  <c r="CA33" i="9"/>
  <c r="CA50" i="9" s="1"/>
  <c r="CB33" i="9"/>
  <c r="CC33" i="9"/>
  <c r="CD33" i="9"/>
  <c r="CD50" i="9" s="1"/>
  <c r="CE33" i="9"/>
  <c r="CE50" i="9" s="1"/>
  <c r="CF33" i="9"/>
  <c r="CG33" i="9"/>
  <c r="CH33" i="9"/>
  <c r="CH50" i="9" s="1"/>
  <c r="CI33" i="9"/>
  <c r="Y20" i="9"/>
  <c r="Z20" i="9"/>
  <c r="AA20" i="9"/>
  <c r="AB20" i="9"/>
  <c r="AC20" i="9"/>
  <c r="AH37" i="9" s="1"/>
  <c r="AD20" i="9"/>
  <c r="AE20" i="9"/>
  <c r="AF20" i="9"/>
  <c r="AG20" i="9"/>
  <c r="AH20" i="9"/>
  <c r="AI20" i="9"/>
  <c r="AK20" i="9"/>
  <c r="AK37" i="9" s="1"/>
  <c r="AL20" i="9"/>
  <c r="AM20" i="9"/>
  <c r="AN20" i="9"/>
  <c r="AN37" i="9" s="1"/>
  <c r="AO20" i="9"/>
  <c r="AO37" i="9" s="1"/>
  <c r="AP20" i="9"/>
  <c r="AQ20" i="9"/>
  <c r="AR20" i="9"/>
  <c r="AR37" i="9" s="1"/>
  <c r="AS20" i="9"/>
  <c r="AT20" i="9"/>
  <c r="AU20" i="9"/>
  <c r="AU37" i="9" s="1"/>
  <c r="AV20" i="9"/>
  <c r="AV37" i="9" s="1"/>
  <c r="AW20" i="9"/>
  <c r="AX20" i="9"/>
  <c r="AX37" i="9" s="1"/>
  <c r="AY20" i="9"/>
  <c r="AY37" i="9" s="1"/>
  <c r="AZ20" i="9"/>
  <c r="BA20" i="9"/>
  <c r="BA37" i="9" s="1"/>
  <c r="BB20" i="9"/>
  <c r="BB37" i="9" s="1"/>
  <c r="BC20" i="9"/>
  <c r="BC37" i="9" s="1"/>
  <c r="BD20" i="9"/>
  <c r="BE20" i="9"/>
  <c r="BF20" i="9"/>
  <c r="BF37" i="9" s="1"/>
  <c r="BG20" i="9"/>
  <c r="BG37" i="9" s="1"/>
  <c r="BH20" i="9"/>
  <c r="BI20" i="9"/>
  <c r="BI37" i="9" s="1"/>
  <c r="BJ20" i="9"/>
  <c r="BJ37" i="9" s="1"/>
  <c r="BK20" i="9"/>
  <c r="BK37" i="9" s="1"/>
  <c r="BL20" i="9"/>
  <c r="BM20" i="9"/>
  <c r="BM37" i="9" s="1"/>
  <c r="BN20" i="9"/>
  <c r="BO20" i="9"/>
  <c r="BP20" i="9"/>
  <c r="BP37" i="9" s="1"/>
  <c r="BQ20" i="9"/>
  <c r="BQ37" i="9" s="1"/>
  <c r="BR20" i="9"/>
  <c r="BS20" i="9"/>
  <c r="BT20" i="9"/>
  <c r="BT37" i="9" s="1"/>
  <c r="BU20" i="9"/>
  <c r="Y21" i="9"/>
  <c r="Z21" i="9"/>
  <c r="AA21" i="9"/>
  <c r="AB21" i="9"/>
  <c r="AC21" i="9"/>
  <c r="AH38" i="9" s="1"/>
  <c r="AD38" i="9" s="1"/>
  <c r="AD21" i="9"/>
  <c r="AE21" i="9"/>
  <c r="AF21" i="9"/>
  <c r="AG21" i="9"/>
  <c r="AH21" i="9"/>
  <c r="AI21" i="9"/>
  <c r="AJ21" i="9"/>
  <c r="AK21" i="9"/>
  <c r="AK38" i="9" s="1"/>
  <c r="AL21" i="9"/>
  <c r="AM21" i="9"/>
  <c r="AN21" i="9"/>
  <c r="AN38" i="9" s="1"/>
  <c r="AO21" i="9"/>
  <c r="AO38" i="9" s="1"/>
  <c r="AP21" i="9"/>
  <c r="AQ21" i="9"/>
  <c r="AR21" i="9"/>
  <c r="AR38" i="9" s="1"/>
  <c r="AS21" i="9"/>
  <c r="AT21" i="9"/>
  <c r="AU21" i="9"/>
  <c r="AU38" i="9" s="1"/>
  <c r="AV21" i="9"/>
  <c r="AV38" i="9" s="1"/>
  <c r="AW21" i="9"/>
  <c r="AX21" i="9"/>
  <c r="AY21" i="9"/>
  <c r="AY38" i="9" s="1"/>
  <c r="AZ21" i="9"/>
  <c r="BA21" i="9"/>
  <c r="BB21" i="9"/>
  <c r="BB38" i="9" s="1"/>
  <c r="BC21" i="9"/>
  <c r="BC38" i="9" s="1"/>
  <c r="BD21" i="9"/>
  <c r="BE21" i="9"/>
  <c r="BE38" i="9" s="1"/>
  <c r="BF21" i="9"/>
  <c r="BF38" i="9" s="1"/>
  <c r="BG21" i="9"/>
  <c r="BH21" i="9"/>
  <c r="BH38" i="9" s="1"/>
  <c r="BI21" i="9"/>
  <c r="BI38" i="9" s="1"/>
  <c r="BJ21" i="9"/>
  <c r="BJ38" i="9" s="1"/>
  <c r="BK21" i="9"/>
  <c r="BL21" i="9"/>
  <c r="BM21" i="9"/>
  <c r="BM38" i="9" s="1"/>
  <c r="BN21" i="9"/>
  <c r="BN38" i="9" s="1"/>
  <c r="BO21" i="9"/>
  <c r="BP21" i="9"/>
  <c r="BP38" i="9" s="1"/>
  <c r="BQ21" i="9"/>
  <c r="BQ38" i="9" s="1"/>
  <c r="BR21" i="9"/>
  <c r="BR38" i="9" s="1"/>
  <c r="BS21" i="9"/>
  <c r="BT21" i="9"/>
  <c r="BT38" i="9" s="1"/>
  <c r="BU21" i="9"/>
  <c r="Y22" i="9"/>
  <c r="Z22" i="9"/>
  <c r="AA22" i="9"/>
  <c r="AB22" i="9"/>
  <c r="AC22" i="9"/>
  <c r="AH39" i="9" s="1"/>
  <c r="AD39" i="9" s="1"/>
  <c r="AD22" i="9"/>
  <c r="AE22" i="9"/>
  <c r="AF22" i="9"/>
  <c r="AG22" i="9"/>
  <c r="AH22" i="9"/>
  <c r="AI22" i="9"/>
  <c r="AJ22" i="9"/>
  <c r="AK22" i="9"/>
  <c r="AK39" i="9" s="1"/>
  <c r="AL22" i="9"/>
  <c r="AM22" i="9"/>
  <c r="AN22" i="9"/>
  <c r="AN39" i="9" s="1"/>
  <c r="AO22" i="9"/>
  <c r="AO39" i="9" s="1"/>
  <c r="AP22" i="9"/>
  <c r="AQ22" i="9"/>
  <c r="AR22" i="9"/>
  <c r="AR39" i="9" s="1"/>
  <c r="AS22" i="9"/>
  <c r="AT22" i="9"/>
  <c r="AU22" i="9"/>
  <c r="AU39" i="9" s="1"/>
  <c r="AV22" i="9"/>
  <c r="AV39" i="9" s="1"/>
  <c r="AW22" i="9"/>
  <c r="AX22" i="9"/>
  <c r="AY22" i="9"/>
  <c r="AY39" i="9" s="1"/>
  <c r="AZ22" i="9"/>
  <c r="BA22" i="9"/>
  <c r="BB22" i="9"/>
  <c r="BB39" i="9" s="1"/>
  <c r="BC22" i="9"/>
  <c r="BC39" i="9" s="1"/>
  <c r="BD22" i="9"/>
  <c r="BE22" i="9"/>
  <c r="BE39" i="9" s="1"/>
  <c r="BF22" i="9"/>
  <c r="BF39" i="9" s="1"/>
  <c r="BG22" i="9"/>
  <c r="BH22" i="9"/>
  <c r="BH39" i="9" s="1"/>
  <c r="BI22" i="9"/>
  <c r="BI39" i="9" s="1"/>
  <c r="BJ22" i="9"/>
  <c r="BJ39" i="9" s="1"/>
  <c r="BK22" i="9"/>
  <c r="BL22" i="9"/>
  <c r="BM22" i="9"/>
  <c r="BM39" i="9" s="1"/>
  <c r="BN22" i="9"/>
  <c r="BN39" i="9" s="1"/>
  <c r="BO22" i="9"/>
  <c r="BP22" i="9"/>
  <c r="BP39" i="9" s="1"/>
  <c r="BQ22" i="9"/>
  <c r="BQ39" i="9" s="1"/>
  <c r="BR22" i="9"/>
  <c r="BS22" i="9"/>
  <c r="BT22" i="9"/>
  <c r="BT39" i="9" s="1"/>
  <c r="BU22" i="9"/>
  <c r="Y23" i="9"/>
  <c r="Z23" i="9"/>
  <c r="AA23" i="9"/>
  <c r="AB23" i="9"/>
  <c r="AC23" i="9"/>
  <c r="AH40" i="9" s="1"/>
  <c r="AD40" i="9" s="1"/>
  <c r="AD23" i="9"/>
  <c r="AE23" i="9"/>
  <c r="AF23" i="9"/>
  <c r="AG23" i="9"/>
  <c r="AH23" i="9"/>
  <c r="AI23" i="9"/>
  <c r="AJ23" i="9"/>
  <c r="AK23" i="9"/>
  <c r="AK40" i="9" s="1"/>
  <c r="AL23" i="9"/>
  <c r="AM23" i="9"/>
  <c r="AN23" i="9"/>
  <c r="AN40" i="9" s="1"/>
  <c r="AO23" i="9"/>
  <c r="AO40" i="9" s="1"/>
  <c r="AP23" i="9"/>
  <c r="AQ23" i="9"/>
  <c r="AR23" i="9"/>
  <c r="AR40" i="9" s="1"/>
  <c r="AS23" i="9"/>
  <c r="AT23" i="9"/>
  <c r="AU23" i="9"/>
  <c r="AU40" i="9" s="1"/>
  <c r="AV23" i="9"/>
  <c r="AV40" i="9" s="1"/>
  <c r="AW23" i="9"/>
  <c r="AX23" i="9"/>
  <c r="AY23" i="9"/>
  <c r="AY40" i="9" s="1"/>
  <c r="AZ23" i="9"/>
  <c r="BA23" i="9"/>
  <c r="BB23" i="9"/>
  <c r="BB40" i="9" s="1"/>
  <c r="BC23" i="9"/>
  <c r="BC40" i="9" s="1"/>
  <c r="BD23" i="9"/>
  <c r="BE23" i="9"/>
  <c r="BE40" i="9" s="1"/>
  <c r="BF23" i="9"/>
  <c r="BF40" i="9" s="1"/>
  <c r="BG23" i="9"/>
  <c r="BH23" i="9"/>
  <c r="BH40" i="9" s="1"/>
  <c r="BI23" i="9"/>
  <c r="BI40" i="9" s="1"/>
  <c r="BJ23" i="9"/>
  <c r="BJ40" i="9" s="1"/>
  <c r="BK23" i="9"/>
  <c r="BL23" i="9"/>
  <c r="BM23" i="9"/>
  <c r="BM40" i="9" s="1"/>
  <c r="BN23" i="9"/>
  <c r="BN40" i="9" s="1"/>
  <c r="BO23" i="9"/>
  <c r="BP23" i="9"/>
  <c r="BP40" i="9" s="1"/>
  <c r="BQ23" i="9"/>
  <c r="BQ40" i="9" s="1"/>
  <c r="BR23" i="9"/>
  <c r="BR40" i="9" s="1"/>
  <c r="BS23" i="9"/>
  <c r="BT23" i="9"/>
  <c r="BT40" i="9" s="1"/>
  <c r="BU23" i="9"/>
  <c r="Y24" i="9"/>
  <c r="Z24" i="9"/>
  <c r="AA24" i="9"/>
  <c r="AB24" i="9"/>
  <c r="AC24" i="9"/>
  <c r="AH41" i="9" s="1"/>
  <c r="AD41" i="9" s="1"/>
  <c r="AD24" i="9"/>
  <c r="AE24" i="9"/>
  <c r="AF24" i="9"/>
  <c r="AG24" i="9"/>
  <c r="AH24" i="9"/>
  <c r="AI24" i="9"/>
  <c r="AJ24" i="9"/>
  <c r="AK24" i="9"/>
  <c r="AK41" i="9" s="1"/>
  <c r="AL24" i="9"/>
  <c r="AM24" i="9"/>
  <c r="AN24" i="9"/>
  <c r="AN41" i="9" s="1"/>
  <c r="AO24" i="9"/>
  <c r="AO41" i="9" s="1"/>
  <c r="AP24" i="9"/>
  <c r="AQ24" i="9"/>
  <c r="AR24" i="9"/>
  <c r="AR41" i="9" s="1"/>
  <c r="AS24" i="9"/>
  <c r="AT24" i="9"/>
  <c r="AU24" i="9"/>
  <c r="AU41" i="9" s="1"/>
  <c r="AV24" i="9"/>
  <c r="AV41" i="9" s="1"/>
  <c r="AW24" i="9"/>
  <c r="AX24" i="9"/>
  <c r="AY24" i="9"/>
  <c r="AY41" i="9" s="1"/>
  <c r="AZ24" i="9"/>
  <c r="BA24" i="9"/>
  <c r="BB24" i="9"/>
  <c r="BB41" i="9" s="1"/>
  <c r="BC24" i="9"/>
  <c r="BC41" i="9" s="1"/>
  <c r="BD24" i="9"/>
  <c r="BE24" i="9"/>
  <c r="BF24" i="9"/>
  <c r="BF41" i="9" s="1"/>
  <c r="BG24" i="9"/>
  <c r="BH24" i="9"/>
  <c r="BH41" i="9" s="1"/>
  <c r="BI24" i="9"/>
  <c r="BI41" i="9" s="1"/>
  <c r="BJ24" i="9"/>
  <c r="BJ41" i="9" s="1"/>
  <c r="BK24" i="9"/>
  <c r="BL24" i="9"/>
  <c r="BM24" i="9"/>
  <c r="BM41" i="9" s="1"/>
  <c r="BN24" i="9"/>
  <c r="BN41" i="9" s="1"/>
  <c r="BO24" i="9"/>
  <c r="BP24" i="9"/>
  <c r="BP41" i="9" s="1"/>
  <c r="BQ24" i="9"/>
  <c r="BQ41" i="9" s="1"/>
  <c r="BR24" i="9"/>
  <c r="BR41" i="9" s="1"/>
  <c r="BS24" i="9"/>
  <c r="BT24" i="9"/>
  <c r="BT41" i="9" s="1"/>
  <c r="BU24" i="9"/>
  <c r="Y25" i="9"/>
  <c r="Z25" i="9"/>
  <c r="AA25" i="9"/>
  <c r="AB25" i="9"/>
  <c r="AC25" i="9"/>
  <c r="AH42" i="9" s="1"/>
  <c r="AD42" i="9" s="1"/>
  <c r="AD25" i="9"/>
  <c r="AE25" i="9"/>
  <c r="AF25" i="9"/>
  <c r="AG25" i="9"/>
  <c r="AH25" i="9"/>
  <c r="AI25" i="9"/>
  <c r="AJ25" i="9"/>
  <c r="AK25" i="9"/>
  <c r="AK42" i="9" s="1"/>
  <c r="AL25" i="9"/>
  <c r="AM25" i="9"/>
  <c r="AN25" i="9"/>
  <c r="AN42" i="9" s="1"/>
  <c r="AO25" i="9"/>
  <c r="AO42" i="9" s="1"/>
  <c r="AP25" i="9"/>
  <c r="AQ25" i="9"/>
  <c r="AR25" i="9"/>
  <c r="AR42" i="9" s="1"/>
  <c r="AS25" i="9"/>
  <c r="AT25" i="9"/>
  <c r="AU25" i="9"/>
  <c r="AU42" i="9" s="1"/>
  <c r="AV25" i="9"/>
  <c r="AV42" i="9" s="1"/>
  <c r="AW25" i="9"/>
  <c r="AX25" i="9"/>
  <c r="AY25" i="9"/>
  <c r="AY42" i="9" s="1"/>
  <c r="AZ25" i="9"/>
  <c r="BA25" i="9"/>
  <c r="BB25" i="9"/>
  <c r="BB42" i="9" s="1"/>
  <c r="BC25" i="9"/>
  <c r="BC42" i="9" s="1"/>
  <c r="BD25" i="9"/>
  <c r="BE25" i="9"/>
  <c r="BE42" i="9" s="1"/>
  <c r="BF25" i="9"/>
  <c r="BF42" i="9" s="1"/>
  <c r="BG25" i="9"/>
  <c r="BH25" i="9"/>
  <c r="BH42" i="9" s="1"/>
  <c r="BI25" i="9"/>
  <c r="BI42" i="9" s="1"/>
  <c r="BJ25" i="9"/>
  <c r="BJ42" i="9" s="1"/>
  <c r="BK25" i="9"/>
  <c r="BL25" i="9"/>
  <c r="BM25" i="9"/>
  <c r="BM42" i="9" s="1"/>
  <c r="BN25" i="9"/>
  <c r="BN42" i="9" s="1"/>
  <c r="BO25" i="9"/>
  <c r="BP25" i="9"/>
  <c r="BP42" i="9" s="1"/>
  <c r="BQ25" i="9"/>
  <c r="BQ42" i="9" s="1"/>
  <c r="BR25" i="9"/>
  <c r="BR42" i="9" s="1"/>
  <c r="BS25" i="9"/>
  <c r="BT25" i="9"/>
  <c r="BT42" i="9" s="1"/>
  <c r="BU25" i="9"/>
  <c r="Y26" i="9"/>
  <c r="Z26" i="9"/>
  <c r="AA26" i="9"/>
  <c r="AB26" i="9"/>
  <c r="AC26" i="9"/>
  <c r="AH43" i="9" s="1"/>
  <c r="AD43" i="9" s="1"/>
  <c r="AD26" i="9"/>
  <c r="AE26" i="9"/>
  <c r="AF26" i="9"/>
  <c r="AG26" i="9"/>
  <c r="AH26" i="9"/>
  <c r="AI26" i="9"/>
  <c r="AJ26" i="9"/>
  <c r="AK26" i="9"/>
  <c r="AK43" i="9" s="1"/>
  <c r="AL26" i="9"/>
  <c r="AM26" i="9"/>
  <c r="AN26" i="9"/>
  <c r="AN43" i="9" s="1"/>
  <c r="AO26" i="9"/>
  <c r="AO43" i="9" s="1"/>
  <c r="AP26" i="9"/>
  <c r="AQ26" i="9"/>
  <c r="AR26" i="9"/>
  <c r="AR43" i="9" s="1"/>
  <c r="AS26" i="9"/>
  <c r="AT26" i="9"/>
  <c r="AU26" i="9"/>
  <c r="AU43" i="9" s="1"/>
  <c r="AV26" i="9"/>
  <c r="AV43" i="9" s="1"/>
  <c r="AW26" i="9"/>
  <c r="AX26" i="9"/>
  <c r="AY26" i="9"/>
  <c r="AY43" i="9" s="1"/>
  <c r="AZ26" i="9"/>
  <c r="BA26" i="9"/>
  <c r="BB26" i="9"/>
  <c r="BB43" i="9" s="1"/>
  <c r="BC26" i="9"/>
  <c r="BC43" i="9" s="1"/>
  <c r="BD26" i="9"/>
  <c r="BE26" i="9"/>
  <c r="BE43" i="9" s="1"/>
  <c r="BF26" i="9"/>
  <c r="BF43" i="9" s="1"/>
  <c r="BG26" i="9"/>
  <c r="BH26" i="9"/>
  <c r="BH43" i="9" s="1"/>
  <c r="BI26" i="9"/>
  <c r="BI43" i="9" s="1"/>
  <c r="BJ26" i="9"/>
  <c r="BJ43" i="9" s="1"/>
  <c r="BK26" i="9"/>
  <c r="BL26" i="9"/>
  <c r="BM26" i="9"/>
  <c r="BM43" i="9" s="1"/>
  <c r="BN26" i="9"/>
  <c r="BO26" i="9"/>
  <c r="BP26" i="9"/>
  <c r="BP43" i="9" s="1"/>
  <c r="BQ26" i="9"/>
  <c r="BQ43" i="9" s="1"/>
  <c r="BR26" i="9"/>
  <c r="BR43" i="9" s="1"/>
  <c r="BS26" i="9"/>
  <c r="BT26" i="9"/>
  <c r="BT43" i="9" s="1"/>
  <c r="BU26" i="9"/>
  <c r="Y27" i="9"/>
  <c r="Z27" i="9"/>
  <c r="AA27" i="9"/>
  <c r="AB27" i="9"/>
  <c r="AC27" i="9"/>
  <c r="AH44" i="9" s="1"/>
  <c r="AD44" i="9" s="1"/>
  <c r="AD27" i="9"/>
  <c r="AE27" i="9"/>
  <c r="AF27" i="9"/>
  <c r="AG27" i="9"/>
  <c r="AH27" i="9"/>
  <c r="AI27" i="9"/>
  <c r="AJ27" i="9"/>
  <c r="AK27" i="9"/>
  <c r="AK44" i="9" s="1"/>
  <c r="AL27" i="9"/>
  <c r="AM27" i="9"/>
  <c r="AN27" i="9"/>
  <c r="AN44" i="9" s="1"/>
  <c r="AO27" i="9"/>
  <c r="AO44" i="9" s="1"/>
  <c r="AP27" i="9"/>
  <c r="AQ27" i="9"/>
  <c r="AR27" i="9"/>
  <c r="AR44" i="9" s="1"/>
  <c r="AS27" i="9"/>
  <c r="AT27" i="9"/>
  <c r="AU27" i="9"/>
  <c r="AU44" i="9" s="1"/>
  <c r="AV27" i="9"/>
  <c r="AV44" i="9" s="1"/>
  <c r="AW27" i="9"/>
  <c r="AX27" i="9"/>
  <c r="AY27" i="9"/>
  <c r="AY44" i="9" s="1"/>
  <c r="AZ27" i="9"/>
  <c r="BA27" i="9"/>
  <c r="BB27" i="9"/>
  <c r="BB44" i="9" s="1"/>
  <c r="BC27" i="9"/>
  <c r="BC44" i="9" s="1"/>
  <c r="BD27" i="9"/>
  <c r="BE27" i="9"/>
  <c r="BE44" i="9" s="1"/>
  <c r="BF27" i="9"/>
  <c r="BF44" i="9" s="1"/>
  <c r="BG27" i="9"/>
  <c r="BH27" i="9"/>
  <c r="BH44" i="9" s="1"/>
  <c r="BI27" i="9"/>
  <c r="BI44" i="9" s="1"/>
  <c r="BJ27" i="9"/>
  <c r="BJ44" i="9" s="1"/>
  <c r="BK27" i="9"/>
  <c r="BL27" i="9"/>
  <c r="BM27" i="9"/>
  <c r="BM44" i="9" s="1"/>
  <c r="BN27" i="9"/>
  <c r="BN44" i="9" s="1"/>
  <c r="BO27" i="9"/>
  <c r="BP27" i="9"/>
  <c r="BP44" i="9" s="1"/>
  <c r="BQ27" i="9"/>
  <c r="BQ44" i="9" s="1"/>
  <c r="BR27" i="9"/>
  <c r="BR44" i="9" s="1"/>
  <c r="BS27" i="9"/>
  <c r="BT27" i="9"/>
  <c r="BT44" i="9" s="1"/>
  <c r="BU27" i="9"/>
  <c r="Y28" i="9"/>
  <c r="Z28" i="9"/>
  <c r="AA28" i="9"/>
  <c r="AB28" i="9"/>
  <c r="AC28" i="9"/>
  <c r="AH45" i="9" s="1"/>
  <c r="AD45" i="9" s="1"/>
  <c r="AD28" i="9"/>
  <c r="AE28" i="9"/>
  <c r="AF28" i="9"/>
  <c r="AG28" i="9"/>
  <c r="AH28" i="9"/>
  <c r="AI28" i="9"/>
  <c r="AJ28" i="9"/>
  <c r="AK28" i="9"/>
  <c r="AK45" i="9" s="1"/>
  <c r="AL28" i="9"/>
  <c r="AM28" i="9"/>
  <c r="AN28" i="9"/>
  <c r="AN45" i="9" s="1"/>
  <c r="AO28" i="9"/>
  <c r="AO45" i="9" s="1"/>
  <c r="AP28" i="9"/>
  <c r="AQ28" i="9"/>
  <c r="AR28" i="9"/>
  <c r="AR45" i="9" s="1"/>
  <c r="AS28" i="9"/>
  <c r="AT28" i="9"/>
  <c r="AU28" i="9"/>
  <c r="AU45" i="9" s="1"/>
  <c r="AV28" i="9"/>
  <c r="AV45" i="9" s="1"/>
  <c r="AW28" i="9"/>
  <c r="AX28" i="9"/>
  <c r="AY28" i="9"/>
  <c r="AY45" i="9" s="1"/>
  <c r="AZ28" i="9"/>
  <c r="BA28" i="9"/>
  <c r="BB28" i="9"/>
  <c r="BB45" i="9" s="1"/>
  <c r="BC28" i="9"/>
  <c r="BC45" i="9" s="1"/>
  <c r="BD28" i="9"/>
  <c r="BE28" i="9"/>
  <c r="BE45" i="9" s="1"/>
  <c r="BF28" i="9"/>
  <c r="BF45" i="9" s="1"/>
  <c r="BG28" i="9"/>
  <c r="BH28" i="9"/>
  <c r="BH45" i="9" s="1"/>
  <c r="BI28" i="9"/>
  <c r="BI45" i="9" s="1"/>
  <c r="BJ28" i="9"/>
  <c r="BJ45" i="9" s="1"/>
  <c r="BK28" i="9"/>
  <c r="BL28" i="9"/>
  <c r="BM28" i="9"/>
  <c r="BM45" i="9" s="1"/>
  <c r="BN28" i="9"/>
  <c r="BN45" i="9" s="1"/>
  <c r="BO28" i="9"/>
  <c r="BP28" i="9"/>
  <c r="BP45" i="9" s="1"/>
  <c r="BQ28" i="9"/>
  <c r="BQ45" i="9" s="1"/>
  <c r="BR28" i="9"/>
  <c r="BS28" i="9"/>
  <c r="BT28" i="9"/>
  <c r="BT45" i="9" s="1"/>
  <c r="BU28" i="9"/>
  <c r="Y29" i="9"/>
  <c r="Z29" i="9"/>
  <c r="AA29" i="9"/>
  <c r="AB29" i="9"/>
  <c r="AC29" i="9"/>
  <c r="AH46" i="9" s="1"/>
  <c r="AD46" i="9" s="1"/>
  <c r="AD29" i="9"/>
  <c r="AE29" i="9"/>
  <c r="AF29" i="9"/>
  <c r="AG29" i="9"/>
  <c r="AH29" i="9"/>
  <c r="AI29" i="9"/>
  <c r="AJ29" i="9"/>
  <c r="AK29" i="9"/>
  <c r="AK46" i="9" s="1"/>
  <c r="AL29" i="9"/>
  <c r="AM29" i="9"/>
  <c r="AN29" i="9"/>
  <c r="AN46" i="9" s="1"/>
  <c r="AO29" i="9"/>
  <c r="AO46" i="9" s="1"/>
  <c r="AP29" i="9"/>
  <c r="AQ29" i="9"/>
  <c r="AR29" i="9"/>
  <c r="AR46" i="9" s="1"/>
  <c r="AS29" i="9"/>
  <c r="AT29" i="9"/>
  <c r="AU29" i="9"/>
  <c r="AU46" i="9" s="1"/>
  <c r="AV29" i="9"/>
  <c r="AV46" i="9" s="1"/>
  <c r="AW29" i="9"/>
  <c r="AX29" i="9"/>
  <c r="AY29" i="9"/>
  <c r="AY46" i="9" s="1"/>
  <c r="AZ29" i="9"/>
  <c r="BA29" i="9"/>
  <c r="BB29" i="9"/>
  <c r="BB46" i="9" s="1"/>
  <c r="BC29" i="9"/>
  <c r="BC46" i="9" s="1"/>
  <c r="BD29" i="9"/>
  <c r="BE29" i="9"/>
  <c r="BE46" i="9" s="1"/>
  <c r="BF29" i="9"/>
  <c r="BF46" i="9" s="1"/>
  <c r="BG29" i="9"/>
  <c r="BH29" i="9"/>
  <c r="BH46" i="9" s="1"/>
  <c r="BI29" i="9"/>
  <c r="BI46" i="9" s="1"/>
  <c r="BJ29" i="9"/>
  <c r="BJ46" i="9" s="1"/>
  <c r="BK29" i="9"/>
  <c r="BL29" i="9"/>
  <c r="BM29" i="9"/>
  <c r="BM46" i="9" s="1"/>
  <c r="BN29" i="9"/>
  <c r="BN46" i="9" s="1"/>
  <c r="BO29" i="9"/>
  <c r="BP29" i="9"/>
  <c r="BP46" i="9" s="1"/>
  <c r="BQ29" i="9"/>
  <c r="BQ46" i="9" s="1"/>
  <c r="BR29" i="9"/>
  <c r="BR46" i="9" s="1"/>
  <c r="BS29" i="9"/>
  <c r="BT29" i="9"/>
  <c r="BT46" i="9" s="1"/>
  <c r="BU29" i="9"/>
  <c r="Y30" i="9"/>
  <c r="Z30" i="9"/>
  <c r="AA30" i="9"/>
  <c r="AB30" i="9"/>
  <c r="AC30" i="9"/>
  <c r="AH47" i="9" s="1"/>
  <c r="AD47" i="9" s="1"/>
  <c r="AD30" i="9"/>
  <c r="AE30" i="9"/>
  <c r="AF30" i="9"/>
  <c r="AG30" i="9"/>
  <c r="AH30" i="9"/>
  <c r="AI30" i="9"/>
  <c r="AJ30" i="9"/>
  <c r="AK30" i="9"/>
  <c r="AK47" i="9" s="1"/>
  <c r="AL30" i="9"/>
  <c r="AM30" i="9"/>
  <c r="AN30" i="9"/>
  <c r="AN47" i="9" s="1"/>
  <c r="AO30" i="9"/>
  <c r="AO47" i="9" s="1"/>
  <c r="AP30" i="9"/>
  <c r="AQ30" i="9"/>
  <c r="AR30" i="9"/>
  <c r="AR47" i="9" s="1"/>
  <c r="AS30" i="9"/>
  <c r="AT30" i="9"/>
  <c r="AU30" i="9"/>
  <c r="AU47" i="9" s="1"/>
  <c r="AV30" i="9"/>
  <c r="AV47" i="9" s="1"/>
  <c r="AW30" i="9"/>
  <c r="AX30" i="9"/>
  <c r="AY30" i="9"/>
  <c r="AY47" i="9" s="1"/>
  <c r="AZ30" i="9"/>
  <c r="BA30" i="9"/>
  <c r="BB30" i="9"/>
  <c r="BB47" i="9" s="1"/>
  <c r="BC30" i="9"/>
  <c r="BC47" i="9" s="1"/>
  <c r="BD30" i="9"/>
  <c r="BE30" i="9"/>
  <c r="BE47" i="9" s="1"/>
  <c r="BF30" i="9"/>
  <c r="BF47" i="9" s="1"/>
  <c r="BG30" i="9"/>
  <c r="BH30" i="9"/>
  <c r="BH47" i="9" s="1"/>
  <c r="BI30" i="9"/>
  <c r="BI47" i="9" s="1"/>
  <c r="BJ30" i="9"/>
  <c r="BJ47" i="9" s="1"/>
  <c r="BK30" i="9"/>
  <c r="BL30" i="9"/>
  <c r="BM30" i="9"/>
  <c r="BM47" i="9" s="1"/>
  <c r="BN30" i="9"/>
  <c r="BO30" i="9"/>
  <c r="BP30" i="9"/>
  <c r="BP47" i="9" s="1"/>
  <c r="BQ30" i="9"/>
  <c r="BQ47" i="9" s="1"/>
  <c r="BR30" i="9"/>
  <c r="BR47" i="9" s="1"/>
  <c r="BS30" i="9"/>
  <c r="BT30" i="9"/>
  <c r="BT47" i="9" s="1"/>
  <c r="BU30" i="9"/>
  <c r="Y31" i="9"/>
  <c r="Z31" i="9"/>
  <c r="AA31" i="9"/>
  <c r="AB31" i="9"/>
  <c r="AC31" i="9"/>
  <c r="AH48" i="9" s="1"/>
  <c r="AD48" i="9" s="1"/>
  <c r="AD31" i="9"/>
  <c r="AE31" i="9"/>
  <c r="AF31" i="9"/>
  <c r="AG31" i="9"/>
  <c r="AH31" i="9"/>
  <c r="AI31" i="9"/>
  <c r="AJ31" i="9"/>
  <c r="AK31" i="9"/>
  <c r="AK48" i="9" s="1"/>
  <c r="AL31" i="9"/>
  <c r="AM31" i="9"/>
  <c r="AN31" i="9"/>
  <c r="AN48" i="9" s="1"/>
  <c r="AO31" i="9"/>
  <c r="AO48" i="9" s="1"/>
  <c r="AP31" i="9"/>
  <c r="AQ31" i="9"/>
  <c r="AR31" i="9"/>
  <c r="AR48" i="9" s="1"/>
  <c r="AS31" i="9"/>
  <c r="AT31" i="9"/>
  <c r="AU31" i="9"/>
  <c r="AU48" i="9" s="1"/>
  <c r="AV31" i="9"/>
  <c r="AV48" i="9" s="1"/>
  <c r="AW31" i="9"/>
  <c r="AX31" i="9"/>
  <c r="AY31" i="9"/>
  <c r="AY48" i="9" s="1"/>
  <c r="AZ31" i="9"/>
  <c r="BA31" i="9"/>
  <c r="BB31" i="9"/>
  <c r="BB48" i="9" s="1"/>
  <c r="BC31" i="9"/>
  <c r="BC48" i="9" s="1"/>
  <c r="BD31" i="9"/>
  <c r="BE31" i="9"/>
  <c r="BF31" i="9"/>
  <c r="BF48" i="9" s="1"/>
  <c r="BG31" i="9"/>
  <c r="BH31" i="9"/>
  <c r="BH48" i="9" s="1"/>
  <c r="BI31" i="9"/>
  <c r="BI48" i="9" s="1"/>
  <c r="BJ31" i="9"/>
  <c r="BJ48" i="9" s="1"/>
  <c r="BK31" i="9"/>
  <c r="BL31" i="9"/>
  <c r="BM31" i="9"/>
  <c r="BM48" i="9" s="1"/>
  <c r="BN31" i="9"/>
  <c r="BN48" i="9" s="1"/>
  <c r="BO31" i="9"/>
  <c r="BP31" i="9"/>
  <c r="BP48" i="9" s="1"/>
  <c r="BQ31" i="9"/>
  <c r="BQ48" i="9" s="1"/>
  <c r="BR31" i="9"/>
  <c r="BR48" i="9" s="1"/>
  <c r="BS31" i="9"/>
  <c r="BT31" i="9"/>
  <c r="BT48" i="9" s="1"/>
  <c r="BU31" i="9"/>
  <c r="Y32" i="9"/>
  <c r="Z32" i="9"/>
  <c r="AA32" i="9"/>
  <c r="AB32" i="9"/>
  <c r="AC32" i="9"/>
  <c r="AH49" i="9" s="1"/>
  <c r="AD49" i="9" s="1"/>
  <c r="AD32" i="9"/>
  <c r="AE32" i="9"/>
  <c r="AF32" i="9"/>
  <c r="AG32" i="9"/>
  <c r="AH32" i="9"/>
  <c r="AI32" i="9"/>
  <c r="AJ32" i="9"/>
  <c r="AK32" i="9"/>
  <c r="AK49" i="9" s="1"/>
  <c r="AL32" i="9"/>
  <c r="AM32" i="9"/>
  <c r="AN32" i="9"/>
  <c r="AN49" i="9" s="1"/>
  <c r="AO32" i="9"/>
  <c r="AO49" i="9" s="1"/>
  <c r="AP32" i="9"/>
  <c r="AQ32" i="9"/>
  <c r="AR32" i="9"/>
  <c r="AR49" i="9" s="1"/>
  <c r="AS32" i="9"/>
  <c r="AT32" i="9"/>
  <c r="AU32" i="9"/>
  <c r="AU49" i="9" s="1"/>
  <c r="AV32" i="9"/>
  <c r="AV49" i="9" s="1"/>
  <c r="AW32" i="9"/>
  <c r="AX32" i="9"/>
  <c r="AY32" i="9"/>
  <c r="AY49" i="9" s="1"/>
  <c r="AZ32" i="9"/>
  <c r="BA32" i="9"/>
  <c r="BB32" i="9"/>
  <c r="BB49" i="9" s="1"/>
  <c r="BC32" i="9"/>
  <c r="BC49" i="9" s="1"/>
  <c r="BD32" i="9"/>
  <c r="BE32" i="9"/>
  <c r="BE49" i="9" s="1"/>
  <c r="BF32" i="9"/>
  <c r="BF49" i="9" s="1"/>
  <c r="BG32" i="9"/>
  <c r="BH32" i="9"/>
  <c r="BI32" i="9"/>
  <c r="BI49" i="9" s="1"/>
  <c r="BJ32" i="9"/>
  <c r="BJ49" i="9" s="1"/>
  <c r="BK32" i="9"/>
  <c r="BL32" i="9"/>
  <c r="BM32" i="9"/>
  <c r="BM49" i="9" s="1"/>
  <c r="BN32" i="9"/>
  <c r="BN49" i="9" s="1"/>
  <c r="BO32" i="9"/>
  <c r="BP32" i="9"/>
  <c r="BP49" i="9" s="1"/>
  <c r="BQ32" i="9"/>
  <c r="BQ49" i="9" s="1"/>
  <c r="BR32" i="9"/>
  <c r="BR49" i="9" s="1"/>
  <c r="BS32" i="9"/>
  <c r="BT32" i="9"/>
  <c r="BT49" i="9" s="1"/>
  <c r="BU32" i="9"/>
  <c r="Y33" i="9"/>
  <c r="Z33" i="9"/>
  <c r="AA33" i="9"/>
  <c r="AB33" i="9"/>
  <c r="AC33" i="9"/>
  <c r="AH50" i="9" s="1"/>
  <c r="AD50" i="9" s="1"/>
  <c r="AD33" i="9"/>
  <c r="AF33" i="9"/>
  <c r="AG33" i="9"/>
  <c r="AH33" i="9"/>
  <c r="AI33" i="9"/>
  <c r="AJ33" i="9"/>
  <c r="AK33" i="9"/>
  <c r="AK50" i="9" s="1"/>
  <c r="AL33" i="9"/>
  <c r="AM33" i="9"/>
  <c r="AN33" i="9"/>
  <c r="AN50" i="9" s="1"/>
  <c r="AO33" i="9"/>
  <c r="AO50" i="9" s="1"/>
  <c r="AP33" i="9"/>
  <c r="AQ33" i="9"/>
  <c r="AR33" i="9"/>
  <c r="AR50" i="9" s="1"/>
  <c r="AS33" i="9"/>
  <c r="AT33" i="9"/>
  <c r="AU33" i="9"/>
  <c r="AU50" i="9" s="1"/>
  <c r="AV33" i="9"/>
  <c r="AV50" i="9" s="1"/>
  <c r="AW33" i="9"/>
  <c r="AX33" i="9"/>
  <c r="AY33" i="9"/>
  <c r="AY50" i="9" s="1"/>
  <c r="AZ33" i="9"/>
  <c r="BA33" i="9"/>
  <c r="BB33" i="9"/>
  <c r="BB50" i="9" s="1"/>
  <c r="BC33" i="9"/>
  <c r="BC50" i="9" s="1"/>
  <c r="BD33" i="9"/>
  <c r="BE33" i="9"/>
  <c r="BF33" i="9"/>
  <c r="BF50" i="9" s="1"/>
  <c r="BG33" i="9"/>
  <c r="BG50" i="9" s="1"/>
  <c r="BH33" i="9"/>
  <c r="BI33" i="9"/>
  <c r="BI50" i="9" s="1"/>
  <c r="BJ33" i="9"/>
  <c r="BJ50" i="9" s="1"/>
  <c r="BK33" i="9"/>
  <c r="BL33" i="9"/>
  <c r="BM33" i="9"/>
  <c r="BM50" i="9" s="1"/>
  <c r="BN33" i="9"/>
  <c r="BO33" i="9"/>
  <c r="BP33" i="9"/>
  <c r="BP50" i="9" s="1"/>
  <c r="BQ33" i="9"/>
  <c r="BQ50" i="9" s="1"/>
  <c r="BR33" i="9"/>
  <c r="BS33" i="9"/>
  <c r="BT33" i="9"/>
  <c r="BT50" i="9" s="1"/>
  <c r="BU33" i="9"/>
  <c r="M29" i="11"/>
  <c r="L29" i="11"/>
  <c r="I29" i="11"/>
  <c r="M28" i="11"/>
  <c r="L28" i="11"/>
  <c r="I28" i="11"/>
  <c r="M27" i="11"/>
  <c r="L27" i="11"/>
  <c r="I27" i="11"/>
  <c r="M26" i="11"/>
  <c r="L26" i="11"/>
  <c r="I26" i="11"/>
  <c r="M25" i="11"/>
  <c r="L25" i="11"/>
  <c r="I25" i="11"/>
  <c r="M24" i="11"/>
  <c r="L24" i="11"/>
  <c r="I24" i="11"/>
  <c r="M23" i="11"/>
  <c r="L23" i="11"/>
  <c r="I23" i="11"/>
  <c r="M22" i="11"/>
  <c r="L22" i="11"/>
  <c r="I22" i="11"/>
  <c r="M21" i="11"/>
  <c r="L21" i="11"/>
  <c r="I21" i="11"/>
  <c r="M20" i="11"/>
  <c r="L20" i="11"/>
  <c r="I20" i="11"/>
  <c r="M19" i="11"/>
  <c r="L19" i="11"/>
  <c r="I19" i="11"/>
  <c r="M18" i="11"/>
  <c r="L18" i="11"/>
  <c r="I18" i="11"/>
  <c r="M17" i="11"/>
  <c r="L17" i="11"/>
  <c r="I17" i="11"/>
  <c r="M16" i="11"/>
  <c r="L16" i="11"/>
  <c r="I16" i="11"/>
  <c r="M15" i="11"/>
  <c r="L15" i="11"/>
  <c r="I15" i="11"/>
  <c r="M14" i="11"/>
  <c r="L14" i="11"/>
  <c r="I14" i="11"/>
  <c r="M13" i="11"/>
  <c r="L13" i="11"/>
  <c r="I13" i="11"/>
  <c r="E13" i="11"/>
  <c r="B13" i="11"/>
  <c r="M12" i="11"/>
  <c r="L12" i="11"/>
  <c r="I12" i="11"/>
  <c r="M11" i="11"/>
  <c r="L11" i="11"/>
  <c r="I11" i="11"/>
  <c r="E11" i="11"/>
  <c r="M10" i="11"/>
  <c r="L10" i="11"/>
  <c r="I10" i="11"/>
  <c r="E10" i="11"/>
  <c r="M9" i="11"/>
  <c r="L9" i="11"/>
  <c r="I9" i="11"/>
  <c r="M8" i="11"/>
  <c r="L8" i="11"/>
  <c r="I8" i="11"/>
  <c r="E8" i="11"/>
  <c r="C8" i="11"/>
  <c r="M7" i="11"/>
  <c r="L7" i="11"/>
  <c r="I7" i="11"/>
  <c r="E7" i="11"/>
  <c r="M6" i="11"/>
  <c r="L6" i="11"/>
  <c r="I6" i="11"/>
  <c r="E6" i="11"/>
  <c r="M5" i="11"/>
  <c r="L5" i="11"/>
  <c r="I5" i="11"/>
  <c r="E5" i="11"/>
  <c r="M4" i="11"/>
  <c r="L4" i="11"/>
  <c r="I4" i="11"/>
  <c r="E4" i="11"/>
  <c r="M3" i="11"/>
  <c r="L3" i="11"/>
  <c r="I3" i="11"/>
  <c r="E3" i="11"/>
  <c r="M2" i="11"/>
  <c r="L2" i="11"/>
  <c r="I2" i="11"/>
  <c r="E9" i="11" s="1"/>
  <c r="B2" i="11"/>
  <c r="C7" i="11" s="1"/>
  <c r="CR60" i="10"/>
  <c r="CQ56" i="10"/>
  <c r="CR56" i="10" s="1"/>
  <c r="L56" i="10"/>
  <c r="CS55" i="10"/>
  <c r="CX54" i="10"/>
  <c r="DB52" i="10"/>
  <c r="DA52" i="10"/>
  <c r="CX52" i="10"/>
  <c r="CE52" i="10"/>
  <c r="CD52" i="10"/>
  <c r="CC52" i="10"/>
  <c r="CB52" i="10"/>
  <c r="CA52" i="10"/>
  <c r="BZ52" i="10"/>
  <c r="BW52" i="10"/>
  <c r="BV52" i="10"/>
  <c r="BU52" i="10"/>
  <c r="BT52" i="10"/>
  <c r="BS52" i="10"/>
  <c r="BR52" i="10"/>
  <c r="BQ52" i="10"/>
  <c r="BP52" i="10"/>
  <c r="BO52" i="10"/>
  <c r="BN52" i="10"/>
  <c r="BM52" i="10"/>
  <c r="BL52" i="10"/>
  <c r="BK52" i="10"/>
  <c r="BJ52" i="10"/>
  <c r="BH52" i="10"/>
  <c r="BG52" i="10"/>
  <c r="BC52" i="10"/>
  <c r="BA52" i="10"/>
  <c r="AZ52" i="10"/>
  <c r="AX52" i="10"/>
  <c r="AW52" i="10"/>
  <c r="AV52" i="10"/>
  <c r="AU52" i="10"/>
  <c r="AT52" i="10"/>
  <c r="AR52" i="10"/>
  <c r="AQ52" i="10"/>
  <c r="AO52" i="10"/>
  <c r="AN52" i="10"/>
  <c r="AL52" i="10"/>
  <c r="AJ52" i="10"/>
  <c r="AI52" i="10"/>
  <c r="AG52" i="10"/>
  <c r="AC52" i="10"/>
  <c r="X52" i="10"/>
  <c r="V52" i="10"/>
  <c r="T52" i="10"/>
  <c r="R52" i="10"/>
  <c r="P52" i="10"/>
  <c r="K52" i="10"/>
  <c r="J52" i="10"/>
  <c r="I52" i="10"/>
  <c r="F52" i="10"/>
  <c r="C52" i="10"/>
  <c r="DB51" i="10"/>
  <c r="DA51" i="10"/>
  <c r="CX51" i="10"/>
  <c r="CU51" i="10"/>
  <c r="CE51" i="10"/>
  <c r="CD51" i="10"/>
  <c r="CC51" i="10"/>
  <c r="CB51" i="10"/>
  <c r="CA51" i="10"/>
  <c r="BZ51" i="10"/>
  <c r="BW51" i="10"/>
  <c r="BV51" i="10"/>
  <c r="BU51" i="10"/>
  <c r="BT51" i="10"/>
  <c r="BS51" i="10"/>
  <c r="BR51" i="10"/>
  <c r="BQ51" i="10"/>
  <c r="BP51" i="10"/>
  <c r="BO51" i="10"/>
  <c r="BN51" i="10"/>
  <c r="BM51" i="10"/>
  <c r="BL51" i="10"/>
  <c r="BK51" i="10"/>
  <c r="BJ51" i="10"/>
  <c r="BH51" i="10"/>
  <c r="BG51" i="10"/>
  <c r="BC51" i="10"/>
  <c r="BA51" i="10"/>
  <c r="AZ51" i="10"/>
  <c r="AX51" i="10"/>
  <c r="AW51" i="10"/>
  <c r="AV51" i="10"/>
  <c r="AU51" i="10"/>
  <c r="AT51" i="10"/>
  <c r="AR51" i="10"/>
  <c r="AQ51" i="10"/>
  <c r="AO51" i="10"/>
  <c r="AN51" i="10"/>
  <c r="AL51" i="10"/>
  <c r="AJ51" i="10"/>
  <c r="AI51" i="10"/>
  <c r="AG51" i="10"/>
  <c r="AE51" i="10"/>
  <c r="AC51" i="10"/>
  <c r="X51" i="10"/>
  <c r="W51" i="10"/>
  <c r="V51" i="10"/>
  <c r="T51" i="10"/>
  <c r="R51" i="10"/>
  <c r="P51" i="10"/>
  <c r="J51" i="10"/>
  <c r="I51" i="10"/>
  <c r="F51" i="10"/>
  <c r="C51" i="10"/>
  <c r="DB50" i="10"/>
  <c r="DA50" i="10"/>
  <c r="CX50" i="10"/>
  <c r="CO50" i="10"/>
  <c r="CE50" i="10"/>
  <c r="CD50" i="10"/>
  <c r="CC50" i="10"/>
  <c r="CB50" i="10"/>
  <c r="CA50" i="10"/>
  <c r="BZ50" i="10"/>
  <c r="BW50" i="10"/>
  <c r="BV50" i="10"/>
  <c r="BU50" i="10"/>
  <c r="BT50" i="10"/>
  <c r="BS50" i="10"/>
  <c r="BR50" i="10"/>
  <c r="BQ50" i="10"/>
  <c r="BP50" i="10"/>
  <c r="BO50" i="10"/>
  <c r="BN50" i="10"/>
  <c r="BM50" i="10"/>
  <c r="BL50" i="10"/>
  <c r="BK50" i="10"/>
  <c r="BJ50" i="10"/>
  <c r="BH50" i="10"/>
  <c r="BG50" i="10"/>
  <c r="BC50" i="10"/>
  <c r="BA50" i="10"/>
  <c r="AZ50" i="10"/>
  <c r="AX50" i="10"/>
  <c r="AW50" i="10"/>
  <c r="AV50" i="10"/>
  <c r="AU50" i="10"/>
  <c r="AT50" i="10"/>
  <c r="AR50" i="10"/>
  <c r="AQ50" i="10"/>
  <c r="AO50" i="10"/>
  <c r="AN50" i="10"/>
  <c r="AM50" i="10"/>
  <c r="AL50" i="10"/>
  <c r="AJ50" i="10"/>
  <c r="AI50" i="10"/>
  <c r="AG50" i="10"/>
  <c r="AE50" i="10"/>
  <c r="AC50" i="10"/>
  <c r="Z50" i="10"/>
  <c r="X50" i="10"/>
  <c r="W50" i="10"/>
  <c r="V50" i="10"/>
  <c r="T50" i="10"/>
  <c r="R50" i="10"/>
  <c r="P50" i="10"/>
  <c r="J50" i="10"/>
  <c r="I50" i="10"/>
  <c r="F50" i="10"/>
  <c r="E50" i="10"/>
  <c r="C50" i="10"/>
  <c r="DB49" i="10"/>
  <c r="DA49" i="10"/>
  <c r="CX49" i="10"/>
  <c r="CO49" i="10"/>
  <c r="CO52" i="10" s="1"/>
  <c r="CE49" i="10"/>
  <c r="CD49" i="10"/>
  <c r="CC49" i="10"/>
  <c r="CB49" i="10"/>
  <c r="CA49" i="10"/>
  <c r="BZ49" i="10"/>
  <c r="BW49" i="10"/>
  <c r="BV49" i="10"/>
  <c r="BU49" i="10"/>
  <c r="BT49" i="10"/>
  <c r="BS49" i="10"/>
  <c r="BR49" i="10"/>
  <c r="BQ49" i="10"/>
  <c r="BP49" i="10"/>
  <c r="BO49" i="10"/>
  <c r="BN49" i="10"/>
  <c r="BM49" i="10"/>
  <c r="BL49" i="10"/>
  <c r="BK49" i="10"/>
  <c r="BJ49" i="10"/>
  <c r="BH49" i="10"/>
  <c r="BG49" i="10"/>
  <c r="BC49" i="10"/>
  <c r="BA49" i="10"/>
  <c r="AZ49" i="10"/>
  <c r="AX49" i="10"/>
  <c r="AW49" i="10"/>
  <c r="AV49" i="10"/>
  <c r="AU49" i="10"/>
  <c r="AT49" i="10"/>
  <c r="AR49" i="10"/>
  <c r="AQ49" i="10"/>
  <c r="AO49" i="10"/>
  <c r="AN49" i="10"/>
  <c r="AL49" i="10"/>
  <c r="AJ49" i="10"/>
  <c r="AI49" i="10"/>
  <c r="AG49" i="10"/>
  <c r="AF49" i="10"/>
  <c r="AC49" i="10"/>
  <c r="X49" i="10"/>
  <c r="V49" i="10"/>
  <c r="T49" i="10"/>
  <c r="R49" i="10"/>
  <c r="P49" i="10"/>
  <c r="K49" i="10"/>
  <c r="J49" i="10"/>
  <c r="I49" i="10"/>
  <c r="F49" i="10"/>
  <c r="E49" i="10"/>
  <c r="C49" i="10"/>
  <c r="DB48" i="10"/>
  <c r="DA48" i="10"/>
  <c r="CX48" i="10"/>
  <c r="CE48" i="10"/>
  <c r="CD48" i="10"/>
  <c r="CC48" i="10"/>
  <c r="CB48" i="10"/>
  <c r="CA48" i="10"/>
  <c r="BZ48" i="10"/>
  <c r="BW48" i="10"/>
  <c r="BV48" i="10"/>
  <c r="BU48" i="10"/>
  <c r="BT48" i="10"/>
  <c r="BS48" i="10"/>
  <c r="BR48" i="10"/>
  <c r="BQ48" i="10"/>
  <c r="BP48" i="10"/>
  <c r="BO48" i="10"/>
  <c r="BN48" i="10"/>
  <c r="BM48" i="10"/>
  <c r="BL48" i="10"/>
  <c r="BK48" i="10"/>
  <c r="BJ48" i="10"/>
  <c r="BH48" i="10"/>
  <c r="BG48" i="10"/>
  <c r="BC48" i="10"/>
  <c r="BA48" i="10"/>
  <c r="AZ48" i="10"/>
  <c r="AX48" i="10"/>
  <c r="AW48" i="10"/>
  <c r="AV48" i="10"/>
  <c r="AU48" i="10"/>
  <c r="AT48" i="10"/>
  <c r="AR48" i="10"/>
  <c r="AQ48" i="10"/>
  <c r="AP48" i="10"/>
  <c r="AO48" i="10"/>
  <c r="AN48" i="10"/>
  <c r="AL48" i="10"/>
  <c r="AJ48" i="10"/>
  <c r="AI48" i="10"/>
  <c r="AG48" i="10"/>
  <c r="AF48" i="10"/>
  <c r="AC48" i="10"/>
  <c r="Z48" i="10"/>
  <c r="X48" i="10"/>
  <c r="V48" i="10"/>
  <c r="T48" i="10"/>
  <c r="R48" i="10"/>
  <c r="P48" i="10"/>
  <c r="J48" i="10"/>
  <c r="I48" i="10"/>
  <c r="F48" i="10"/>
  <c r="E48" i="10"/>
  <c r="C48" i="10"/>
  <c r="DB47" i="10"/>
  <c r="DA47" i="10"/>
  <c r="CX47" i="10"/>
  <c r="CE47" i="10"/>
  <c r="CD47" i="10"/>
  <c r="CC47" i="10"/>
  <c r="CB47" i="10"/>
  <c r="CA47" i="10"/>
  <c r="BZ47" i="10"/>
  <c r="BW47" i="10"/>
  <c r="BV47" i="10"/>
  <c r="BU47" i="10"/>
  <c r="BT47" i="10"/>
  <c r="BS47" i="10"/>
  <c r="BR47" i="10"/>
  <c r="BQ47" i="10"/>
  <c r="BP47" i="10"/>
  <c r="BO47" i="10"/>
  <c r="BN47" i="10"/>
  <c r="BM47" i="10"/>
  <c r="BL47" i="10"/>
  <c r="BK47" i="10"/>
  <c r="BJ47" i="10"/>
  <c r="BH47" i="10"/>
  <c r="BG47" i="10"/>
  <c r="BC47" i="10"/>
  <c r="BA47" i="10"/>
  <c r="AZ47" i="10"/>
  <c r="AX47" i="10"/>
  <c r="AW47" i="10"/>
  <c r="AV47" i="10"/>
  <c r="AU47" i="10"/>
  <c r="AT47" i="10"/>
  <c r="AR47" i="10"/>
  <c r="AQ47" i="10"/>
  <c r="AO47" i="10"/>
  <c r="AN47" i="10"/>
  <c r="AL47" i="10"/>
  <c r="AJ47" i="10"/>
  <c r="AI47" i="10"/>
  <c r="AG47" i="10"/>
  <c r="AF47" i="10"/>
  <c r="AE47" i="10"/>
  <c r="AC47" i="10"/>
  <c r="X47" i="10"/>
  <c r="W47" i="10"/>
  <c r="V47" i="10"/>
  <c r="T47" i="10"/>
  <c r="R47" i="10"/>
  <c r="P47" i="10"/>
  <c r="K47" i="10"/>
  <c r="J47" i="10"/>
  <c r="I47" i="10"/>
  <c r="F47" i="10"/>
  <c r="C47" i="10"/>
  <c r="DB46" i="10"/>
  <c r="DA46" i="10"/>
  <c r="CX46" i="10"/>
  <c r="CR46" i="10"/>
  <c r="CR47" i="10" s="1"/>
  <c r="CE46" i="10"/>
  <c r="CD46" i="10"/>
  <c r="CC46" i="10"/>
  <c r="CB46" i="10"/>
  <c r="CA46" i="10"/>
  <c r="BZ46" i="10"/>
  <c r="BW46" i="10"/>
  <c r="BV46" i="10"/>
  <c r="BU46" i="10"/>
  <c r="BT46" i="10"/>
  <c r="BS46" i="10"/>
  <c r="BR46" i="10"/>
  <c r="BQ46" i="10"/>
  <c r="BP46" i="10"/>
  <c r="BO46" i="10"/>
  <c r="BN46" i="10"/>
  <c r="BM46" i="10"/>
  <c r="BL46" i="10"/>
  <c r="BK46" i="10"/>
  <c r="BJ46" i="10"/>
  <c r="BI46" i="10"/>
  <c r="BH46" i="10"/>
  <c r="BG46" i="10"/>
  <c r="BC46" i="10"/>
  <c r="BA46" i="10"/>
  <c r="AZ46" i="10"/>
  <c r="AX46" i="10"/>
  <c r="AW46" i="10"/>
  <c r="AV46" i="10"/>
  <c r="AU46" i="10"/>
  <c r="AT46" i="10"/>
  <c r="AR46" i="10"/>
  <c r="AQ46" i="10"/>
  <c r="AO46" i="10"/>
  <c r="AN46" i="10"/>
  <c r="AL46" i="10"/>
  <c r="AJ46" i="10"/>
  <c r="AI46" i="10"/>
  <c r="AG46" i="10"/>
  <c r="AC46" i="10"/>
  <c r="X46" i="10"/>
  <c r="V46" i="10"/>
  <c r="T46" i="10"/>
  <c r="R46" i="10"/>
  <c r="Q46" i="10"/>
  <c r="P46" i="10"/>
  <c r="J46" i="10"/>
  <c r="I46" i="10"/>
  <c r="F46" i="10"/>
  <c r="E46" i="10"/>
  <c r="C46" i="10"/>
  <c r="DB45" i="10"/>
  <c r="DA45" i="10"/>
  <c r="CX45" i="10"/>
  <c r="CE45" i="10"/>
  <c r="CD45" i="10"/>
  <c r="CC45" i="10"/>
  <c r="CB45" i="10"/>
  <c r="CA45" i="10"/>
  <c r="BZ45" i="10"/>
  <c r="BW45" i="10"/>
  <c r="BV45" i="10"/>
  <c r="BU45" i="10"/>
  <c r="BT45" i="10"/>
  <c r="BS45" i="10"/>
  <c r="BR45" i="10"/>
  <c r="BQ45" i="10"/>
  <c r="BP45" i="10"/>
  <c r="BO45" i="10"/>
  <c r="BN45" i="10"/>
  <c r="BM45" i="10"/>
  <c r="BL45" i="10"/>
  <c r="BK45" i="10"/>
  <c r="BJ45" i="10"/>
  <c r="BH45" i="10"/>
  <c r="BG45" i="10"/>
  <c r="BC45" i="10"/>
  <c r="BA45" i="10"/>
  <c r="AZ45" i="10"/>
  <c r="AX45" i="10"/>
  <c r="AW45" i="10"/>
  <c r="AV45" i="10"/>
  <c r="AU45" i="10"/>
  <c r="AT45" i="10"/>
  <c r="AR45" i="10"/>
  <c r="AQ45" i="10"/>
  <c r="AO45" i="10"/>
  <c r="AN45" i="10"/>
  <c r="AL45" i="10"/>
  <c r="AJ45" i="10"/>
  <c r="AI45" i="10"/>
  <c r="AG45" i="10"/>
  <c r="AC45" i="10"/>
  <c r="Z45" i="10"/>
  <c r="X45" i="10"/>
  <c r="V45" i="10"/>
  <c r="T45" i="10"/>
  <c r="R45" i="10"/>
  <c r="P45" i="10"/>
  <c r="K45" i="10"/>
  <c r="J45" i="10"/>
  <c r="I45" i="10"/>
  <c r="F45" i="10"/>
  <c r="E45" i="10"/>
  <c r="C45" i="10"/>
  <c r="DB44" i="10"/>
  <c r="DA44" i="10"/>
  <c r="CX44" i="10"/>
  <c r="CE44" i="10"/>
  <c r="CD44" i="10"/>
  <c r="CC44" i="10"/>
  <c r="CB44" i="10"/>
  <c r="CA44" i="10"/>
  <c r="BZ44" i="10"/>
  <c r="BW44" i="10"/>
  <c r="BV44" i="10"/>
  <c r="BU44" i="10"/>
  <c r="BT44" i="10"/>
  <c r="BS44" i="10"/>
  <c r="BR44" i="10"/>
  <c r="BQ44" i="10"/>
  <c r="BP44" i="10"/>
  <c r="BO44" i="10"/>
  <c r="BN44" i="10"/>
  <c r="BM44" i="10"/>
  <c r="BL44" i="10"/>
  <c r="BK44" i="10"/>
  <c r="BJ44" i="10"/>
  <c r="BH44" i="10"/>
  <c r="BG44" i="10"/>
  <c r="BC44" i="10"/>
  <c r="BA44" i="10"/>
  <c r="AZ44" i="10"/>
  <c r="AX44" i="10"/>
  <c r="AW44" i="10"/>
  <c r="AV44" i="10"/>
  <c r="AU44" i="10"/>
  <c r="AT44" i="10"/>
  <c r="AR44" i="10"/>
  <c r="AQ44" i="10"/>
  <c r="AO44" i="10"/>
  <c r="AN44" i="10"/>
  <c r="AL44" i="10"/>
  <c r="AJ44" i="10"/>
  <c r="AI44" i="10"/>
  <c r="AG44" i="10"/>
  <c r="AF44" i="10"/>
  <c r="AE44" i="10"/>
  <c r="AC44" i="10"/>
  <c r="Z44" i="10"/>
  <c r="X44" i="10"/>
  <c r="W44" i="10"/>
  <c r="V44" i="10"/>
  <c r="T44" i="10"/>
  <c r="R44" i="10"/>
  <c r="P44" i="10"/>
  <c r="O44" i="10"/>
  <c r="K44" i="10"/>
  <c r="J44" i="10"/>
  <c r="I44" i="10"/>
  <c r="F44" i="10"/>
  <c r="E44" i="10"/>
  <c r="C44" i="10"/>
  <c r="DB43" i="10"/>
  <c r="DA43" i="10"/>
  <c r="CX43" i="10"/>
  <c r="CE43" i="10"/>
  <c r="CD43" i="10"/>
  <c r="CC43" i="10"/>
  <c r="CB43" i="10"/>
  <c r="CA43" i="10"/>
  <c r="BZ43" i="10"/>
  <c r="BW43" i="10"/>
  <c r="BV43" i="10"/>
  <c r="BU43" i="10"/>
  <c r="BT43" i="10"/>
  <c r="BS43" i="10"/>
  <c r="BR43" i="10"/>
  <c r="BQ43" i="10"/>
  <c r="BP43" i="10"/>
  <c r="BO43" i="10"/>
  <c r="BN43" i="10"/>
  <c r="BM43" i="10"/>
  <c r="BL43" i="10"/>
  <c r="BK43" i="10"/>
  <c r="BJ43" i="10"/>
  <c r="BH43" i="10"/>
  <c r="BG43" i="10"/>
  <c r="BC43" i="10"/>
  <c r="BA43" i="10"/>
  <c r="AZ43" i="10"/>
  <c r="AX43" i="10"/>
  <c r="AW43" i="10"/>
  <c r="AV43" i="10"/>
  <c r="AU43" i="10"/>
  <c r="AT43" i="10"/>
  <c r="AR43" i="10"/>
  <c r="AQ43" i="10"/>
  <c r="AO43" i="10"/>
  <c r="AN43" i="10"/>
  <c r="AL43" i="10"/>
  <c r="AJ43" i="10"/>
  <c r="AI43" i="10"/>
  <c r="AG43" i="10"/>
  <c r="AF43" i="10"/>
  <c r="AE43" i="10"/>
  <c r="AC43" i="10"/>
  <c r="X43" i="10"/>
  <c r="W43" i="10"/>
  <c r="V43" i="10"/>
  <c r="T43" i="10"/>
  <c r="R43" i="10"/>
  <c r="P43" i="10"/>
  <c r="K43" i="10"/>
  <c r="J43" i="10"/>
  <c r="I43" i="10"/>
  <c r="F43" i="10"/>
  <c r="E43" i="10"/>
  <c r="C43" i="10"/>
  <c r="DB42" i="10"/>
  <c r="DA42" i="10"/>
  <c r="CX42" i="10"/>
  <c r="CV42" i="10"/>
  <c r="CP42" i="10"/>
  <c r="CE42" i="10"/>
  <c r="CD42" i="10"/>
  <c r="CC42" i="10"/>
  <c r="CB42" i="10"/>
  <c r="CA42" i="10"/>
  <c r="BZ42" i="10"/>
  <c r="BW42" i="10"/>
  <c r="BV42" i="10"/>
  <c r="BU42" i="10"/>
  <c r="BT42" i="10"/>
  <c r="BS42" i="10"/>
  <c r="BR42" i="10"/>
  <c r="BQ42" i="10"/>
  <c r="BP42" i="10"/>
  <c r="BO42" i="10"/>
  <c r="BN42" i="10"/>
  <c r="BM42" i="10"/>
  <c r="BL42" i="10"/>
  <c r="BK42" i="10"/>
  <c r="BJ42" i="10"/>
  <c r="BH42" i="10"/>
  <c r="BG42" i="10"/>
  <c r="BC42" i="10"/>
  <c r="BA42" i="10"/>
  <c r="AZ42" i="10"/>
  <c r="AX42" i="10"/>
  <c r="AW42" i="10"/>
  <c r="AV42" i="10"/>
  <c r="AU42" i="10"/>
  <c r="AT42" i="10"/>
  <c r="AR42" i="10"/>
  <c r="AQ42" i="10"/>
  <c r="AO42" i="10"/>
  <c r="AN42" i="10"/>
  <c r="AM42" i="10"/>
  <c r="AL42" i="10"/>
  <c r="AJ42" i="10"/>
  <c r="AI42" i="10"/>
  <c r="AG42" i="10"/>
  <c r="AE42" i="10"/>
  <c r="AC42" i="10"/>
  <c r="AB42" i="10"/>
  <c r="Z42" i="10"/>
  <c r="X42" i="10"/>
  <c r="W42" i="10"/>
  <c r="V42" i="10"/>
  <c r="T42" i="10"/>
  <c r="R42" i="10"/>
  <c r="P42" i="10"/>
  <c r="K42" i="10"/>
  <c r="J42" i="10"/>
  <c r="I42" i="10"/>
  <c r="G42" i="10"/>
  <c r="F42" i="10"/>
  <c r="E42" i="10"/>
  <c r="C42" i="10"/>
  <c r="DB41" i="10"/>
  <c r="DA41" i="10"/>
  <c r="CX41" i="10"/>
  <c r="CW41" i="10"/>
  <c r="CS41" i="10"/>
  <c r="CE41" i="10"/>
  <c r="CD41" i="10"/>
  <c r="CC41" i="10"/>
  <c r="CB41" i="10"/>
  <c r="CA41" i="10"/>
  <c r="BZ41" i="10"/>
  <c r="BW41" i="10"/>
  <c r="BV41" i="10"/>
  <c r="BU41" i="10"/>
  <c r="BT41" i="10"/>
  <c r="BS41" i="10"/>
  <c r="BR41" i="10"/>
  <c r="BQ41" i="10"/>
  <c r="BP41" i="10"/>
  <c r="BO41" i="10"/>
  <c r="BN41" i="10"/>
  <c r="BM41" i="10"/>
  <c r="BL41" i="10"/>
  <c r="BK41" i="10"/>
  <c r="BJ41" i="10"/>
  <c r="BI41" i="10"/>
  <c r="BH41" i="10"/>
  <c r="BG41" i="10"/>
  <c r="BC41" i="10"/>
  <c r="BA41" i="10"/>
  <c r="AZ41" i="10"/>
  <c r="AX41" i="10"/>
  <c r="AW41" i="10"/>
  <c r="AV41" i="10"/>
  <c r="AU41" i="10"/>
  <c r="AT41" i="10"/>
  <c r="AR41" i="10"/>
  <c r="AQ41" i="10"/>
  <c r="AO41" i="10"/>
  <c r="AN41" i="10"/>
  <c r="AM41" i="10"/>
  <c r="AL41" i="10"/>
  <c r="AJ41" i="10"/>
  <c r="AI41" i="10"/>
  <c r="AG41" i="10"/>
  <c r="AC41" i="10"/>
  <c r="Z41" i="10"/>
  <c r="X41" i="10"/>
  <c r="V41" i="10"/>
  <c r="T41" i="10"/>
  <c r="R41" i="10"/>
  <c r="P41" i="10"/>
  <c r="K41" i="10"/>
  <c r="J41" i="10"/>
  <c r="I41" i="10"/>
  <c r="F41" i="10"/>
  <c r="E41" i="10"/>
  <c r="C41" i="10"/>
  <c r="DB40" i="10"/>
  <c r="DA40" i="10"/>
  <c r="CX40" i="10"/>
  <c r="CW40" i="10"/>
  <c r="CE40" i="10"/>
  <c r="CD40" i="10"/>
  <c r="CC40" i="10"/>
  <c r="CB40" i="10"/>
  <c r="CA40" i="10"/>
  <c r="BZ40" i="10"/>
  <c r="BW40" i="10"/>
  <c r="BV40" i="10"/>
  <c r="BU40" i="10"/>
  <c r="BT40" i="10"/>
  <c r="BS40" i="10"/>
  <c r="BR40" i="10"/>
  <c r="BQ40" i="10"/>
  <c r="BP40" i="10"/>
  <c r="BO40" i="10"/>
  <c r="BN40" i="10"/>
  <c r="BM40" i="10"/>
  <c r="BL40" i="10"/>
  <c r="BK40" i="10"/>
  <c r="BJ40" i="10"/>
  <c r="BH40" i="10"/>
  <c r="BG40" i="10"/>
  <c r="BC40" i="10"/>
  <c r="BA40" i="10"/>
  <c r="AZ40" i="10"/>
  <c r="AX40" i="10"/>
  <c r="AW40" i="10"/>
  <c r="AV40" i="10"/>
  <c r="AU40" i="10"/>
  <c r="AT40" i="10"/>
  <c r="AR40" i="10"/>
  <c r="AQ40" i="10"/>
  <c r="AO40" i="10"/>
  <c r="AN40" i="10"/>
  <c r="AM40" i="10"/>
  <c r="AL40" i="10"/>
  <c r="AJ40" i="10"/>
  <c r="AI40" i="10"/>
  <c r="AG40" i="10"/>
  <c r="AF40" i="10"/>
  <c r="AE40" i="10"/>
  <c r="AC40" i="10"/>
  <c r="X40" i="10"/>
  <c r="W40" i="10"/>
  <c r="V40" i="10"/>
  <c r="T40" i="10"/>
  <c r="R40" i="10"/>
  <c r="P40" i="10"/>
  <c r="K40" i="10"/>
  <c r="J40" i="10"/>
  <c r="I40" i="10"/>
  <c r="F40" i="10"/>
  <c r="E40" i="10"/>
  <c r="D40" i="10"/>
  <c r="C40" i="10"/>
  <c r="DB39" i="10"/>
  <c r="DA39" i="10"/>
  <c r="CX39" i="10"/>
  <c r="CE39" i="10"/>
  <c r="CD39" i="10"/>
  <c r="CC39" i="10"/>
  <c r="CB39" i="10"/>
  <c r="CA39" i="10"/>
  <c r="BZ39" i="10"/>
  <c r="BW39" i="10"/>
  <c r="BV39" i="10"/>
  <c r="BU39" i="10"/>
  <c r="BT39" i="10"/>
  <c r="BS39" i="10"/>
  <c r="BR39" i="10"/>
  <c r="BQ39" i="10"/>
  <c r="BP39" i="10"/>
  <c r="BO39" i="10"/>
  <c r="BN39" i="10"/>
  <c r="BM39" i="10"/>
  <c r="BL39" i="10"/>
  <c r="BK39" i="10"/>
  <c r="BJ39" i="10"/>
  <c r="BH39" i="10"/>
  <c r="BG39" i="10"/>
  <c r="BD39" i="10"/>
  <c r="BC39" i="10"/>
  <c r="BA39" i="10"/>
  <c r="AZ39" i="10"/>
  <c r="AY39" i="10"/>
  <c r="AX39" i="10"/>
  <c r="AW39" i="10"/>
  <c r="AV39" i="10"/>
  <c r="AU39" i="10"/>
  <c r="AT39" i="10"/>
  <c r="AR39" i="10"/>
  <c r="AQ39" i="10"/>
  <c r="AO39" i="10"/>
  <c r="AN39" i="10"/>
  <c r="AM39" i="10"/>
  <c r="AL39" i="10"/>
  <c r="AJ39" i="10"/>
  <c r="AI39" i="10"/>
  <c r="AG39" i="10"/>
  <c r="AF39" i="10"/>
  <c r="AE39" i="10"/>
  <c r="AC39" i="10"/>
  <c r="AB39" i="10"/>
  <c r="Z39" i="10"/>
  <c r="X39" i="10"/>
  <c r="V39" i="10"/>
  <c r="T39" i="10"/>
  <c r="R39" i="10"/>
  <c r="P39" i="10"/>
  <c r="K39" i="10"/>
  <c r="J39" i="10"/>
  <c r="I39" i="10"/>
  <c r="F39" i="10"/>
  <c r="E39" i="10"/>
  <c r="C39" i="10"/>
  <c r="DB38" i="10"/>
  <c r="DA38" i="10"/>
  <c r="CX38" i="10"/>
  <c r="CE38" i="10"/>
  <c r="CD38" i="10"/>
  <c r="CC38" i="10"/>
  <c r="CB38" i="10"/>
  <c r="CA38" i="10"/>
  <c r="BZ38" i="10"/>
  <c r="BW38" i="10"/>
  <c r="BV38" i="10"/>
  <c r="BU38" i="10"/>
  <c r="BT38" i="10"/>
  <c r="BS38" i="10"/>
  <c r="BR38" i="10"/>
  <c r="BQ38" i="10"/>
  <c r="BP38" i="10"/>
  <c r="BO38" i="10"/>
  <c r="BN38" i="10"/>
  <c r="BM38" i="10"/>
  <c r="BL38" i="10"/>
  <c r="BK38" i="10"/>
  <c r="BJ38" i="10"/>
  <c r="BH38" i="10"/>
  <c r="BG38" i="10"/>
  <c r="BC38" i="10"/>
  <c r="BA38" i="10"/>
  <c r="AZ38" i="10"/>
  <c r="AY38" i="10"/>
  <c r="AX38" i="10"/>
  <c r="AW38" i="10"/>
  <c r="AV38" i="10"/>
  <c r="AU38" i="10"/>
  <c r="AT38" i="10"/>
  <c r="AR38" i="10"/>
  <c r="AQ38" i="10"/>
  <c r="AO38" i="10"/>
  <c r="AN38" i="10"/>
  <c r="AM38" i="10"/>
  <c r="AL38" i="10"/>
  <c r="AJ38" i="10"/>
  <c r="AI38" i="10"/>
  <c r="AG38" i="10"/>
  <c r="AE38" i="10"/>
  <c r="AC38" i="10"/>
  <c r="AB38" i="10"/>
  <c r="Z38" i="10"/>
  <c r="Y38" i="10"/>
  <c r="X38" i="10"/>
  <c r="V38" i="10"/>
  <c r="T38" i="10"/>
  <c r="R38" i="10"/>
  <c r="P38" i="10"/>
  <c r="K38" i="10"/>
  <c r="J38" i="10"/>
  <c r="I38" i="10"/>
  <c r="F38" i="10"/>
  <c r="E38" i="10"/>
  <c r="C38" i="10"/>
  <c r="DB37" i="10"/>
  <c r="DA37" i="10"/>
  <c r="CX37" i="10"/>
  <c r="CE37" i="10"/>
  <c r="CD37" i="10"/>
  <c r="CC37" i="10"/>
  <c r="CB37" i="10"/>
  <c r="CA37" i="10"/>
  <c r="BZ37" i="10"/>
  <c r="BW37" i="10"/>
  <c r="BV37" i="10"/>
  <c r="BU37" i="10"/>
  <c r="BT37" i="10"/>
  <c r="BS37" i="10"/>
  <c r="BR37" i="10"/>
  <c r="BQ37" i="10"/>
  <c r="BP37" i="10"/>
  <c r="BO37" i="10"/>
  <c r="BN37" i="10"/>
  <c r="BM37" i="10"/>
  <c r="BL37" i="10"/>
  <c r="BK37" i="10"/>
  <c r="BJ37" i="10"/>
  <c r="BH37" i="10"/>
  <c r="BG37" i="10"/>
  <c r="BD37" i="10"/>
  <c r="BC37" i="10"/>
  <c r="BA37" i="10"/>
  <c r="AZ37" i="10"/>
  <c r="AY37" i="10"/>
  <c r="AX37" i="10"/>
  <c r="AW37" i="10"/>
  <c r="AV37" i="10"/>
  <c r="AU37" i="10"/>
  <c r="AT37" i="10"/>
  <c r="AR37" i="10"/>
  <c r="AQ37" i="10"/>
  <c r="AO37" i="10"/>
  <c r="AN37" i="10"/>
  <c r="AM37" i="10"/>
  <c r="AL37" i="10"/>
  <c r="AJ37" i="10"/>
  <c r="AI37" i="10"/>
  <c r="AG37" i="10"/>
  <c r="AF37" i="10"/>
  <c r="AE37" i="10"/>
  <c r="AD37" i="10"/>
  <c r="AC37" i="10"/>
  <c r="AB37" i="10"/>
  <c r="Z37" i="10"/>
  <c r="X37" i="10"/>
  <c r="W37" i="10"/>
  <c r="V37" i="10"/>
  <c r="T37" i="10"/>
  <c r="R37" i="10"/>
  <c r="P37" i="10"/>
  <c r="O37" i="10"/>
  <c r="K37" i="10"/>
  <c r="J37" i="10"/>
  <c r="I37" i="10"/>
  <c r="F37" i="10"/>
  <c r="E37" i="10"/>
  <c r="C37" i="10"/>
  <c r="DB36" i="10"/>
  <c r="DA36" i="10"/>
  <c r="CX36" i="10"/>
  <c r="CE36" i="10"/>
  <c r="CD36" i="10"/>
  <c r="CC36" i="10"/>
  <c r="CB36" i="10"/>
  <c r="CA36" i="10"/>
  <c r="BZ36" i="10"/>
  <c r="BW36" i="10"/>
  <c r="BV36" i="10"/>
  <c r="BU36" i="10"/>
  <c r="BT36" i="10"/>
  <c r="BS36" i="10"/>
  <c r="BR36" i="10"/>
  <c r="BQ36" i="10"/>
  <c r="BP36" i="10"/>
  <c r="BO36" i="10"/>
  <c r="BN36" i="10"/>
  <c r="BM36" i="10"/>
  <c r="BL36" i="10"/>
  <c r="BK36" i="10"/>
  <c r="BJ36" i="10"/>
  <c r="BI36" i="10"/>
  <c r="BH36" i="10"/>
  <c r="BG36" i="10"/>
  <c r="BF36" i="10"/>
  <c r="BD36" i="10"/>
  <c r="BC36" i="10"/>
  <c r="BA36" i="10"/>
  <c r="AZ36" i="10"/>
  <c r="AY36" i="10"/>
  <c r="AX36" i="10"/>
  <c r="AW36" i="10"/>
  <c r="AV36" i="10"/>
  <c r="AU36" i="10"/>
  <c r="AT36" i="10"/>
  <c r="AR36" i="10"/>
  <c r="AQ36" i="10"/>
  <c r="AO36" i="10"/>
  <c r="AN36" i="10"/>
  <c r="AM36" i="10"/>
  <c r="AL36" i="10"/>
  <c r="AK36" i="10"/>
  <c r="AJ36" i="10"/>
  <c r="AI36" i="10"/>
  <c r="AG36" i="10"/>
  <c r="AF36" i="10"/>
  <c r="AE36" i="10"/>
  <c r="AC36" i="10"/>
  <c r="AB36" i="10"/>
  <c r="Z36" i="10"/>
  <c r="X36" i="10"/>
  <c r="W36" i="10"/>
  <c r="V36" i="10"/>
  <c r="T36" i="10"/>
  <c r="R36" i="10"/>
  <c r="P36" i="10"/>
  <c r="K36" i="10"/>
  <c r="J36" i="10"/>
  <c r="I36" i="10"/>
  <c r="F36" i="10"/>
  <c r="E36" i="10"/>
  <c r="C36" i="10"/>
  <c r="DB35" i="10"/>
  <c r="DA35" i="10"/>
  <c r="CX35" i="10"/>
  <c r="CV35" i="10"/>
  <c r="CU35" i="10"/>
  <c r="CT35" i="10"/>
  <c r="CS35" i="10"/>
  <c r="CR35" i="10"/>
  <c r="CQ35" i="10"/>
  <c r="CP35" i="10"/>
  <c r="CO35" i="10"/>
  <c r="CE35" i="10"/>
  <c r="CD35" i="10"/>
  <c r="CC35" i="10"/>
  <c r="CB35" i="10"/>
  <c r="CA35" i="10"/>
  <c r="BZ35" i="10"/>
  <c r="BW35" i="10"/>
  <c r="BV35" i="10"/>
  <c r="BU35" i="10"/>
  <c r="BT35" i="10"/>
  <c r="BS35" i="10"/>
  <c r="BR35" i="10"/>
  <c r="BQ35" i="10"/>
  <c r="BP35" i="10"/>
  <c r="BO35" i="10"/>
  <c r="BN35" i="10"/>
  <c r="BM35" i="10"/>
  <c r="BL35" i="10"/>
  <c r="BK35" i="10"/>
  <c r="BJ35" i="10"/>
  <c r="BI35" i="10"/>
  <c r="BH35" i="10"/>
  <c r="BG35" i="10"/>
  <c r="BF35" i="10"/>
  <c r="BE35" i="10"/>
  <c r="BD35" i="10"/>
  <c r="BC35" i="10"/>
  <c r="BA35" i="10"/>
  <c r="AZ35" i="10"/>
  <c r="AY35" i="10"/>
  <c r="AX35" i="10"/>
  <c r="AW35" i="10"/>
  <c r="AV35" i="10"/>
  <c r="AU35" i="10"/>
  <c r="AT35" i="10"/>
  <c r="AR35" i="10"/>
  <c r="AQ35" i="10"/>
  <c r="AO35" i="10"/>
  <c r="AN35" i="10"/>
  <c r="AM35" i="10"/>
  <c r="AL35" i="10"/>
  <c r="AK35" i="10"/>
  <c r="AJ35" i="10"/>
  <c r="AI35" i="10"/>
  <c r="AG35" i="10"/>
  <c r="AF35" i="10"/>
  <c r="AE35" i="10"/>
  <c r="AC35" i="10"/>
  <c r="AB35" i="10"/>
  <c r="Z35" i="10"/>
  <c r="X35" i="10"/>
  <c r="V35" i="10"/>
  <c r="U35" i="10"/>
  <c r="T35" i="10"/>
  <c r="R35" i="10"/>
  <c r="P35" i="10"/>
  <c r="K35" i="10"/>
  <c r="J35" i="10"/>
  <c r="I35" i="10"/>
  <c r="F35" i="10"/>
  <c r="E35" i="10"/>
  <c r="C35" i="10"/>
  <c r="DB34" i="10"/>
  <c r="DA34" i="10"/>
  <c r="CX34" i="10"/>
  <c r="CE34" i="10"/>
  <c r="CD34" i="10"/>
  <c r="CC34" i="10"/>
  <c r="CB34" i="10"/>
  <c r="CA34" i="10"/>
  <c r="BZ34" i="10"/>
  <c r="BW34" i="10"/>
  <c r="BV34" i="10"/>
  <c r="BU34" i="10"/>
  <c r="BT34" i="10"/>
  <c r="BS34" i="10"/>
  <c r="BR34" i="10"/>
  <c r="BQ34" i="10"/>
  <c r="BP34" i="10"/>
  <c r="BO34" i="10"/>
  <c r="BN34" i="10"/>
  <c r="BM34" i="10"/>
  <c r="BL34" i="10"/>
  <c r="BK34" i="10"/>
  <c r="BJ34" i="10"/>
  <c r="BI34" i="10"/>
  <c r="BH34" i="10"/>
  <c r="BG34" i="10"/>
  <c r="BF34" i="10"/>
  <c r="BE34" i="10"/>
  <c r="BD34" i="10"/>
  <c r="BC34" i="10"/>
  <c r="BA34" i="10"/>
  <c r="AZ34" i="10"/>
  <c r="AY34" i="10"/>
  <c r="AX34" i="10"/>
  <c r="AW34" i="10"/>
  <c r="AV34" i="10"/>
  <c r="AU34" i="10"/>
  <c r="AT34" i="10"/>
  <c r="AS34" i="10"/>
  <c r="AR34" i="10"/>
  <c r="AQ34" i="10"/>
  <c r="AO34" i="10"/>
  <c r="AN34" i="10"/>
  <c r="AM34" i="10"/>
  <c r="AL34" i="10"/>
  <c r="AK34" i="10"/>
  <c r="AJ34" i="10"/>
  <c r="AI34" i="10"/>
  <c r="AG34" i="10"/>
  <c r="AE34" i="10"/>
  <c r="AD34" i="10"/>
  <c r="AC34" i="10"/>
  <c r="AB34" i="10"/>
  <c r="AA34" i="10"/>
  <c r="Z34" i="10"/>
  <c r="Y34" i="10"/>
  <c r="X34" i="10"/>
  <c r="W34" i="10"/>
  <c r="V34" i="10"/>
  <c r="T34" i="10"/>
  <c r="R34" i="10"/>
  <c r="P34" i="10"/>
  <c r="O34" i="10"/>
  <c r="K34" i="10"/>
  <c r="J34" i="10"/>
  <c r="I34" i="10"/>
  <c r="F34" i="10"/>
  <c r="E34" i="10"/>
  <c r="C34" i="10"/>
  <c r="DB33" i="10"/>
  <c r="DA33" i="10"/>
  <c r="CX33" i="10"/>
  <c r="CE33" i="10"/>
  <c r="CD33" i="10"/>
  <c r="CC33" i="10"/>
  <c r="CB33" i="10"/>
  <c r="CA33" i="10"/>
  <c r="BZ33" i="10"/>
  <c r="BX33" i="10"/>
  <c r="BW33" i="10"/>
  <c r="BV33" i="10"/>
  <c r="BU33" i="10"/>
  <c r="BT33" i="10"/>
  <c r="BS33" i="10"/>
  <c r="BR33" i="10"/>
  <c r="BQ33" i="10"/>
  <c r="BP33" i="10"/>
  <c r="BO33" i="10"/>
  <c r="BN33" i="10"/>
  <c r="BM33" i="10"/>
  <c r="BL33" i="10"/>
  <c r="BK33" i="10"/>
  <c r="BJ33" i="10"/>
  <c r="BI33" i="10"/>
  <c r="BH33" i="10"/>
  <c r="BG33" i="10"/>
  <c r="BF33" i="10"/>
  <c r="BD33" i="10"/>
  <c r="BC33" i="10"/>
  <c r="BA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J33" i="10"/>
  <c r="AI33" i="10"/>
  <c r="AG33" i="10"/>
  <c r="AE33" i="10"/>
  <c r="AD33" i="10"/>
  <c r="AC33" i="10"/>
  <c r="AB33" i="10"/>
  <c r="AA33" i="10"/>
  <c r="Z33" i="10"/>
  <c r="Y33" i="10"/>
  <c r="X33" i="10"/>
  <c r="W33" i="10"/>
  <c r="V33" i="10"/>
  <c r="T33" i="10"/>
  <c r="R33" i="10"/>
  <c r="P33" i="10"/>
  <c r="N33" i="10"/>
  <c r="K33" i="10"/>
  <c r="J33" i="10"/>
  <c r="I33" i="10"/>
  <c r="G33" i="10"/>
  <c r="F33" i="10"/>
  <c r="I56" i="10" s="1"/>
  <c r="E33" i="10"/>
  <c r="C33" i="10"/>
  <c r="DB32" i="10"/>
  <c r="DA32" i="10"/>
  <c r="CX32" i="10"/>
  <c r="CE32" i="10"/>
  <c r="CD32" i="10"/>
  <c r="CC32" i="10"/>
  <c r="CB32" i="10"/>
  <c r="CA32" i="10"/>
  <c r="BZ32" i="10"/>
  <c r="BY32" i="10"/>
  <c r="BX32" i="10"/>
  <c r="BW32" i="10"/>
  <c r="BV32" i="10"/>
  <c r="BU32" i="10"/>
  <c r="BT32" i="10"/>
  <c r="BS32" i="10"/>
  <c r="BR32" i="10"/>
  <c r="BQ32" i="10"/>
  <c r="BP32" i="10"/>
  <c r="BO32" i="10"/>
  <c r="BN32" i="10"/>
  <c r="BM32" i="10"/>
  <c r="BL32" i="10"/>
  <c r="BK32" i="10"/>
  <c r="BJ32" i="10"/>
  <c r="BI32" i="10"/>
  <c r="BH32" i="10"/>
  <c r="BG32" i="10"/>
  <c r="BF32" i="10"/>
  <c r="BE32" i="10"/>
  <c r="BD32" i="10"/>
  <c r="BC32" i="10"/>
  <c r="BB32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R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DB31" i="10"/>
  <c r="DA31" i="10"/>
  <c r="CX31" i="10"/>
  <c r="CE31" i="10"/>
  <c r="CD31" i="10"/>
  <c r="CC31" i="10"/>
  <c r="CB31" i="10"/>
  <c r="CA31" i="10"/>
  <c r="BZ31" i="10"/>
  <c r="BY31" i="10"/>
  <c r="BX31" i="10"/>
  <c r="BW31" i="10"/>
  <c r="BV31" i="10"/>
  <c r="BU31" i="10"/>
  <c r="BT31" i="10"/>
  <c r="BS31" i="10"/>
  <c r="BR31" i="10"/>
  <c r="BQ31" i="10"/>
  <c r="BP31" i="10"/>
  <c r="BO31" i="10"/>
  <c r="BN31" i="10"/>
  <c r="BM31" i="10"/>
  <c r="BL31" i="10"/>
  <c r="BK31" i="10"/>
  <c r="BJ31" i="10"/>
  <c r="BI31" i="10"/>
  <c r="BH31" i="10"/>
  <c r="BG31" i="10"/>
  <c r="BF31" i="10"/>
  <c r="BE31" i="10"/>
  <c r="BD31" i="10"/>
  <c r="BC31" i="10"/>
  <c r="BB31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P31" i="10"/>
  <c r="O31" i="10"/>
  <c r="N31" i="10"/>
  <c r="M31" i="10"/>
  <c r="L31" i="10"/>
  <c r="K31" i="10"/>
  <c r="J31" i="10"/>
  <c r="I31" i="10"/>
  <c r="H31" i="10"/>
  <c r="F31" i="10"/>
  <c r="E31" i="10"/>
  <c r="C31" i="10"/>
  <c r="DB30" i="10"/>
  <c r="DA30" i="10"/>
  <c r="CX30" i="10"/>
  <c r="CE30" i="10"/>
  <c r="CD30" i="10"/>
  <c r="CC30" i="10"/>
  <c r="CB30" i="10"/>
  <c r="CA30" i="10"/>
  <c r="BZ30" i="10"/>
  <c r="BY30" i="10"/>
  <c r="BX30" i="10"/>
  <c r="BW30" i="10"/>
  <c r="BV30" i="10"/>
  <c r="BU30" i="10"/>
  <c r="BT30" i="10"/>
  <c r="BS30" i="10"/>
  <c r="BR30" i="10"/>
  <c r="BQ30" i="10"/>
  <c r="BP30" i="10"/>
  <c r="BO30" i="10"/>
  <c r="BN30" i="10"/>
  <c r="BM30" i="10"/>
  <c r="BL30" i="10"/>
  <c r="BK30" i="10"/>
  <c r="BJ30" i="10"/>
  <c r="BI30" i="10"/>
  <c r="BH30" i="10"/>
  <c r="BG30" i="10"/>
  <c r="BF30" i="10"/>
  <c r="BE30" i="10"/>
  <c r="BD30" i="10"/>
  <c r="BC30" i="10"/>
  <c r="BB30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DB29" i="10"/>
  <c r="DA29" i="10"/>
  <c r="CX29" i="10"/>
  <c r="CE29" i="10"/>
  <c r="CD29" i="10"/>
  <c r="CC29" i="10"/>
  <c r="CB29" i="10"/>
  <c r="CA29" i="10"/>
  <c r="BZ29" i="10"/>
  <c r="BY29" i="10"/>
  <c r="BX29" i="10"/>
  <c r="BW29" i="10"/>
  <c r="BV29" i="10"/>
  <c r="BU29" i="10"/>
  <c r="BT29" i="10"/>
  <c r="BS29" i="10"/>
  <c r="BR29" i="10"/>
  <c r="BQ29" i="10"/>
  <c r="BP29" i="10"/>
  <c r="BO29" i="10"/>
  <c r="BN29" i="10"/>
  <c r="BM29" i="10"/>
  <c r="BL29" i="10"/>
  <c r="BK29" i="10"/>
  <c r="BJ29" i="10"/>
  <c r="BI29" i="10"/>
  <c r="BH29" i="10"/>
  <c r="BG29" i="10"/>
  <c r="BF29" i="10"/>
  <c r="BE29" i="10"/>
  <c r="BD29" i="10"/>
  <c r="BC29" i="10"/>
  <c r="BB29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DB28" i="10"/>
  <c r="DA28" i="10"/>
  <c r="CX28" i="10"/>
  <c r="DB27" i="10"/>
  <c r="DA27" i="10"/>
  <c r="CX27" i="10"/>
  <c r="DB26" i="10"/>
  <c r="DA26" i="10"/>
  <c r="CX26" i="10"/>
  <c r="DB25" i="10"/>
  <c r="DA25" i="10"/>
  <c r="CX25" i="10"/>
  <c r="Q25" i="10"/>
  <c r="DB24" i="10"/>
  <c r="DA24" i="10"/>
  <c r="CX24" i="10"/>
  <c r="DB23" i="10"/>
  <c r="DA23" i="10"/>
  <c r="CX23" i="10"/>
  <c r="DB22" i="10"/>
  <c r="DA22" i="10"/>
  <c r="CX22" i="10"/>
  <c r="DB21" i="10"/>
  <c r="DA21" i="10"/>
  <c r="CX21" i="10"/>
  <c r="AD21" i="10"/>
  <c r="AA21" i="10"/>
  <c r="Y21" i="10"/>
  <c r="DB20" i="10"/>
  <c r="DA20" i="10"/>
  <c r="CX20" i="10"/>
  <c r="BY20" i="10"/>
  <c r="BX20" i="10"/>
  <c r="BF20" i="10"/>
  <c r="BE20" i="10"/>
  <c r="BE51" i="10" s="1"/>
  <c r="BD20" i="10"/>
  <c r="AS20" i="10"/>
  <c r="AH20" i="10"/>
  <c r="U20" i="10"/>
  <c r="Q20" i="10"/>
  <c r="N20" i="10"/>
  <c r="M20" i="10"/>
  <c r="H20" i="10"/>
  <c r="G20" i="10"/>
  <c r="E20" i="10"/>
  <c r="E47" i="10" s="1"/>
  <c r="D20" i="10"/>
  <c r="DB19" i="10"/>
  <c r="DA19" i="10"/>
  <c r="CX19" i="10"/>
  <c r="DB18" i="10"/>
  <c r="DA18" i="10"/>
  <c r="CX18" i="10"/>
  <c r="DB17" i="10"/>
  <c r="DA17" i="10"/>
  <c r="CX17" i="10"/>
  <c r="AK17" i="10"/>
  <c r="DB16" i="10"/>
  <c r="DA16" i="10"/>
  <c r="CX16" i="10"/>
  <c r="AM16" i="10"/>
  <c r="H16" i="10"/>
  <c r="DB15" i="10"/>
  <c r="DA15" i="10"/>
  <c r="CX15" i="10"/>
  <c r="DB14" i="10"/>
  <c r="DA14" i="10"/>
  <c r="CX14" i="10"/>
  <c r="DB13" i="10"/>
  <c r="DA13" i="10"/>
  <c r="CX13" i="10"/>
  <c r="BY13" i="10"/>
  <c r="BX13" i="10"/>
  <c r="BF13" i="10"/>
  <c r="BE13" i="10"/>
  <c r="BD13" i="10"/>
  <c r="AY13" i="10"/>
  <c r="AH13" i="10"/>
  <c r="AE13" i="10"/>
  <c r="AE46" i="10" s="1"/>
  <c r="AD13" i="10"/>
  <c r="AB13" i="10"/>
  <c r="Z13" i="10"/>
  <c r="Z51" i="10" s="1"/>
  <c r="Y13" i="10"/>
  <c r="Q13" i="10"/>
  <c r="N13" i="10"/>
  <c r="M13" i="10"/>
  <c r="K13" i="10"/>
  <c r="K48" i="10" s="1"/>
  <c r="B13" i="10"/>
  <c r="DB12" i="10"/>
  <c r="DA12" i="10"/>
  <c r="CX12" i="10"/>
  <c r="DB11" i="10"/>
  <c r="DA11" i="10"/>
  <c r="CX11" i="10"/>
  <c r="DB10" i="10"/>
  <c r="DA10" i="10"/>
  <c r="CX10" i="10"/>
  <c r="BY10" i="10"/>
  <c r="BX10" i="10"/>
  <c r="BI10" i="10"/>
  <c r="BF10" i="10"/>
  <c r="BE10" i="10"/>
  <c r="BD10" i="10"/>
  <c r="AK10" i="10"/>
  <c r="AH10" i="10"/>
  <c r="AF10" i="10"/>
  <c r="AD10" i="10"/>
  <c r="AA10" i="10"/>
  <c r="Y10" i="10"/>
  <c r="Q10" i="10"/>
  <c r="N10" i="10"/>
  <c r="M10" i="10"/>
  <c r="L10" i="10"/>
  <c r="H10" i="10"/>
  <c r="G10" i="10"/>
  <c r="B10" i="10"/>
  <c r="DB9" i="10"/>
  <c r="DA9" i="10"/>
  <c r="CX9" i="10"/>
  <c r="DB8" i="10"/>
  <c r="DA8" i="10"/>
  <c r="CX8" i="10"/>
  <c r="AD8" i="10"/>
  <c r="AA8" i="10"/>
  <c r="Y8" i="10"/>
  <c r="S8" i="10"/>
  <c r="DB7" i="10"/>
  <c r="DA7" i="10"/>
  <c r="CX7" i="10"/>
  <c r="BY7" i="10"/>
  <c r="BX7" i="10"/>
  <c r="AS7" i="10"/>
  <c r="AS49" i="10" s="1"/>
  <c r="AP7" i="10"/>
  <c r="AH7" i="10"/>
  <c r="S7" i="10"/>
  <c r="N7" i="10"/>
  <c r="M7" i="10"/>
  <c r="M43" i="10" s="1"/>
  <c r="L7" i="10"/>
  <c r="H7" i="10"/>
  <c r="H39" i="10" s="1"/>
  <c r="G7" i="10"/>
  <c r="B7" i="10"/>
  <c r="DB6" i="10"/>
  <c r="DA6" i="10"/>
  <c r="CX6" i="10"/>
  <c r="BY6" i="10"/>
  <c r="BX6" i="10"/>
  <c r="BE6" i="10"/>
  <c r="BE41" i="10" s="1"/>
  <c r="BB6" i="10"/>
  <c r="AH6" i="10"/>
  <c r="AH37" i="10" s="1"/>
  <c r="AF6" i="10"/>
  <c r="AF50" i="10" s="1"/>
  <c r="W6" i="10"/>
  <c r="W46" i="10" s="1"/>
  <c r="U6" i="10"/>
  <c r="S6" i="10"/>
  <c r="S36" i="10" s="1"/>
  <c r="Q6" i="10"/>
  <c r="O6" i="10"/>
  <c r="O51" i="10" s="1"/>
  <c r="M6" i="10"/>
  <c r="L6" i="10"/>
  <c r="H6" i="10"/>
  <c r="G6" i="10"/>
  <c r="B6" i="10"/>
  <c r="DB5" i="10"/>
  <c r="DA5" i="10"/>
  <c r="CX5" i="10"/>
  <c r="S5" i="10"/>
  <c r="S32" i="10" s="1"/>
  <c r="Q5" i="10"/>
  <c r="H5" i="10"/>
  <c r="G5" i="10"/>
  <c r="D5" i="10"/>
  <c r="B5" i="10"/>
  <c r="DB4" i="10"/>
  <c r="DA4" i="10"/>
  <c r="CX4" i="10"/>
  <c r="Q4" i="10"/>
  <c r="H4" i="10"/>
  <c r="G4" i="10"/>
  <c r="D4" i="10"/>
  <c r="B4" i="10"/>
  <c r="DB3" i="10"/>
  <c r="DA3" i="10"/>
  <c r="CX3" i="10"/>
  <c r="Q3" i="10"/>
  <c r="DB2" i="10"/>
  <c r="DA2" i="10"/>
  <c r="CX2" i="10"/>
  <c r="N14" i="8"/>
  <c r="N11" i="8"/>
  <c r="K11" i="8" s="1"/>
  <c r="K12" i="8" s="1"/>
  <c r="L11" i="8"/>
  <c r="P10" i="8"/>
  <c r="O10" i="8"/>
  <c r="N6" i="8"/>
  <c r="N3" i="8"/>
  <c r="L3" i="8"/>
  <c r="P2" i="8"/>
  <c r="O2" i="8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2" i="7"/>
  <c r="B3" i="7" s="1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G2" i="6" s="1"/>
  <c r="D2" i="6"/>
  <c r="E34" i="5"/>
  <c r="H34" i="5" s="1"/>
  <c r="I34" i="5" s="1"/>
  <c r="B34" i="5"/>
  <c r="H33" i="5"/>
  <c r="I33" i="5" s="1"/>
  <c r="H32" i="5"/>
  <c r="I32" i="5" s="1"/>
  <c r="H31" i="5"/>
  <c r="I31" i="5" s="1"/>
  <c r="I30" i="5"/>
  <c r="H30" i="5"/>
  <c r="H29" i="5"/>
  <c r="I29" i="5" s="1"/>
  <c r="B29" i="5"/>
  <c r="I27" i="5"/>
  <c r="H27" i="5"/>
  <c r="H26" i="5"/>
  <c r="I26" i="5" s="1"/>
  <c r="I25" i="5"/>
  <c r="H25" i="5"/>
  <c r="B24" i="5"/>
  <c r="H24" i="5" s="1"/>
  <c r="I24" i="5" s="1"/>
  <c r="H23" i="5"/>
  <c r="I23" i="5" s="1"/>
  <c r="H22" i="5"/>
  <c r="I22" i="5" s="1"/>
  <c r="H21" i="5"/>
  <c r="I21" i="5" s="1"/>
  <c r="H20" i="5"/>
  <c r="I20" i="5" s="1"/>
  <c r="H19" i="5"/>
  <c r="I19" i="5" s="1"/>
  <c r="H18" i="5"/>
  <c r="I18" i="5" s="1"/>
  <c r="B18" i="5"/>
  <c r="I17" i="5"/>
  <c r="H17" i="5"/>
  <c r="I16" i="5"/>
  <c r="H16" i="5"/>
  <c r="H15" i="5"/>
  <c r="I15" i="5" s="1"/>
  <c r="B14" i="5"/>
  <c r="H14" i="5" s="1"/>
  <c r="I14" i="5" s="1"/>
  <c r="H13" i="5"/>
  <c r="I13" i="5" s="1"/>
  <c r="B12" i="5"/>
  <c r="H12" i="5" s="1"/>
  <c r="I12" i="5" s="1"/>
  <c r="B11" i="5"/>
  <c r="H11" i="5" s="1"/>
  <c r="I11" i="5" s="1"/>
  <c r="H10" i="5"/>
  <c r="I10" i="5" s="1"/>
  <c r="H9" i="5"/>
  <c r="I9" i="5" s="1"/>
  <c r="I8" i="5"/>
  <c r="H8" i="5"/>
  <c r="H7" i="5"/>
  <c r="I7" i="5" s="1"/>
  <c r="B7" i="5"/>
  <c r="B6" i="5"/>
  <c r="H6" i="5" s="1"/>
  <c r="I6" i="5" s="1"/>
  <c r="H5" i="5"/>
  <c r="I5" i="5" s="1"/>
  <c r="H4" i="5"/>
  <c r="I4" i="5" s="1"/>
  <c r="H3" i="5"/>
  <c r="I3" i="5" s="1"/>
  <c r="B2" i="5"/>
  <c r="H2" i="5" s="1"/>
  <c r="I2" i="5" s="1"/>
  <c r="Y37" i="4"/>
  <c r="Y36" i="4"/>
  <c r="U36" i="4"/>
  <c r="Y35" i="4"/>
  <c r="U35" i="4"/>
  <c r="Y34" i="4"/>
  <c r="U34" i="4"/>
  <c r="Y33" i="4"/>
  <c r="U33" i="4"/>
  <c r="Y32" i="4"/>
  <c r="U32" i="4"/>
  <c r="Y31" i="4"/>
  <c r="U31" i="4"/>
  <c r="Y30" i="4"/>
  <c r="U30" i="4"/>
  <c r="Y29" i="4"/>
  <c r="U29" i="4"/>
  <c r="Y28" i="4"/>
  <c r="U28" i="4"/>
  <c r="Y27" i="4"/>
  <c r="U27" i="4"/>
  <c r="Y26" i="4"/>
  <c r="U26" i="4"/>
  <c r="Y22" i="4"/>
  <c r="Y21" i="4"/>
  <c r="U21" i="4"/>
  <c r="Y20" i="4"/>
  <c r="U20" i="4"/>
  <c r="Y19" i="4"/>
  <c r="U19" i="4"/>
  <c r="Y18" i="4"/>
  <c r="U18" i="4"/>
  <c r="Y17" i="4"/>
  <c r="U17" i="4"/>
  <c r="Y16" i="4"/>
  <c r="U16" i="4"/>
  <c r="Y15" i="4"/>
  <c r="U15" i="4"/>
  <c r="L2" i="4" s="1"/>
  <c r="W11" i="4"/>
  <c r="W10" i="4"/>
  <c r="W9" i="4"/>
  <c r="W8" i="4"/>
  <c r="W7" i="4"/>
  <c r="W6" i="4"/>
  <c r="W5" i="4"/>
  <c r="W4" i="4"/>
  <c r="W3" i="4"/>
  <c r="H2" i="4"/>
  <c r="K2" i="4" s="1"/>
  <c r="F2" i="4"/>
  <c r="M2" i="4" s="1"/>
  <c r="E2" i="4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E24" i="3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F23" i="3"/>
  <c r="F22" i="3"/>
  <c r="E22" i="3"/>
  <c r="E23" i="3" s="1"/>
  <c r="F21" i="3"/>
  <c r="F18" i="3"/>
  <c r="F17" i="3"/>
  <c r="E18" i="3" s="1"/>
  <c r="F15" i="3"/>
  <c r="F14" i="3"/>
  <c r="E15" i="3" s="1"/>
  <c r="F12" i="3"/>
  <c r="F11" i="3"/>
  <c r="F10" i="3"/>
  <c r="F9" i="3"/>
  <c r="F8" i="3"/>
  <c r="F7" i="3"/>
  <c r="F6" i="3"/>
  <c r="F5" i="3"/>
  <c r="E5" i="3"/>
  <c r="E6" i="3" s="1"/>
  <c r="E7" i="3" s="1"/>
  <c r="E8" i="3" s="1"/>
  <c r="E9" i="3" s="1"/>
  <c r="E10" i="3" s="1"/>
  <c r="E11" i="3" s="1"/>
  <c r="E12" i="3" s="1"/>
  <c r="F4" i="3"/>
  <c r="F3" i="3"/>
  <c r="F2" i="3"/>
  <c r="E3" i="3" s="1"/>
  <c r="E4" i="3" s="1"/>
  <c r="I20" i="2"/>
  <c r="I19" i="2"/>
  <c r="I18" i="2"/>
  <c r="B18" i="2"/>
  <c r="I17" i="2"/>
  <c r="B17" i="2"/>
  <c r="I16" i="2"/>
  <c r="B16" i="2"/>
  <c r="I15" i="2"/>
  <c r="I14" i="2"/>
  <c r="B14" i="2"/>
  <c r="I13" i="2"/>
  <c r="B13" i="2"/>
  <c r="I12" i="2"/>
  <c r="B12" i="2"/>
  <c r="I11" i="2"/>
  <c r="I10" i="2"/>
  <c r="B10" i="2"/>
  <c r="I9" i="2"/>
  <c r="B9" i="2"/>
  <c r="I8" i="2"/>
  <c r="B8" i="2"/>
  <c r="I7" i="2"/>
  <c r="I6" i="2"/>
  <c r="B6" i="2"/>
  <c r="I5" i="2"/>
  <c r="B5" i="2"/>
  <c r="I4" i="2"/>
  <c r="B97" i="2" s="1"/>
  <c r="B4" i="2"/>
  <c r="I3" i="2"/>
  <c r="I2" i="2"/>
  <c r="B2" i="2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I6" i="1" s="1"/>
  <c r="J6" i="1" s="1"/>
  <c r="F5" i="1"/>
  <c r="G4" i="1"/>
  <c r="G5" i="1" s="1"/>
  <c r="G6" i="1" s="1"/>
  <c r="G7" i="1" s="1"/>
  <c r="F4" i="1"/>
  <c r="G3" i="1"/>
  <c r="F3" i="1"/>
  <c r="I3" i="1" s="1"/>
  <c r="J3" i="1" s="1"/>
  <c r="F2" i="1"/>
  <c r="I2" i="1" s="1"/>
  <c r="J2" i="1" s="1"/>
  <c r="M2" i="1" s="1"/>
  <c r="H6" i="9"/>
  <c r="I6" i="9" s="1"/>
  <c r="H3" i="9"/>
  <c r="J3" i="9" s="1"/>
  <c r="Q4" i="9" l="1"/>
  <c r="N4" i="9"/>
  <c r="BN50" i="9"/>
  <c r="AX49" i="9"/>
  <c r="BA46" i="9"/>
  <c r="AX41" i="9"/>
  <c r="BA38" i="9"/>
  <c r="AT37" i="9"/>
  <c r="BE41" i="9"/>
  <c r="BL49" i="9"/>
  <c r="BU48" i="9"/>
  <c r="BO46" i="9"/>
  <c r="AQ46" i="9"/>
  <c r="BL41" i="9"/>
  <c r="BU40" i="9"/>
  <c r="BO38" i="9"/>
  <c r="BH37" i="9"/>
  <c r="BV38" i="9"/>
  <c r="CM42" i="9"/>
  <c r="BR50" i="9"/>
  <c r="BL38" i="9"/>
  <c r="BA48" i="9"/>
  <c r="AS48" i="9"/>
  <c r="BS46" i="9"/>
  <c r="BK46" i="9"/>
  <c r="AM46" i="9"/>
  <c r="AW44" i="9"/>
  <c r="AX43" i="9"/>
  <c r="BG42" i="9"/>
  <c r="AJ41" i="9"/>
  <c r="BA40" i="9"/>
  <c r="BK38" i="9"/>
  <c r="BD37" i="9"/>
  <c r="CF37" i="9"/>
  <c r="BE50" i="9"/>
  <c r="DA42" i="9"/>
  <c r="BE48" i="9"/>
  <c r="BN47" i="9"/>
  <c r="BS49" i="9"/>
  <c r="BS41" i="9"/>
  <c r="BO37" i="9"/>
  <c r="AL48" i="9"/>
  <c r="AP44" i="9"/>
  <c r="AL40" i="9"/>
  <c r="BE37" i="9"/>
  <c r="BH50" i="9"/>
  <c r="AZ49" i="9"/>
  <c r="AT47" i="9"/>
  <c r="BN43" i="9"/>
  <c r="AP43" i="9"/>
  <c r="AQ42" i="9"/>
  <c r="AZ41" i="9"/>
  <c r="AS40" i="9"/>
  <c r="AT39" i="9"/>
  <c r="AL39" i="9"/>
  <c r="AM38" i="9"/>
  <c r="BZ50" i="9"/>
  <c r="BV48" i="9"/>
  <c r="CF45" i="9"/>
  <c r="BZ42" i="9"/>
  <c r="CF41" i="9"/>
  <c r="BV40" i="9"/>
  <c r="CJ44" i="9"/>
  <c r="CP41" i="9"/>
  <c r="BR45" i="9"/>
  <c r="AL47" i="9"/>
  <c r="BD45" i="9"/>
  <c r="AQ50" i="9"/>
  <c r="AQ49" i="9"/>
  <c r="AS47" i="9"/>
  <c r="AT46" i="9"/>
  <c r="BD44" i="9"/>
  <c r="AW43" i="9"/>
  <c r="BG41" i="9"/>
  <c r="AQ41" i="9"/>
  <c r="AZ40" i="9"/>
  <c r="BA39" i="9"/>
  <c r="AS39" i="9"/>
  <c r="AT38" i="9"/>
  <c r="AM37" i="9"/>
  <c r="BU50" i="9"/>
  <c r="BO48" i="9"/>
  <c r="AJ47" i="9"/>
  <c r="AS46" i="9"/>
  <c r="AT45" i="9"/>
  <c r="AM44" i="9"/>
  <c r="BL43" i="9"/>
  <c r="BU42" i="9"/>
  <c r="AW42" i="9"/>
  <c r="BO40" i="9"/>
  <c r="AQ40" i="9"/>
  <c r="AZ39" i="9"/>
  <c r="AJ39" i="9"/>
  <c r="AS38" i="9"/>
  <c r="BR37" i="9"/>
  <c r="AL37" i="9"/>
  <c r="BV45" i="9"/>
  <c r="AM45" i="9"/>
  <c r="AL50" i="9"/>
  <c r="AP46" i="9"/>
  <c r="AL46" i="9"/>
  <c r="AL42" i="9"/>
  <c r="AP38" i="9"/>
  <c r="AL38" i="9"/>
  <c r="BH49" i="9"/>
  <c r="BR39" i="9"/>
  <c r="AS42" i="9"/>
  <c r="AT41" i="9"/>
  <c r="BS40" i="9"/>
  <c r="AM40" i="9"/>
  <c r="AW38" i="9"/>
  <c r="AP37" i="9"/>
  <c r="BD38" i="9"/>
  <c r="AW37" i="9"/>
  <c r="AE37" i="9"/>
  <c r="AD37" i="9"/>
  <c r="AX50" i="9"/>
  <c r="AP50" i="9"/>
  <c r="BG49" i="9"/>
  <c r="AJ48" i="9"/>
  <c r="BA47" i="9"/>
  <c r="BK45" i="9"/>
  <c r="AX42" i="9"/>
  <c r="AP42" i="9"/>
  <c r="AJ40" i="9"/>
  <c r="DD41" i="9"/>
  <c r="BL50" i="9"/>
  <c r="BU49" i="9"/>
  <c r="BO47" i="9"/>
  <c r="AQ47" i="9"/>
  <c r="AZ46" i="9"/>
  <c r="AT44" i="9"/>
  <c r="BS43" i="9"/>
  <c r="BK43" i="9"/>
  <c r="BL42" i="9"/>
  <c r="BD42" i="9"/>
  <c r="BU41" i="9"/>
  <c r="BO39" i="9"/>
  <c r="BG39" i="9"/>
  <c r="AQ39" i="9"/>
  <c r="AZ38" i="9"/>
  <c r="AS37" i="9"/>
  <c r="CI48" i="9"/>
  <c r="BY47" i="9"/>
  <c r="CG43" i="9"/>
  <c r="BS50" i="9"/>
  <c r="BK50" i="9"/>
  <c r="AX47" i="9"/>
  <c r="AP47" i="9"/>
  <c r="BG46" i="9"/>
  <c r="BA44" i="9"/>
  <c r="AL43" i="9"/>
  <c r="BS42" i="9"/>
  <c r="BK42" i="9"/>
  <c r="AX39" i="9"/>
  <c r="AP39" i="9"/>
  <c r="BG38" i="9"/>
  <c r="AZ37" i="9"/>
  <c r="CB49" i="9"/>
  <c r="CB41" i="9"/>
  <c r="BZ40" i="9"/>
  <c r="AS43" i="9"/>
  <c r="AW39" i="9"/>
  <c r="CI41" i="9"/>
  <c r="CU44" i="9"/>
  <c r="AS50" i="9"/>
  <c r="AL49" i="9"/>
  <c r="BS48" i="9"/>
  <c r="AM48" i="9"/>
  <c r="BL47" i="9"/>
  <c r="BD47" i="9"/>
  <c r="BU46" i="9"/>
  <c r="AW46" i="9"/>
  <c r="AP45" i="9"/>
  <c r="AL45" i="9"/>
  <c r="BO44" i="9"/>
  <c r="AQ44" i="9"/>
  <c r="AZ43" i="9"/>
  <c r="AJ43" i="9"/>
  <c r="AL41" i="9"/>
  <c r="BL39" i="9"/>
  <c r="BD39" i="9"/>
  <c r="BU38" i="9"/>
  <c r="AQ38" i="9"/>
  <c r="BN37" i="9"/>
  <c r="CB50" i="9"/>
  <c r="BZ49" i="9"/>
  <c r="BV47" i="9"/>
  <c r="CB46" i="9"/>
  <c r="CF44" i="9"/>
  <c r="CB42" i="9"/>
  <c r="BZ41" i="9"/>
  <c r="BV39" i="9"/>
  <c r="CB38" i="9"/>
  <c r="CP50" i="9"/>
  <c r="CX46" i="9"/>
  <c r="CP46" i="9"/>
  <c r="CT44" i="9"/>
  <c r="CN43" i="9"/>
  <c r="CP42" i="9"/>
  <c r="CJ41" i="9"/>
  <c r="CN39" i="9"/>
  <c r="CX38" i="9"/>
  <c r="CP38" i="9"/>
  <c r="CJ37" i="9"/>
  <c r="DB43" i="9"/>
  <c r="DE38" i="9"/>
  <c r="DD37" i="9"/>
  <c r="AW47" i="9"/>
  <c r="AJ44" i="9"/>
  <c r="AM41" i="9"/>
  <c r="AZ50" i="9"/>
  <c r="BA49" i="9"/>
  <c r="AS49" i="9"/>
  <c r="AT48" i="9"/>
  <c r="BS47" i="9"/>
  <c r="BK47" i="9"/>
  <c r="AM47" i="9"/>
  <c r="BL46" i="9"/>
  <c r="BD46" i="9"/>
  <c r="BU45" i="9"/>
  <c r="AW45" i="9"/>
  <c r="AX44" i="9"/>
  <c r="BO43" i="9"/>
  <c r="BG43" i="9"/>
  <c r="AQ43" i="9"/>
  <c r="AZ42" i="9"/>
  <c r="AJ42" i="9"/>
  <c r="BA41" i="9"/>
  <c r="AS41" i="9"/>
  <c r="AT40" i="9"/>
  <c r="BS39" i="9"/>
  <c r="BK39" i="9"/>
  <c r="AM39" i="9"/>
  <c r="BU37" i="9"/>
  <c r="CI50" i="9"/>
  <c r="CG49" i="9"/>
  <c r="CC47" i="9"/>
  <c r="CI46" i="9"/>
  <c r="BY45" i="9"/>
  <c r="CC43" i="9"/>
  <c r="CI42" i="9"/>
  <c r="CG41" i="9"/>
  <c r="BY41" i="9"/>
  <c r="CC39" i="9"/>
  <c r="CI38" i="9"/>
  <c r="CG37" i="9"/>
  <c r="BY37" i="9"/>
  <c r="CW50" i="9"/>
  <c r="CU47" i="9"/>
  <c r="CM47" i="9"/>
  <c r="CW46" i="9"/>
  <c r="CQ45" i="9"/>
  <c r="DA44" i="9"/>
  <c r="CU43" i="9"/>
  <c r="CM43" i="9"/>
  <c r="CW42" i="9"/>
  <c r="CQ41" i="9"/>
  <c r="CU39" i="9"/>
  <c r="CM39" i="9"/>
  <c r="CW38" i="9"/>
  <c r="CQ37" i="9"/>
  <c r="DE47" i="9"/>
  <c r="DD46" i="9"/>
  <c r="DB44" i="9"/>
  <c r="DH42" i="9"/>
  <c r="DE39" i="9"/>
  <c r="DD38" i="9"/>
  <c r="BO50" i="9"/>
  <c r="BL45" i="9"/>
  <c r="AW50" i="9"/>
  <c r="AP49" i="9"/>
  <c r="AQ48" i="9"/>
  <c r="AP41" i="9"/>
  <c r="CN37" i="9"/>
  <c r="BD50" i="9"/>
  <c r="AW49" i="9"/>
  <c r="AX48" i="9"/>
  <c r="AP48" i="9"/>
  <c r="AJ46" i="9"/>
  <c r="AS45" i="9"/>
  <c r="AL44" i="9"/>
  <c r="AM43" i="9"/>
  <c r="AW41" i="9"/>
  <c r="AP40" i="9"/>
  <c r="AJ38" i="9"/>
  <c r="CM49" i="9"/>
  <c r="CU45" i="9"/>
  <c r="AM50" i="9"/>
  <c r="BD49" i="9"/>
  <c r="AW48" i="9"/>
  <c r="AZ45" i="9"/>
  <c r="AJ45" i="9"/>
  <c r="AS44" i="9"/>
  <c r="AT43" i="9"/>
  <c r="AM42" i="9"/>
  <c r="BD41" i="9"/>
  <c r="AW40" i="9"/>
  <c r="CX43" i="9"/>
  <c r="AT50" i="9"/>
  <c r="BK49" i="9"/>
  <c r="AM49" i="9"/>
  <c r="BD48" i="9"/>
  <c r="BG45" i="9"/>
  <c r="AQ45" i="9"/>
  <c r="BA43" i="9"/>
  <c r="AT42" i="9"/>
  <c r="BD40" i="9"/>
  <c r="AX38" i="9"/>
  <c r="AQ37" i="9"/>
  <c r="CQ50" i="9"/>
  <c r="BA50" i="9"/>
  <c r="AT49" i="9"/>
  <c r="BK48" i="9"/>
  <c r="AX45" i="9"/>
  <c r="BG44" i="9"/>
  <c r="BA42" i="9"/>
  <c r="BK40" i="9"/>
  <c r="CF48" i="9"/>
  <c r="BZ45" i="9"/>
  <c r="BV43" i="9"/>
  <c r="CF40" i="9"/>
  <c r="BZ37" i="9"/>
  <c r="BY49" i="9"/>
  <c r="CG45" i="9"/>
  <c r="CQ49" i="9"/>
  <c r="DA48" i="9"/>
  <c r="DA40" i="9"/>
  <c r="DH50" i="9"/>
  <c r="AJ37" i="9"/>
  <c r="BU44" i="9"/>
  <c r="BO42" i="9"/>
  <c r="BS38" i="9"/>
  <c r="BL37" i="9"/>
  <c r="CF49" i="9"/>
  <c r="CB47" i="9"/>
  <c r="BZ46" i="9"/>
  <c r="BV44" i="9"/>
  <c r="CB43" i="9"/>
  <c r="CB39" i="9"/>
  <c r="BZ38" i="9"/>
  <c r="CN50" i="9"/>
  <c r="CX49" i="9"/>
  <c r="CP49" i="9"/>
  <c r="CJ48" i="9"/>
  <c r="CT47" i="9"/>
  <c r="CN46" i="9"/>
  <c r="CX45" i="9"/>
  <c r="CP45" i="9"/>
  <c r="CT43" i="9"/>
  <c r="CN42" i="9"/>
  <c r="CX41" i="9"/>
  <c r="CJ40" i="9"/>
  <c r="CT39" i="9"/>
  <c r="CN38" i="9"/>
  <c r="CX37" i="9"/>
  <c r="CP37" i="9"/>
  <c r="DE48" i="9"/>
  <c r="DD47" i="9"/>
  <c r="DB45" i="9"/>
  <c r="DH43" i="9"/>
  <c r="DE40" i="9"/>
  <c r="DD39" i="9"/>
  <c r="DB37" i="9"/>
  <c r="BO49" i="9"/>
  <c r="AZ48" i="9"/>
  <c r="BS45" i="9"/>
  <c r="BL44" i="9"/>
  <c r="BU43" i="9"/>
  <c r="BO41" i="9"/>
  <c r="BS37" i="9"/>
  <c r="CG50" i="9"/>
  <c r="BY50" i="9"/>
  <c r="CC48" i="9"/>
  <c r="CI47" i="9"/>
  <c r="CG46" i="9"/>
  <c r="BY46" i="9"/>
  <c r="CC44" i="9"/>
  <c r="CI43" i="9"/>
  <c r="CG42" i="9"/>
  <c r="BY42" i="9"/>
  <c r="CC40" i="9"/>
  <c r="CI39" i="9"/>
  <c r="CG38" i="9"/>
  <c r="BY38" i="9"/>
  <c r="CU50" i="9"/>
  <c r="CM50" i="9"/>
  <c r="CW49" i="9"/>
  <c r="CQ48" i="9"/>
  <c r="DA47" i="9"/>
  <c r="CU46" i="9"/>
  <c r="CM46" i="9"/>
  <c r="CW45" i="9"/>
  <c r="CQ44" i="9"/>
  <c r="DA43" i="9"/>
  <c r="CU42" i="9"/>
  <c r="CW41" i="9"/>
  <c r="CQ40" i="9"/>
  <c r="DA39" i="9"/>
  <c r="CU38" i="9"/>
  <c r="CM38" i="9"/>
  <c r="CW37" i="9"/>
  <c r="DE49" i="9"/>
  <c r="DD48" i="9"/>
  <c r="DB46" i="9"/>
  <c r="DH44" i="9"/>
  <c r="DE41" i="9"/>
  <c r="DD40" i="9"/>
  <c r="DB38" i="9"/>
  <c r="AJ50" i="9"/>
  <c r="BG48" i="9"/>
  <c r="AZ47" i="9"/>
  <c r="BS44" i="9"/>
  <c r="BK44" i="9"/>
  <c r="BD43" i="9"/>
  <c r="BG40" i="9"/>
  <c r="CF50" i="9"/>
  <c r="BV49" i="9"/>
  <c r="CB48" i="9"/>
  <c r="BZ47" i="9"/>
  <c r="CF46" i="9"/>
  <c r="CB44" i="9"/>
  <c r="BZ43" i="9"/>
  <c r="CF42" i="9"/>
  <c r="BV41" i="9"/>
  <c r="CB40" i="9"/>
  <c r="BZ39" i="9"/>
  <c r="CF38" i="9"/>
  <c r="BV37" i="9"/>
  <c r="CT50" i="9"/>
  <c r="CN49" i="9"/>
  <c r="CX48" i="9"/>
  <c r="CP48" i="9"/>
  <c r="CJ47" i="9"/>
  <c r="CT46" i="9"/>
  <c r="CN45" i="9"/>
  <c r="CX44" i="9"/>
  <c r="CP44" i="9"/>
  <c r="CJ43" i="9"/>
  <c r="CT42" i="9"/>
  <c r="CN41" i="9"/>
  <c r="CX40" i="9"/>
  <c r="CP40" i="9"/>
  <c r="CJ39" i="9"/>
  <c r="CT38" i="9"/>
  <c r="DE50" i="9"/>
  <c r="DD49" i="9"/>
  <c r="DB47" i="9"/>
  <c r="DH45" i="9"/>
  <c r="DE42" i="9"/>
  <c r="DB39" i="9"/>
  <c r="DH37" i="9"/>
  <c r="BG47" i="9"/>
  <c r="BA45" i="9"/>
  <c r="AX40" i="9"/>
  <c r="CC49" i="9"/>
  <c r="CG47" i="9"/>
  <c r="CC45" i="9"/>
  <c r="CI44" i="9"/>
  <c r="BY43" i="9"/>
  <c r="CC41" i="9"/>
  <c r="CI40" i="9"/>
  <c r="CG39" i="9"/>
  <c r="BY39" i="9"/>
  <c r="CC37" i="9"/>
  <c r="DA50" i="9"/>
  <c r="CU49" i="9"/>
  <c r="CW48" i="9"/>
  <c r="CQ47" i="9"/>
  <c r="DA46" i="9"/>
  <c r="CM45" i="9"/>
  <c r="CW44" i="9"/>
  <c r="CQ43" i="9"/>
  <c r="CU41" i="9"/>
  <c r="CM41" i="9"/>
  <c r="CW40" i="9"/>
  <c r="CQ39" i="9"/>
  <c r="DA38" i="9"/>
  <c r="CU37" i="9"/>
  <c r="CM37" i="9"/>
  <c r="DD50" i="9"/>
  <c r="DB48" i="9"/>
  <c r="DH46" i="9"/>
  <c r="DE43" i="9"/>
  <c r="DD42" i="9"/>
  <c r="DB40" i="9"/>
  <c r="DH38" i="9"/>
  <c r="BV50" i="9"/>
  <c r="BZ48" i="9"/>
  <c r="CF47" i="9"/>
  <c r="BV46" i="9"/>
  <c r="CB45" i="9"/>
  <c r="BZ44" i="9"/>
  <c r="CF43" i="9"/>
  <c r="BV42" i="9"/>
  <c r="CF39" i="9"/>
  <c r="CB37" i="9"/>
  <c r="CJ50" i="9"/>
  <c r="CT49" i="9"/>
  <c r="CN48" i="9"/>
  <c r="CX47" i="9"/>
  <c r="CP47" i="9"/>
  <c r="CJ46" i="9"/>
  <c r="CT45" i="9"/>
  <c r="CN44" i="9"/>
  <c r="CP43" i="9"/>
  <c r="CJ42" i="9"/>
  <c r="CT41" i="9"/>
  <c r="CN40" i="9"/>
  <c r="CX39" i="9"/>
  <c r="CP39" i="9"/>
  <c r="CJ38" i="9"/>
  <c r="CT37" i="9"/>
  <c r="DB49" i="9"/>
  <c r="DH47" i="9"/>
  <c r="DE44" i="9"/>
  <c r="DD43" i="9"/>
  <c r="DB41" i="9"/>
  <c r="DH39" i="9"/>
  <c r="BL48" i="9"/>
  <c r="BU47" i="9"/>
  <c r="AX46" i="9"/>
  <c r="BO45" i="9"/>
  <c r="AZ44" i="9"/>
  <c r="BK41" i="9"/>
  <c r="BL40" i="9"/>
  <c r="BU39" i="9"/>
  <c r="CC50" i="9"/>
  <c r="CI49" i="9"/>
  <c r="CG48" i="9"/>
  <c r="BY48" i="9"/>
  <c r="CC46" i="9"/>
  <c r="CI45" i="9"/>
  <c r="CG44" i="9"/>
  <c r="BY44" i="9"/>
  <c r="CC42" i="9"/>
  <c r="CG40" i="9"/>
  <c r="BY40" i="9"/>
  <c r="CC38" i="9"/>
  <c r="CI37" i="9"/>
  <c r="DA49" i="9"/>
  <c r="CU48" i="9"/>
  <c r="CM48" i="9"/>
  <c r="CW47" i="9"/>
  <c r="CQ46" i="9"/>
  <c r="DA45" i="9"/>
  <c r="CM44" i="9"/>
  <c r="CW43" i="9"/>
  <c r="CQ42" i="9"/>
  <c r="DA41" i="9"/>
  <c r="CU40" i="9"/>
  <c r="CM40" i="9"/>
  <c r="CW39" i="9"/>
  <c r="CQ38" i="9"/>
  <c r="DA37" i="9"/>
  <c r="DB50" i="9"/>
  <c r="DH48" i="9"/>
  <c r="DE45" i="9"/>
  <c r="DD44" i="9"/>
  <c r="DB42" i="9"/>
  <c r="DH40" i="9"/>
  <c r="DE37" i="9"/>
  <c r="CX50" i="9"/>
  <c r="CJ49" i="9"/>
  <c r="CT48" i="9"/>
  <c r="CN47" i="9"/>
  <c r="CJ45" i="9"/>
  <c r="CX42" i="9"/>
  <c r="CT40" i="9"/>
  <c r="DH49" i="9"/>
  <c r="DE46" i="9"/>
  <c r="DD45" i="9"/>
  <c r="DH41" i="9"/>
  <c r="AJ49" i="9"/>
  <c r="I3" i="9"/>
  <c r="R4" i="9" s="1"/>
  <c r="J6" i="9"/>
  <c r="M4" i="9" s="1"/>
  <c r="I7" i="1"/>
  <c r="J7" i="1" s="1"/>
  <c r="G8" i="1"/>
  <c r="G9" i="1" s="1"/>
  <c r="G10" i="1" s="1"/>
  <c r="G11" i="1" s="1"/>
  <c r="G12" i="1" s="1"/>
  <c r="M3" i="1"/>
  <c r="I8" i="1"/>
  <c r="J8" i="1" s="1"/>
  <c r="B28" i="2"/>
  <c r="B69" i="2"/>
  <c r="I10" i="1"/>
  <c r="J10" i="1" s="1"/>
  <c r="B29" i="2"/>
  <c r="B58" i="2"/>
  <c r="B86" i="2"/>
  <c r="I4" i="1"/>
  <c r="J4" i="1" s="1"/>
  <c r="B30" i="2"/>
  <c r="B46" i="2"/>
  <c r="B59" i="2"/>
  <c r="B75" i="2"/>
  <c r="B87" i="2"/>
  <c r="B105" i="2"/>
  <c r="B41" i="2"/>
  <c r="B57" i="2"/>
  <c r="B85" i="2"/>
  <c r="B102" i="2"/>
  <c r="B42" i="2"/>
  <c r="B74" i="2"/>
  <c r="B103" i="2"/>
  <c r="B31" i="2"/>
  <c r="B47" i="2"/>
  <c r="B60" i="2"/>
  <c r="B76" i="2"/>
  <c r="B92" i="2"/>
  <c r="B106" i="2"/>
  <c r="B77" i="2"/>
  <c r="I5" i="1"/>
  <c r="J5" i="1" s="1"/>
  <c r="B50" i="2"/>
  <c r="B66" i="2"/>
  <c r="B94" i="2"/>
  <c r="G8" i="6"/>
  <c r="B33" i="2"/>
  <c r="B49" i="2"/>
  <c r="B107" i="2"/>
  <c r="C3" i="4"/>
  <c r="D3" i="4"/>
  <c r="B3" i="4"/>
  <c r="I21" i="2"/>
  <c r="B37" i="2"/>
  <c r="B78" i="2"/>
  <c r="B22" i="2"/>
  <c r="B38" i="2"/>
  <c r="B51" i="2"/>
  <c r="B67" i="2"/>
  <c r="B83" i="2"/>
  <c r="B95" i="2"/>
  <c r="B21" i="2"/>
  <c r="B65" i="2"/>
  <c r="B93" i="2"/>
  <c r="B23" i="2"/>
  <c r="B39" i="2"/>
  <c r="B55" i="2"/>
  <c r="B68" i="2"/>
  <c r="B84" i="2"/>
  <c r="G11" i="6"/>
  <c r="G7" i="6"/>
  <c r="G3" i="6"/>
  <c r="G9" i="6"/>
  <c r="G5" i="6"/>
  <c r="G6" i="6"/>
  <c r="G10" i="6"/>
  <c r="G4" i="6"/>
  <c r="B108" i="2"/>
  <c r="B100" i="2"/>
  <c r="B104" i="2"/>
  <c r="B96" i="2"/>
  <c r="B88" i="2"/>
  <c r="B80" i="2"/>
  <c r="B72" i="2"/>
  <c r="B64" i="2"/>
  <c r="B56" i="2"/>
  <c r="B48" i="2"/>
  <c r="B40" i="2"/>
  <c r="B32" i="2"/>
  <c r="B24" i="2"/>
  <c r="B19" i="2"/>
  <c r="B25" i="2"/>
  <c r="B43" i="2"/>
  <c r="B61" i="2"/>
  <c r="B89" i="2"/>
  <c r="B3" i="2"/>
  <c r="B7" i="2"/>
  <c r="B11" i="2"/>
  <c r="B15" i="2"/>
  <c r="B26" i="2"/>
  <c r="B35" i="2"/>
  <c r="B44" i="2"/>
  <c r="B53" i="2"/>
  <c r="B62" i="2"/>
  <c r="B71" i="2"/>
  <c r="B81" i="2"/>
  <c r="B90" i="2"/>
  <c r="B99" i="2"/>
  <c r="D52" i="10"/>
  <c r="D45" i="10"/>
  <c r="D41" i="10"/>
  <c r="D38" i="10"/>
  <c r="D50" i="10"/>
  <c r="D34" i="10"/>
  <c r="D47" i="10"/>
  <c r="D44" i="10"/>
  <c r="D37" i="10"/>
  <c r="D48" i="10"/>
  <c r="D46" i="10"/>
  <c r="D43" i="10"/>
  <c r="D35" i="10"/>
  <c r="D51" i="10"/>
  <c r="D42" i="10"/>
  <c r="D32" i="10"/>
  <c r="D39" i="10"/>
  <c r="D49" i="10"/>
  <c r="D36" i="10"/>
  <c r="D33" i="10"/>
  <c r="D31" i="10"/>
  <c r="U42" i="10"/>
  <c r="U33" i="10"/>
  <c r="U47" i="10"/>
  <c r="U44" i="10"/>
  <c r="U37" i="10"/>
  <c r="U51" i="10"/>
  <c r="U40" i="10"/>
  <c r="U52" i="10"/>
  <c r="U45" i="10"/>
  <c r="U43" i="10"/>
  <c r="U41" i="10"/>
  <c r="U38" i="10"/>
  <c r="U34" i="10"/>
  <c r="U50" i="10"/>
  <c r="U46" i="10"/>
  <c r="U39" i="10"/>
  <c r="U36" i="10"/>
  <c r="U48" i="10"/>
  <c r="N49" i="10"/>
  <c r="N43" i="10"/>
  <c r="N36" i="10"/>
  <c r="N50" i="10"/>
  <c r="N51" i="10"/>
  <c r="N40" i="10"/>
  <c r="N48" i="10"/>
  <c r="N35" i="10"/>
  <c r="N44" i="10"/>
  <c r="N41" i="10"/>
  <c r="N38" i="10"/>
  <c r="N37" i="10"/>
  <c r="N34" i="10"/>
  <c r="N46" i="10"/>
  <c r="N42" i="10"/>
  <c r="N39" i="10"/>
  <c r="N47" i="10"/>
  <c r="N45" i="10"/>
  <c r="N52" i="10"/>
  <c r="AK42" i="10"/>
  <c r="AK47" i="10"/>
  <c r="AK44" i="10"/>
  <c r="AK37" i="10"/>
  <c r="AK51" i="10"/>
  <c r="AK40" i="10"/>
  <c r="AK52" i="10"/>
  <c r="AK45" i="10"/>
  <c r="AK39" i="10"/>
  <c r="AK50" i="10"/>
  <c r="AK46" i="10"/>
  <c r="AK48" i="10"/>
  <c r="AK38" i="10"/>
  <c r="AK49" i="10"/>
  <c r="AK43" i="10"/>
  <c r="AK41" i="10"/>
  <c r="B34" i="2"/>
  <c r="B52" i="2"/>
  <c r="B70" i="2"/>
  <c r="B79" i="2"/>
  <c r="B98" i="2"/>
  <c r="B51" i="10"/>
  <c r="B40" i="10"/>
  <c r="B32" i="10"/>
  <c r="B52" i="10"/>
  <c r="B49" i="10"/>
  <c r="B43" i="10"/>
  <c r="B36" i="10"/>
  <c r="B46" i="10"/>
  <c r="B39" i="10"/>
  <c r="B31" i="10"/>
  <c r="B47" i="10"/>
  <c r="B44" i="10"/>
  <c r="B50" i="10"/>
  <c r="B41" i="10"/>
  <c r="B38" i="10"/>
  <c r="B37" i="10"/>
  <c r="B34" i="10"/>
  <c r="B48" i="10"/>
  <c r="B35" i="10"/>
  <c r="B45" i="10"/>
  <c r="B42" i="10"/>
  <c r="BY42" i="10"/>
  <c r="BY33" i="10"/>
  <c r="BY47" i="10"/>
  <c r="BY44" i="10"/>
  <c r="BY37" i="10"/>
  <c r="BY51" i="10"/>
  <c r="BY40" i="10"/>
  <c r="BY52" i="10"/>
  <c r="BY45" i="10"/>
  <c r="BY41" i="10"/>
  <c r="BY43" i="10"/>
  <c r="BY39" i="10"/>
  <c r="BY49" i="10"/>
  <c r="BY36" i="10"/>
  <c r="BY34" i="10"/>
  <c r="BY50" i="10"/>
  <c r="BY38" i="10"/>
  <c r="AB52" i="10"/>
  <c r="AB45" i="10"/>
  <c r="AB41" i="10"/>
  <c r="AB50" i="10"/>
  <c r="AB47" i="10"/>
  <c r="AB44" i="10"/>
  <c r="AB48" i="10"/>
  <c r="AB46" i="10"/>
  <c r="AB51" i="10"/>
  <c r="AB49" i="10"/>
  <c r="AB40" i="10"/>
  <c r="AB43" i="10"/>
  <c r="B20" i="2"/>
  <c r="B27" i="2"/>
  <c r="B36" i="2"/>
  <c r="B45" i="2"/>
  <c r="B54" i="2"/>
  <c r="B63" i="2"/>
  <c r="B73" i="2"/>
  <c r="B82" i="2"/>
  <c r="B91" i="2"/>
  <c r="B101" i="2"/>
  <c r="G46" i="10"/>
  <c r="BD50" i="10"/>
  <c r="BY35" i="10"/>
  <c r="AS43" i="10"/>
  <c r="BY46" i="10"/>
  <c r="BY48" i="10"/>
  <c r="Q47" i="10"/>
  <c r="Q44" i="10"/>
  <c r="Q37" i="10"/>
  <c r="Q42" i="10"/>
  <c r="Q33" i="10"/>
  <c r="Q49" i="10"/>
  <c r="Q43" i="10"/>
  <c r="Q36" i="10"/>
  <c r="Q50" i="10"/>
  <c r="Q39" i="10"/>
  <c r="Q48" i="10"/>
  <c r="Q31" i="10"/>
  <c r="Q51" i="10"/>
  <c r="Q45" i="10"/>
  <c r="Q52" i="10"/>
  <c r="Q40" i="10"/>
  <c r="Q34" i="10"/>
  <c r="Q32" i="10"/>
  <c r="Q41" i="10"/>
  <c r="Q38" i="10"/>
  <c r="Q35" i="10"/>
  <c r="L52" i="10"/>
  <c r="L45" i="10"/>
  <c r="L41" i="10"/>
  <c r="L38" i="10"/>
  <c r="L50" i="10"/>
  <c r="L34" i="10"/>
  <c r="L47" i="10"/>
  <c r="L44" i="10"/>
  <c r="L37" i="10"/>
  <c r="L48" i="10"/>
  <c r="L43" i="10"/>
  <c r="L35" i="10"/>
  <c r="L46" i="10"/>
  <c r="L42" i="10"/>
  <c r="L39" i="10"/>
  <c r="L36" i="10"/>
  <c r="L51" i="10"/>
  <c r="L49" i="10"/>
  <c r="L33" i="10"/>
  <c r="AH51" i="10"/>
  <c r="AH40" i="10"/>
  <c r="AH52" i="10"/>
  <c r="AH49" i="10"/>
  <c r="AH43" i="10"/>
  <c r="AH36" i="10"/>
  <c r="AH46" i="10"/>
  <c r="AH39" i="10"/>
  <c r="AH47" i="10"/>
  <c r="AH44" i="10"/>
  <c r="AH41" i="10"/>
  <c r="AH35" i="10"/>
  <c r="AH42" i="10"/>
  <c r="AH50" i="10"/>
  <c r="AH33" i="10"/>
  <c r="AH48" i="10"/>
  <c r="AH34" i="10"/>
  <c r="AP51" i="10"/>
  <c r="AP40" i="10"/>
  <c r="AP52" i="10"/>
  <c r="AP49" i="10"/>
  <c r="AP43" i="10"/>
  <c r="AP36" i="10"/>
  <c r="AP46" i="10"/>
  <c r="AP39" i="10"/>
  <c r="AP47" i="10"/>
  <c r="AP44" i="10"/>
  <c r="AP37" i="10"/>
  <c r="AP45" i="10"/>
  <c r="AP41" i="10"/>
  <c r="AP35" i="10"/>
  <c r="AP42" i="10"/>
  <c r="AP50" i="10"/>
  <c r="AP34" i="10"/>
  <c r="Y47" i="10"/>
  <c r="Y44" i="10"/>
  <c r="Y37" i="10"/>
  <c r="Y42" i="10"/>
  <c r="Y49" i="10"/>
  <c r="Y43" i="10"/>
  <c r="Y36" i="10"/>
  <c r="Y50" i="10"/>
  <c r="Y35" i="10"/>
  <c r="Y46" i="10"/>
  <c r="Y39" i="10"/>
  <c r="Y48" i="10"/>
  <c r="Y51" i="10"/>
  <c r="Y45" i="10"/>
  <c r="Y40" i="10"/>
  <c r="Y52" i="10"/>
  <c r="BF51" i="10"/>
  <c r="BF40" i="10"/>
  <c r="BF52" i="10"/>
  <c r="BF49" i="10"/>
  <c r="BF43" i="10"/>
  <c r="BF46" i="10"/>
  <c r="BF39" i="10"/>
  <c r="BF47" i="10"/>
  <c r="BF44" i="10"/>
  <c r="BF50" i="10"/>
  <c r="BF38" i="10"/>
  <c r="BF48" i="10"/>
  <c r="BF41" i="10"/>
  <c r="BF37" i="10"/>
  <c r="BF45" i="10"/>
  <c r="BF42" i="10"/>
  <c r="AY48" i="10"/>
  <c r="AY46" i="10"/>
  <c r="AY50" i="10"/>
  <c r="AY51" i="10"/>
  <c r="AY41" i="10"/>
  <c r="AY49" i="10"/>
  <c r="AY47" i="10"/>
  <c r="AY45" i="10"/>
  <c r="AY43" i="10"/>
  <c r="AY40" i="10"/>
  <c r="AY44" i="10"/>
  <c r="AY42" i="10"/>
  <c r="AY52" i="10"/>
  <c r="AM46" i="10"/>
  <c r="AM48" i="10"/>
  <c r="AM52" i="10"/>
  <c r="AM45" i="10"/>
  <c r="AM49" i="10"/>
  <c r="AM43" i="10"/>
  <c r="AM47" i="10"/>
  <c r="AM51" i="10"/>
  <c r="AM44" i="10"/>
  <c r="Q30" i="10"/>
  <c r="AH45" i="10"/>
  <c r="S48" i="10"/>
  <c r="S35" i="10"/>
  <c r="S46" i="10"/>
  <c r="S39" i="10"/>
  <c r="S50" i="10"/>
  <c r="S34" i="10"/>
  <c r="S51" i="10"/>
  <c r="S49" i="10"/>
  <c r="S47" i="10"/>
  <c r="S45" i="10"/>
  <c r="S33" i="10"/>
  <c r="S52" i="10"/>
  <c r="S40" i="10"/>
  <c r="S43" i="10"/>
  <c r="S44" i="10"/>
  <c r="S41" i="10"/>
  <c r="S38" i="10"/>
  <c r="S37" i="10"/>
  <c r="S42" i="10"/>
  <c r="M42" i="10"/>
  <c r="M33" i="10"/>
  <c r="M47" i="10"/>
  <c r="M44" i="10"/>
  <c r="M37" i="10"/>
  <c r="M51" i="10"/>
  <c r="M40" i="10"/>
  <c r="M52" i="10"/>
  <c r="M45" i="10"/>
  <c r="M35" i="10"/>
  <c r="M50" i="10"/>
  <c r="M41" i="10"/>
  <c r="M38" i="10"/>
  <c r="M34" i="10"/>
  <c r="M46" i="10"/>
  <c r="M48" i="10"/>
  <c r="M39" i="10"/>
  <c r="M36" i="10"/>
  <c r="M49" i="10"/>
  <c r="BB49" i="10"/>
  <c r="BB43" i="10"/>
  <c r="BB36" i="10"/>
  <c r="BB50" i="10"/>
  <c r="BB51" i="10"/>
  <c r="BB40" i="10"/>
  <c r="BB48" i="10"/>
  <c r="BB35" i="10"/>
  <c r="BB44" i="10"/>
  <c r="BB42" i="10"/>
  <c r="BB39" i="10"/>
  <c r="BB33" i="10"/>
  <c r="BB52" i="10"/>
  <c r="BB34" i="10"/>
  <c r="BB38" i="10"/>
  <c r="BB46" i="10"/>
  <c r="BB41" i="10"/>
  <c r="BB37" i="10"/>
  <c r="BB47" i="10"/>
  <c r="BB45" i="10"/>
  <c r="G51" i="10"/>
  <c r="G36" i="10"/>
  <c r="G47" i="10"/>
  <c r="G50" i="10"/>
  <c r="G40" i="10"/>
  <c r="G44" i="10"/>
  <c r="G43" i="10"/>
  <c r="G37" i="10"/>
  <c r="G34" i="10"/>
  <c r="AS42" i="10"/>
  <c r="AS47" i="10"/>
  <c r="AS44" i="10"/>
  <c r="AS37" i="10"/>
  <c r="AS51" i="10"/>
  <c r="AS40" i="10"/>
  <c r="AS52" i="10"/>
  <c r="AS45" i="10"/>
  <c r="AS50" i="10"/>
  <c r="AS39" i="10"/>
  <c r="AS36" i="10"/>
  <c r="AS48" i="10"/>
  <c r="AS46" i="10"/>
  <c r="AS38" i="10"/>
  <c r="AS41" i="10"/>
  <c r="AS35" i="10"/>
  <c r="AA48" i="10"/>
  <c r="AA35" i="10"/>
  <c r="AA46" i="10"/>
  <c r="AA39" i="10"/>
  <c r="AA50" i="10"/>
  <c r="AA51" i="10"/>
  <c r="AA42" i="10"/>
  <c r="AA36" i="10"/>
  <c r="AA45" i="10"/>
  <c r="AA49" i="10"/>
  <c r="AA47" i="10"/>
  <c r="AA40" i="10"/>
  <c r="AA52" i="10"/>
  <c r="AA43" i="10"/>
  <c r="AA41" i="10"/>
  <c r="AA38" i="10"/>
  <c r="AA44" i="10"/>
  <c r="AA37" i="10"/>
  <c r="BI42" i="10"/>
  <c r="BI47" i="10"/>
  <c r="BI44" i="10"/>
  <c r="BI37" i="10"/>
  <c r="BI51" i="10"/>
  <c r="BI40" i="10"/>
  <c r="BI52" i="10"/>
  <c r="BI45" i="10"/>
  <c r="BI49" i="10"/>
  <c r="BI43" i="10"/>
  <c r="BI39" i="10"/>
  <c r="BI50" i="10"/>
  <c r="BI38" i="10"/>
  <c r="BI48" i="10"/>
  <c r="BD48" i="10"/>
  <c r="BD47" i="10"/>
  <c r="BD49" i="10"/>
  <c r="BD43" i="10"/>
  <c r="BD40" i="10"/>
  <c r="BD44" i="10"/>
  <c r="B33" i="10"/>
  <c r="AP38" i="10"/>
  <c r="L40" i="10"/>
  <c r="Y41" i="10"/>
  <c r="U49" i="10"/>
  <c r="BX43" i="10"/>
  <c r="AD52" i="10"/>
  <c r="AH38" i="10"/>
  <c r="AD39" i="10"/>
  <c r="O40" i="10"/>
  <c r="O43" i="10"/>
  <c r="AD46" i="10"/>
  <c r="H48" i="10"/>
  <c r="BX51" i="10"/>
  <c r="H50" i="10"/>
  <c r="H35" i="10"/>
  <c r="BE39" i="10"/>
  <c r="AD42" i="10"/>
  <c r="BX42" i="10"/>
  <c r="J56" i="10"/>
  <c r="O33" i="10"/>
  <c r="K56" i="10" s="1"/>
  <c r="BX36" i="10"/>
  <c r="H37" i="10"/>
  <c r="BE40" i="10"/>
  <c r="H43" i="10"/>
  <c r="H44" i="10"/>
  <c r="AD44" i="10"/>
  <c r="BE45" i="10"/>
  <c r="O47" i="10"/>
  <c r="BX39" i="10"/>
  <c r="H40" i="10"/>
  <c r="BX40" i="10"/>
  <c r="AD41" i="10"/>
  <c r="E2" i="11"/>
  <c r="K3" i="8"/>
  <c r="K4" i="8" s="1"/>
  <c r="K7" i="8" s="1"/>
  <c r="O46" i="10"/>
  <c r="O39" i="10"/>
  <c r="O48" i="10"/>
  <c r="O35" i="10"/>
  <c r="O52" i="10"/>
  <c r="O45" i="10"/>
  <c r="O41" i="10"/>
  <c r="O38" i="10"/>
  <c r="O49" i="10"/>
  <c r="BE47" i="10"/>
  <c r="BE44" i="10"/>
  <c r="BE37" i="10"/>
  <c r="BE42" i="10"/>
  <c r="BE33" i="10"/>
  <c r="BE49" i="10"/>
  <c r="BE43" i="10"/>
  <c r="BE36" i="10"/>
  <c r="BE50" i="10"/>
  <c r="BX49" i="10"/>
  <c r="AD49" i="10"/>
  <c r="AD43" i="10"/>
  <c r="AD36" i="10"/>
  <c r="AD50" i="10"/>
  <c r="AD51" i="10"/>
  <c r="AD40" i="10"/>
  <c r="AD48" i="10"/>
  <c r="AD35" i="10"/>
  <c r="O36" i="10"/>
  <c r="AD38" i="10"/>
  <c r="BE46" i="10"/>
  <c r="AD47" i="10"/>
  <c r="BE48" i="10"/>
  <c r="BX52" i="10"/>
  <c r="BE38" i="10"/>
  <c r="O42" i="10"/>
  <c r="AD45" i="10"/>
  <c r="H47" i="10"/>
  <c r="H49" i="10"/>
  <c r="BX35" i="10"/>
  <c r="H36" i="10"/>
  <c r="BX46" i="10"/>
  <c r="O50" i="10"/>
  <c r="BE52" i="10"/>
  <c r="H46" i="10"/>
  <c r="AF46" i="10"/>
  <c r="BD46" i="10"/>
  <c r="Z47" i="10"/>
  <c r="BX48" i="10"/>
  <c r="G49" i="10"/>
  <c r="W49" i="10"/>
  <c r="AE49" i="10"/>
  <c r="K51" i="10"/>
  <c r="E52" i="10"/>
  <c r="C4" i="11"/>
  <c r="C9" i="11"/>
  <c r="H33" i="10"/>
  <c r="AF33" i="10"/>
  <c r="BX37" i="10"/>
  <c r="G38" i="10"/>
  <c r="W38" i="10"/>
  <c r="G41" i="10"/>
  <c r="W41" i="10"/>
  <c r="AE41" i="10"/>
  <c r="H42" i="10"/>
  <c r="AF42" i="10"/>
  <c r="BD42" i="10"/>
  <c r="BX44" i="10"/>
  <c r="G45" i="10"/>
  <c r="W45" i="10"/>
  <c r="AE45" i="10"/>
  <c r="Z46" i="10"/>
  <c r="BX47" i="10"/>
  <c r="K50" i="10"/>
  <c r="E51" i="10"/>
  <c r="G52" i="10"/>
  <c r="W52" i="10"/>
  <c r="AE52" i="10"/>
  <c r="C6" i="11"/>
  <c r="BX34" i="10"/>
  <c r="G35" i="10"/>
  <c r="W35" i="10"/>
  <c r="H38" i="10"/>
  <c r="AF38" i="10"/>
  <c r="BD38" i="10"/>
  <c r="H41" i="10"/>
  <c r="AF41" i="10"/>
  <c r="BD41" i="10"/>
  <c r="Z43" i="10"/>
  <c r="H45" i="10"/>
  <c r="AF45" i="10"/>
  <c r="BD45" i="10"/>
  <c r="K46" i="10"/>
  <c r="G48" i="10"/>
  <c r="W48" i="10"/>
  <c r="AE48" i="10"/>
  <c r="Z49" i="10"/>
  <c r="BX50" i="10"/>
  <c r="H52" i="10"/>
  <c r="AF52" i="10"/>
  <c r="BD52" i="10"/>
  <c r="C3" i="11"/>
  <c r="C11" i="11"/>
  <c r="H51" i="10"/>
  <c r="AF51" i="10"/>
  <c r="BD51" i="10"/>
  <c r="Z52" i="10"/>
  <c r="H56" i="10"/>
  <c r="C5" i="11"/>
  <c r="C10" i="11"/>
  <c r="G31" i="10"/>
  <c r="H34" i="10"/>
  <c r="AF34" i="10"/>
  <c r="BX38" i="10"/>
  <c r="G39" i="10"/>
  <c r="W39" i="10"/>
  <c r="Z40" i="10"/>
  <c r="BX41" i="10"/>
  <c r="BX45" i="10"/>
  <c r="R5" i="9" l="1"/>
  <c r="M5" i="9"/>
  <c r="N5" i="9"/>
  <c r="Q5" i="9"/>
  <c r="C2" i="11"/>
  <c r="M4" i="1"/>
  <c r="M5" i="1" s="1"/>
  <c r="M6" i="1" s="1"/>
  <c r="M7" i="1" s="1"/>
  <c r="M8" i="1" s="1"/>
  <c r="H3" i="4"/>
  <c r="K3" i="4" s="1"/>
  <c r="F3" i="4"/>
  <c r="M3" i="4" s="1"/>
  <c r="E3" i="4"/>
  <c r="L3" i="4" s="1"/>
  <c r="G13" i="1"/>
  <c r="I12" i="1"/>
  <c r="J12" i="1" s="1"/>
  <c r="K15" i="8"/>
  <c r="I9" i="1"/>
  <c r="J9" i="1" s="1"/>
  <c r="I11" i="1"/>
  <c r="J11" i="1" s="1"/>
  <c r="R6" i="9" l="1"/>
  <c r="Q6" i="9"/>
  <c r="N6" i="9"/>
  <c r="M6" i="9"/>
  <c r="C4" i="4"/>
  <c r="B4" i="4"/>
  <c r="D4" i="4"/>
  <c r="M9" i="1"/>
  <c r="M10" i="1" s="1"/>
  <c r="M11" i="1" s="1"/>
  <c r="M12" i="1" s="1"/>
  <c r="M13" i="1" s="1"/>
  <c r="G14" i="1"/>
  <c r="I13" i="1"/>
  <c r="J13" i="1" s="1"/>
  <c r="Q7" i="9" l="1"/>
  <c r="N7" i="9"/>
  <c r="R7" i="9"/>
  <c r="M7" i="9"/>
  <c r="G15" i="1"/>
  <c r="I14" i="1"/>
  <c r="J14" i="1" s="1"/>
  <c r="M14" i="1" s="1"/>
  <c r="F4" i="4"/>
  <c r="M4" i="4" s="1"/>
  <c r="H4" i="4"/>
  <c r="K4" i="4" s="1"/>
  <c r="E4" i="4"/>
  <c r="L4" i="4" s="1"/>
  <c r="N8" i="9" l="1"/>
  <c r="Q8" i="9"/>
  <c r="M8" i="9"/>
  <c r="R8" i="9"/>
  <c r="C5" i="4"/>
  <c r="B5" i="4"/>
  <c r="D5" i="4"/>
  <c r="I15" i="1"/>
  <c r="J15" i="1" s="1"/>
  <c r="M15" i="1" s="1"/>
  <c r="G16" i="1"/>
  <c r="Q9" i="9" l="1"/>
  <c r="M9" i="9"/>
  <c r="N9" i="9"/>
  <c r="R9" i="9"/>
  <c r="G17" i="1"/>
  <c r="I16" i="1"/>
  <c r="J16" i="1" s="1"/>
  <c r="M16" i="1" s="1"/>
  <c r="H5" i="4"/>
  <c r="K5" i="4" s="1"/>
  <c r="F5" i="4"/>
  <c r="M5" i="4" s="1"/>
  <c r="E5" i="4"/>
  <c r="L5" i="4" s="1"/>
  <c r="M10" i="9" l="1"/>
  <c r="R10" i="9"/>
  <c r="N10" i="9"/>
  <c r="Q10" i="9"/>
  <c r="C6" i="4"/>
  <c r="B6" i="4"/>
  <c r="D6" i="4"/>
  <c r="G18" i="1"/>
  <c r="I17" i="1"/>
  <c r="J17" i="1" s="1"/>
  <c r="M17" i="1" s="1"/>
  <c r="Q11" i="9" l="1"/>
  <c r="R11" i="9"/>
  <c r="N11" i="9"/>
  <c r="M11" i="9"/>
  <c r="G19" i="1"/>
  <c r="I18" i="1"/>
  <c r="J18" i="1" s="1"/>
  <c r="M18" i="1" s="1"/>
  <c r="H6" i="4"/>
  <c r="F6" i="4"/>
  <c r="M6" i="4" s="1"/>
  <c r="K6" i="4"/>
  <c r="C7" i="4" s="1"/>
  <c r="E6" i="4"/>
  <c r="L6" i="4" s="1"/>
  <c r="N12" i="9" l="1"/>
  <c r="M12" i="9"/>
  <c r="R12" i="9"/>
  <c r="Q12" i="9"/>
  <c r="D7" i="4"/>
  <c r="B7" i="4"/>
  <c r="G20" i="1"/>
  <c r="I19" i="1"/>
  <c r="J19" i="1" s="1"/>
  <c r="M19" i="1" s="1"/>
  <c r="N13" i="9" l="1"/>
  <c r="M13" i="9"/>
  <c r="R13" i="9"/>
  <c r="Q13" i="9"/>
  <c r="G21" i="1"/>
  <c r="I20" i="1"/>
  <c r="J20" i="1" s="1"/>
  <c r="M20" i="1" s="1"/>
  <c r="H7" i="4"/>
  <c r="K7" i="4" s="1"/>
  <c r="F7" i="4"/>
  <c r="M7" i="4" s="1"/>
  <c r="E7" i="4"/>
  <c r="L7" i="4" s="1"/>
  <c r="Q14" i="9" l="1"/>
  <c r="N14" i="9"/>
  <c r="R14" i="9"/>
  <c r="M14" i="9"/>
  <c r="C8" i="4"/>
  <c r="B8" i="4"/>
  <c r="D8" i="4"/>
  <c r="G22" i="1"/>
  <c r="I21" i="1"/>
  <c r="J21" i="1" s="1"/>
  <c r="M21" i="1" s="1"/>
  <c r="N15" i="9" l="1"/>
  <c r="R15" i="9"/>
  <c r="M15" i="9"/>
  <c r="Q15" i="9"/>
  <c r="H8" i="4"/>
  <c r="F8" i="4"/>
  <c r="M8" i="4" s="1"/>
  <c r="K8" i="4"/>
  <c r="D9" i="4" s="1"/>
  <c r="C9" i="4"/>
  <c r="E8" i="4"/>
  <c r="L8" i="4" s="1"/>
  <c r="G23" i="1"/>
  <c r="I22" i="1"/>
  <c r="J22" i="1" s="1"/>
  <c r="M22" i="1" s="1"/>
  <c r="N16" i="9" l="1"/>
  <c r="N17" i="9" s="1"/>
  <c r="R16" i="9"/>
  <c r="Q16" i="9"/>
  <c r="M16" i="9"/>
  <c r="M17" i="9" s="1"/>
  <c r="F9" i="4"/>
  <c r="M9" i="4" s="1"/>
  <c r="B9" i="4"/>
  <c r="I23" i="1"/>
  <c r="J23" i="1" s="1"/>
  <c r="M23" i="1" s="1"/>
  <c r="G24" i="1"/>
  <c r="R17" i="9" l="1"/>
  <c r="Q17" i="9"/>
  <c r="Q18" i="9" s="1"/>
  <c r="R18" i="9"/>
  <c r="N18" i="9"/>
  <c r="E9" i="4"/>
  <c r="L9" i="4" s="1"/>
  <c r="H9" i="4"/>
  <c r="K9" i="4" s="1"/>
  <c r="G25" i="1"/>
  <c r="I24" i="1"/>
  <c r="J24" i="1" s="1"/>
  <c r="M24" i="1" s="1"/>
  <c r="M18" i="9" l="1"/>
  <c r="Q19" i="9" s="1"/>
  <c r="R19" i="9"/>
  <c r="N19" i="9"/>
  <c r="D10" i="4"/>
  <c r="C10" i="4"/>
  <c r="B10" i="4"/>
  <c r="G26" i="1"/>
  <c r="I25" i="1"/>
  <c r="J25" i="1" s="1"/>
  <c r="M25" i="1" s="1"/>
  <c r="M19" i="9" l="1"/>
  <c r="Q20" i="9" s="1"/>
  <c r="N20" i="9"/>
  <c r="E10" i="4"/>
  <c r="L10" i="4" s="1"/>
  <c r="G27" i="1"/>
  <c r="I26" i="1"/>
  <c r="J26" i="1" s="1"/>
  <c r="M26" i="1" s="1"/>
  <c r="H10" i="4"/>
  <c r="K10" i="4" s="1"/>
  <c r="F10" i="4"/>
  <c r="M10" i="4" s="1"/>
  <c r="R20" i="9" l="1"/>
  <c r="M21" i="9" s="1"/>
  <c r="M20" i="9"/>
  <c r="D11" i="4"/>
  <c r="C11" i="4"/>
  <c r="B11" i="4"/>
  <c r="G28" i="1"/>
  <c r="I27" i="1"/>
  <c r="J27" i="1" s="1"/>
  <c r="M27" i="1" s="1"/>
  <c r="N21" i="9" l="1"/>
  <c r="Q21" i="9"/>
  <c r="Q22" i="9" s="1"/>
  <c r="R21" i="9"/>
  <c r="M22" i="9"/>
  <c r="R22" i="9"/>
  <c r="N22" i="9"/>
  <c r="G29" i="1"/>
  <c r="I28" i="1"/>
  <c r="J28" i="1" s="1"/>
  <c r="M28" i="1" s="1"/>
  <c r="E11" i="4"/>
  <c r="L11" i="4" s="1"/>
  <c r="H11" i="4"/>
  <c r="K11" i="4" s="1"/>
  <c r="F11" i="4"/>
  <c r="M11" i="4" s="1"/>
  <c r="Q23" i="9" l="1"/>
  <c r="M23" i="9"/>
  <c r="R23" i="9"/>
  <c r="N23" i="9"/>
  <c r="D12" i="4"/>
  <c r="B12" i="4"/>
  <c r="C12" i="4"/>
  <c r="G30" i="1"/>
  <c r="I29" i="1"/>
  <c r="J29" i="1" s="1"/>
  <c r="M29" i="1" s="1"/>
  <c r="E12" i="4" l="1"/>
  <c r="L12" i="4" s="1"/>
  <c r="G31" i="1"/>
  <c r="I30" i="1"/>
  <c r="J30" i="1" s="1"/>
  <c r="M30" i="1" s="1"/>
  <c r="H12" i="4"/>
  <c r="K12" i="4" s="1"/>
  <c r="F12" i="4"/>
  <c r="M12" i="4" s="1"/>
  <c r="C13" i="4" l="1"/>
  <c r="B13" i="4"/>
  <c r="D13" i="4"/>
  <c r="G32" i="1"/>
  <c r="I31" i="1"/>
  <c r="J31" i="1" s="1"/>
  <c r="M31" i="1" s="1"/>
  <c r="G33" i="1" l="1"/>
  <c r="I32" i="1"/>
  <c r="J32" i="1" s="1"/>
  <c r="M32" i="1" s="1"/>
  <c r="F13" i="4"/>
  <c r="M13" i="4" s="1"/>
  <c r="H13" i="4"/>
  <c r="K13" i="4" s="1"/>
  <c r="E13" i="4"/>
  <c r="L13" i="4" s="1"/>
  <c r="C14" i="4" l="1"/>
  <c r="D14" i="4"/>
  <c r="B14" i="4"/>
  <c r="G34" i="1"/>
  <c r="I33" i="1"/>
  <c r="J33" i="1" s="1"/>
  <c r="M33" i="1" s="1"/>
  <c r="G35" i="1" l="1"/>
  <c r="I34" i="1"/>
  <c r="J34" i="1" s="1"/>
  <c r="M34" i="1" s="1"/>
  <c r="H14" i="4"/>
  <c r="K14" i="4" s="1"/>
  <c r="F14" i="4"/>
  <c r="M14" i="4" s="1"/>
  <c r="E14" i="4"/>
  <c r="L14" i="4" s="1"/>
  <c r="C15" i="4" l="1"/>
  <c r="B15" i="4"/>
  <c r="D15" i="4"/>
  <c r="G36" i="1"/>
  <c r="I35" i="1"/>
  <c r="J35" i="1" s="1"/>
  <c r="M35" i="1" s="1"/>
  <c r="F15" i="4" l="1"/>
  <c r="M15" i="4" s="1"/>
  <c r="H15" i="4"/>
  <c r="K15" i="4" s="1"/>
  <c r="G37" i="1"/>
  <c r="I36" i="1"/>
  <c r="J36" i="1" s="1"/>
  <c r="M36" i="1" s="1"/>
  <c r="E15" i="4"/>
  <c r="L15" i="4" s="1"/>
  <c r="C16" i="4" l="1"/>
  <c r="D16" i="4"/>
  <c r="B16" i="4"/>
  <c r="G38" i="1"/>
  <c r="I37" i="1"/>
  <c r="J37" i="1" s="1"/>
  <c r="M37" i="1" s="1"/>
  <c r="G39" i="1" l="1"/>
  <c r="I38" i="1"/>
  <c r="J38" i="1" s="1"/>
  <c r="M38" i="1" s="1"/>
  <c r="K16" i="4"/>
  <c r="C17" i="4" s="1"/>
  <c r="H16" i="4"/>
  <c r="F16" i="4"/>
  <c r="M16" i="4" s="1"/>
  <c r="E16" i="4"/>
  <c r="L16" i="4" s="1"/>
  <c r="D17" i="4" l="1"/>
  <c r="B17" i="4"/>
  <c r="I39" i="1"/>
  <c r="J39" i="1" s="1"/>
  <c r="M39" i="1" s="1"/>
  <c r="G40" i="1"/>
  <c r="G41" i="1" l="1"/>
  <c r="I40" i="1"/>
  <c r="J40" i="1" s="1"/>
  <c r="M40" i="1" s="1"/>
  <c r="H17" i="4"/>
  <c r="K17" i="4" s="1"/>
  <c r="F17" i="4"/>
  <c r="M17" i="4" s="1"/>
  <c r="E17" i="4"/>
  <c r="L17" i="4" s="1"/>
  <c r="C18" i="4" l="1"/>
  <c r="D18" i="4"/>
  <c r="B18" i="4"/>
  <c r="G42" i="1"/>
  <c r="I41" i="1"/>
  <c r="J41" i="1" s="1"/>
  <c r="M41" i="1" s="1"/>
  <c r="G43" i="1" l="1"/>
  <c r="I42" i="1"/>
  <c r="J42" i="1" s="1"/>
  <c r="M42" i="1" s="1"/>
  <c r="F18" i="4"/>
  <c r="M18" i="4" s="1"/>
  <c r="H18" i="4"/>
  <c r="K18" i="4"/>
  <c r="B19" i="4" s="1"/>
  <c r="E18" i="4"/>
  <c r="L18" i="4" s="1"/>
  <c r="C19" i="4"/>
  <c r="M43" i="1" l="1"/>
  <c r="D19" i="4"/>
  <c r="E19" i="4"/>
  <c r="L19" i="4" s="1"/>
  <c r="G44" i="1"/>
  <c r="I43" i="1"/>
  <c r="J43" i="1" s="1"/>
  <c r="M44" i="1" l="1"/>
  <c r="G45" i="1"/>
  <c r="I44" i="1"/>
  <c r="J44" i="1" s="1"/>
  <c r="F19" i="4"/>
  <c r="M19" i="4" s="1"/>
  <c r="H19" i="4"/>
  <c r="K19" i="4" s="1"/>
  <c r="D20" i="4" s="1"/>
  <c r="B20" i="4" l="1"/>
  <c r="F20" i="4" s="1"/>
  <c r="M20" i="4" s="1"/>
  <c r="C20" i="4"/>
  <c r="G46" i="1"/>
  <c r="I45" i="1"/>
  <c r="J45" i="1" s="1"/>
  <c r="M45" i="1" s="1"/>
  <c r="E20" i="4" l="1"/>
  <c r="L20" i="4" s="1"/>
  <c r="G47" i="1"/>
  <c r="I46" i="1"/>
  <c r="J46" i="1" s="1"/>
  <c r="M46" i="1" s="1"/>
  <c r="H20" i="4"/>
  <c r="K20" i="4" s="1"/>
  <c r="D21" i="4" l="1"/>
  <c r="C21" i="4"/>
  <c r="B21" i="4"/>
  <c r="G48" i="1"/>
  <c r="I47" i="1"/>
  <c r="J47" i="1" s="1"/>
  <c r="M47" i="1" s="1"/>
  <c r="E21" i="4" l="1"/>
  <c r="L21" i="4" s="1"/>
  <c r="G49" i="1"/>
  <c r="I48" i="1"/>
  <c r="J48" i="1" s="1"/>
  <c r="M48" i="1" s="1"/>
  <c r="F21" i="4"/>
  <c r="M21" i="4" s="1"/>
  <c r="H21" i="4"/>
  <c r="K21" i="4" s="1"/>
  <c r="C22" i="4" l="1"/>
  <c r="D22" i="4"/>
  <c r="B22" i="4"/>
  <c r="G50" i="1"/>
  <c r="I49" i="1"/>
  <c r="J49" i="1" s="1"/>
  <c r="M49" i="1" s="1"/>
  <c r="H22" i="4" l="1"/>
  <c r="K22" i="4" s="1"/>
  <c r="F22" i="4"/>
  <c r="M22" i="4" s="1"/>
  <c r="G51" i="1"/>
  <c r="I50" i="1"/>
  <c r="J50" i="1" s="1"/>
  <c r="M50" i="1" s="1"/>
  <c r="E22" i="4"/>
  <c r="L22" i="4" s="1"/>
  <c r="G52" i="1" l="1"/>
  <c r="I51" i="1"/>
  <c r="J51" i="1" s="1"/>
  <c r="M51" i="1" s="1"/>
  <c r="G53" i="1" l="1"/>
  <c r="I52" i="1"/>
  <c r="J52" i="1" s="1"/>
  <c r="M52" i="1" s="1"/>
  <c r="G54" i="1" l="1"/>
  <c r="I53" i="1"/>
  <c r="J53" i="1" s="1"/>
  <c r="M53" i="1" s="1"/>
  <c r="G55" i="1" l="1"/>
  <c r="I54" i="1"/>
  <c r="J54" i="1" s="1"/>
  <c r="M54" i="1" s="1"/>
  <c r="I55" i="1" l="1"/>
  <c r="J55" i="1" s="1"/>
  <c r="M55" i="1" s="1"/>
  <c r="G56" i="1"/>
  <c r="G57" i="1" l="1"/>
  <c r="I56" i="1"/>
  <c r="J56" i="1" s="1"/>
  <c r="M56" i="1" s="1"/>
  <c r="G58" i="1" l="1"/>
  <c r="I57" i="1"/>
  <c r="J57" i="1" s="1"/>
  <c r="M57" i="1" s="1"/>
  <c r="G59" i="1" l="1"/>
  <c r="I58" i="1"/>
  <c r="J58" i="1" s="1"/>
  <c r="M58" i="1" s="1"/>
  <c r="G60" i="1" l="1"/>
  <c r="I59" i="1"/>
  <c r="J59" i="1" s="1"/>
  <c r="M59" i="1" s="1"/>
  <c r="G61" i="1" l="1"/>
  <c r="I60" i="1"/>
  <c r="J60" i="1" s="1"/>
  <c r="M60" i="1" s="1"/>
  <c r="G62" i="1" l="1"/>
  <c r="I61" i="1"/>
  <c r="J61" i="1" s="1"/>
  <c r="M61" i="1" s="1"/>
  <c r="G63" i="1" l="1"/>
  <c r="I62" i="1"/>
  <c r="J62" i="1" s="1"/>
  <c r="M62" i="1" s="1"/>
  <c r="G64" i="1" l="1"/>
  <c r="I63" i="1"/>
  <c r="J63" i="1" s="1"/>
  <c r="M63" i="1" s="1"/>
  <c r="G65" i="1" l="1"/>
  <c r="I64" i="1"/>
  <c r="J64" i="1" s="1"/>
  <c r="M64" i="1" s="1"/>
  <c r="G66" i="1" l="1"/>
  <c r="I65" i="1"/>
  <c r="J65" i="1" s="1"/>
  <c r="M65" i="1" s="1"/>
  <c r="G67" i="1" l="1"/>
  <c r="I66" i="1"/>
  <c r="J66" i="1" s="1"/>
  <c r="M66" i="1" s="1"/>
  <c r="G68" i="1" l="1"/>
  <c r="I67" i="1"/>
  <c r="J67" i="1" s="1"/>
  <c r="M67" i="1" s="1"/>
  <c r="M68" i="1" l="1"/>
  <c r="G69" i="1"/>
  <c r="I68" i="1"/>
  <c r="J68" i="1" s="1"/>
  <c r="G70" i="1" l="1"/>
  <c r="I69" i="1"/>
  <c r="J69" i="1" s="1"/>
  <c r="M69" i="1" s="1"/>
  <c r="G71" i="1" l="1"/>
  <c r="I70" i="1"/>
  <c r="J70" i="1" s="1"/>
  <c r="M70" i="1" s="1"/>
  <c r="I71" i="1" l="1"/>
  <c r="J71" i="1" s="1"/>
  <c r="M71" i="1" s="1"/>
  <c r="G72" i="1"/>
  <c r="G73" i="1" l="1"/>
  <c r="I72" i="1"/>
  <c r="J72" i="1" s="1"/>
  <c r="M72" i="1" s="1"/>
  <c r="G74" i="1" l="1"/>
  <c r="I73" i="1"/>
  <c r="J73" i="1" s="1"/>
  <c r="M73" i="1" s="1"/>
  <c r="G75" i="1" l="1"/>
  <c r="I74" i="1"/>
  <c r="J74" i="1" s="1"/>
  <c r="M74" i="1" s="1"/>
  <c r="G76" i="1" l="1"/>
  <c r="I75" i="1"/>
  <c r="J75" i="1" s="1"/>
  <c r="M75" i="1" s="1"/>
  <c r="G77" i="1" l="1"/>
  <c r="I76" i="1"/>
  <c r="J76" i="1" s="1"/>
  <c r="M76" i="1" s="1"/>
  <c r="G78" i="1" l="1"/>
  <c r="I77" i="1"/>
  <c r="J77" i="1" s="1"/>
  <c r="M77" i="1" s="1"/>
  <c r="G79" i="1" l="1"/>
  <c r="I78" i="1"/>
  <c r="J78" i="1" s="1"/>
  <c r="M78" i="1" s="1"/>
  <c r="G80" i="1" l="1"/>
  <c r="I79" i="1"/>
  <c r="J79" i="1" s="1"/>
  <c r="M79" i="1" s="1"/>
  <c r="G81" i="1" l="1"/>
  <c r="I80" i="1"/>
  <c r="J80" i="1" s="1"/>
  <c r="M80" i="1" s="1"/>
  <c r="G82" i="1" l="1"/>
  <c r="I81" i="1"/>
  <c r="J81" i="1" s="1"/>
  <c r="M81" i="1" s="1"/>
  <c r="G83" i="1" l="1"/>
  <c r="I82" i="1"/>
  <c r="J82" i="1" s="1"/>
  <c r="M82" i="1" s="1"/>
  <c r="G84" i="1" l="1"/>
  <c r="I83" i="1"/>
  <c r="J83" i="1" s="1"/>
  <c r="M83" i="1" s="1"/>
  <c r="G85" i="1" l="1"/>
  <c r="I84" i="1"/>
  <c r="J84" i="1" s="1"/>
  <c r="M84" i="1" s="1"/>
  <c r="G86" i="1" l="1"/>
  <c r="I85" i="1"/>
  <c r="J85" i="1" s="1"/>
  <c r="M85" i="1" s="1"/>
  <c r="G87" i="1" l="1"/>
  <c r="I86" i="1"/>
  <c r="J86" i="1" s="1"/>
  <c r="M86" i="1" s="1"/>
  <c r="I87" i="1" l="1"/>
  <c r="J87" i="1" s="1"/>
  <c r="M87" i="1" s="1"/>
  <c r="G88" i="1"/>
  <c r="G89" i="1" l="1"/>
  <c r="I88" i="1"/>
  <c r="J88" i="1" s="1"/>
  <c r="M88" i="1" s="1"/>
  <c r="G90" i="1" l="1"/>
  <c r="I89" i="1"/>
  <c r="J89" i="1" s="1"/>
  <c r="M89" i="1" s="1"/>
  <c r="M90" i="1" l="1"/>
  <c r="G91" i="1"/>
  <c r="I90" i="1"/>
  <c r="J90" i="1" s="1"/>
  <c r="G92" i="1" l="1"/>
  <c r="I91" i="1"/>
  <c r="J91" i="1" s="1"/>
  <c r="M91" i="1" s="1"/>
  <c r="M92" i="1" l="1"/>
  <c r="G93" i="1"/>
  <c r="I92" i="1"/>
  <c r="J92" i="1" s="1"/>
  <c r="G94" i="1" l="1"/>
  <c r="I93" i="1"/>
  <c r="J93" i="1" s="1"/>
  <c r="M93" i="1" s="1"/>
  <c r="G95" i="1" l="1"/>
  <c r="I94" i="1"/>
  <c r="J94" i="1" s="1"/>
  <c r="M94" i="1" s="1"/>
  <c r="G96" i="1" l="1"/>
  <c r="I95" i="1"/>
  <c r="J95" i="1" s="1"/>
  <c r="M95" i="1" s="1"/>
  <c r="M96" i="1" l="1"/>
  <c r="G97" i="1"/>
  <c r="I96" i="1"/>
  <c r="J96" i="1" s="1"/>
  <c r="M97" i="1" l="1"/>
  <c r="G98" i="1"/>
  <c r="I97" i="1"/>
  <c r="J97" i="1" s="1"/>
  <c r="G99" i="1" l="1"/>
  <c r="I98" i="1"/>
  <c r="J98" i="1" s="1"/>
  <c r="M98" i="1"/>
  <c r="G100" i="1" l="1"/>
  <c r="I99" i="1"/>
  <c r="J99" i="1" s="1"/>
  <c r="M99" i="1" s="1"/>
  <c r="G101" i="1" l="1"/>
  <c r="I100" i="1"/>
  <c r="J100" i="1" s="1"/>
  <c r="M100" i="1" s="1"/>
  <c r="G102" i="1" l="1"/>
  <c r="I101" i="1"/>
  <c r="J101" i="1" s="1"/>
  <c r="M101" i="1" s="1"/>
  <c r="G103" i="1" l="1"/>
  <c r="I102" i="1"/>
  <c r="J102" i="1" s="1"/>
  <c r="M102" i="1" s="1"/>
  <c r="I103" i="1" l="1"/>
  <c r="J103" i="1" s="1"/>
  <c r="M103" i="1" s="1"/>
  <c r="G104" i="1"/>
  <c r="G105" i="1" l="1"/>
  <c r="I104" i="1"/>
  <c r="J104" i="1" s="1"/>
  <c r="M104" i="1" s="1"/>
  <c r="G106" i="1" l="1"/>
  <c r="I105" i="1"/>
  <c r="J105" i="1" s="1"/>
  <c r="M105" i="1" s="1"/>
  <c r="G107" i="1" l="1"/>
  <c r="I106" i="1"/>
  <c r="J106" i="1" s="1"/>
  <c r="M106" i="1" s="1"/>
  <c r="G108" i="1" l="1"/>
  <c r="I108" i="1" s="1"/>
  <c r="J108" i="1" s="1"/>
  <c r="I107" i="1"/>
  <c r="J107" i="1" s="1"/>
  <c r="M107" i="1" s="1"/>
  <c r="M108" i="1" s="1"/>
</calcChain>
</file>

<file path=xl/sharedStrings.xml><?xml version="1.0" encoding="utf-8"?>
<sst xmlns="http://schemas.openxmlformats.org/spreadsheetml/2006/main" count="1057" uniqueCount="376">
  <si>
    <t>Date</t>
  </si>
  <si>
    <t>Intellectualists</t>
  </si>
  <si>
    <t>Clerks</t>
  </si>
  <si>
    <t>Literacy</t>
  </si>
  <si>
    <t>Status</t>
  </si>
  <si>
    <t>Base Research Points</t>
  </si>
  <si>
    <t>Plurality</t>
  </si>
  <si>
    <t>Tech Modifier</t>
  </si>
  <si>
    <t>Total Research Points</t>
  </si>
  <si>
    <t>Yearly Research Points</t>
  </si>
  <si>
    <t>New Costs</t>
  </si>
  <si>
    <t>Leftover Tech Cost</t>
  </si>
  <si>
    <t>Great Power</t>
  </si>
  <si>
    <t>Total Tech Cost</t>
  </si>
  <si>
    <t>Name of period</t>
  </si>
  <si>
    <t>Amount</t>
  </si>
  <si>
    <t>Total Cost</t>
  </si>
  <si>
    <t>Total Technology Cost</t>
  </si>
  <si>
    <t>1830 first</t>
  </si>
  <si>
    <t>25 x 3600</t>
  </si>
  <si>
    <t>1830 second</t>
  </si>
  <si>
    <t>22 x 7200</t>
  </si>
  <si>
    <t>1830 third</t>
  </si>
  <si>
    <t>8 x 10800</t>
  </si>
  <si>
    <t>1840 second</t>
  </si>
  <si>
    <t>3 x 7200</t>
  </si>
  <si>
    <t>1840 third</t>
  </si>
  <si>
    <t>1 x 10800</t>
  </si>
  <si>
    <t>1848 third</t>
  </si>
  <si>
    <t>1850 third</t>
  </si>
  <si>
    <t>12 x 10800</t>
  </si>
  <si>
    <t>1850 fourth</t>
  </si>
  <si>
    <t>9 x 14400</t>
  </si>
  <si>
    <t>1855 third</t>
  </si>
  <si>
    <t>2 x 10800</t>
  </si>
  <si>
    <t>1860 third</t>
  </si>
  <si>
    <t>1870 fourth</t>
  </si>
  <si>
    <t>13 x 14400</t>
  </si>
  <si>
    <t>1870 fifth</t>
  </si>
  <si>
    <t>8 x 18000</t>
  </si>
  <si>
    <t>1872 fourth</t>
  </si>
  <si>
    <t>1 x 14400</t>
  </si>
  <si>
    <t>1875 fourth</t>
  </si>
  <si>
    <t>1880 fourth</t>
  </si>
  <si>
    <t>1880 fifth</t>
  </si>
  <si>
    <t>2 x 18000</t>
  </si>
  <si>
    <t>1890 fifth</t>
  </si>
  <si>
    <t>3 x 18000</t>
  </si>
  <si>
    <t>1895 fifth</t>
  </si>
  <si>
    <t>1 x 18000</t>
  </si>
  <si>
    <t>1898 fifth</t>
  </si>
  <si>
    <t>1900 fifth</t>
  </si>
  <si>
    <t>10 x 1800</t>
  </si>
  <si>
    <t>SUM</t>
  </si>
  <si>
    <t>1900 sixth</t>
  </si>
  <si>
    <t>11 x 21600</t>
  </si>
  <si>
    <t>1905 sixth</t>
  </si>
  <si>
    <t>1 x 21600</t>
  </si>
  <si>
    <t>No</t>
  </si>
  <si>
    <t>Inc. base techs?</t>
  </si>
  <si>
    <t>1910 sixth</t>
  </si>
  <si>
    <t>1914 sixth</t>
  </si>
  <si>
    <t>2 x 21600</t>
  </si>
  <si>
    <t>1915 sixth</t>
  </si>
  <si>
    <t>1919 sixth</t>
  </si>
  <si>
    <t>9 x 21600</t>
  </si>
  <si>
    <t>Tech Education Efficiency</t>
  </si>
  <si>
    <t>Reforms</t>
  </si>
  <si>
    <t>Literacy Change</t>
  </si>
  <si>
    <t>TEST</t>
  </si>
  <si>
    <t>POPs</t>
  </si>
  <si>
    <t>Intellectuals</t>
  </si>
  <si>
    <t>Bureaucrats</t>
  </si>
  <si>
    <t>Intellectuals %</t>
  </si>
  <si>
    <t>Bureaucrats %</t>
  </si>
  <si>
    <t>Administrative Efficiency</t>
  </si>
  <si>
    <t>Admin Eff. Bonus</t>
  </si>
  <si>
    <t>Reforms Taken</t>
  </si>
  <si>
    <t>Promotions</t>
  </si>
  <si>
    <t>To Intellectualists</t>
  </si>
  <si>
    <t>To Bureaucrats</t>
  </si>
  <si>
    <t>Slave State?</t>
  </si>
  <si>
    <t>Edu Spending</t>
  </si>
  <si>
    <t>Admin Spending</t>
  </si>
  <si>
    <t>Life Rating</t>
  </si>
  <si>
    <t>POP Growth</t>
  </si>
  <si>
    <t>Promotion - General</t>
  </si>
  <si>
    <t>Total Bonus</t>
  </si>
  <si>
    <t>Bonus</t>
  </si>
  <si>
    <t>Promotion - Intellectualists</t>
  </si>
  <si>
    <t>Promotion – Bureaucrats</t>
  </si>
  <si>
    <t>Intellectualists - MONEY</t>
  </si>
  <si>
    <t>Bureaucrats - MONEY</t>
  </si>
  <si>
    <t>Cash</t>
  </si>
  <si>
    <t>Treaty Port</t>
  </si>
  <si>
    <t>Provinces in state</t>
  </si>
  <si>
    <t>Terrain</t>
  </si>
  <si>
    <t>Infrastructure</t>
  </si>
  <si>
    <t>Naval Base</t>
  </si>
  <si>
    <t>Output</t>
  </si>
  <si>
    <t>Base Income</t>
  </si>
  <si>
    <t>Max Infrastructure</t>
  </si>
  <si>
    <t>Good Output</t>
  </si>
  <si>
    <t>Admin Efficiency</t>
  </si>
  <si>
    <t>Tax Efficiency</t>
  </si>
  <si>
    <t>Ningpo</t>
  </si>
  <si>
    <t>Shanghai</t>
  </si>
  <si>
    <t>Kashing</t>
  </si>
  <si>
    <t>Sanmen</t>
  </si>
  <si>
    <t>Cheju</t>
  </si>
  <si>
    <t>Zanzibar</t>
  </si>
  <si>
    <t>Old Tientsin</t>
  </si>
  <si>
    <t>Kwangchowan</t>
  </si>
  <si>
    <t>Lushun</t>
  </si>
  <si>
    <t>Muqdisho</t>
  </si>
  <si>
    <t>Sado</t>
  </si>
  <si>
    <t>Chusan Islands</t>
  </si>
  <si>
    <t>Macao</t>
  </si>
  <si>
    <t>Socotra</t>
  </si>
  <si>
    <t>Weihaiwei</t>
  </si>
  <si>
    <t>Tsingtao</t>
  </si>
  <si>
    <t>Brunei</t>
  </si>
  <si>
    <t>Barbara</t>
  </si>
  <si>
    <t>Sidi Infi</t>
  </si>
  <si>
    <t>Hong Kong</t>
  </si>
  <si>
    <t>Tsushima</t>
  </si>
  <si>
    <t>Oki Islands</t>
  </si>
  <si>
    <t>Gwadar</t>
  </si>
  <si>
    <t>Qeshm</t>
  </si>
  <si>
    <t>Tarfaya</t>
  </si>
  <si>
    <t>Juzur Khuriya Muriya</t>
  </si>
  <si>
    <t>Hainan</t>
  </si>
  <si>
    <t>al-Jazair</t>
  </si>
  <si>
    <t>Wahran</t>
  </si>
  <si>
    <t>Ennab</t>
  </si>
  <si>
    <t>Bijaya</t>
  </si>
  <si>
    <t>Taiwan</t>
  </si>
  <si>
    <t>RGO Name</t>
  </si>
  <si>
    <t>Value</t>
  </si>
  <si>
    <t>Price</t>
  </si>
  <si>
    <t>Price per boi</t>
  </si>
  <si>
    <t>£ Output</t>
  </si>
  <si>
    <t>Farming Output</t>
  </si>
  <si>
    <t>Mining Output</t>
  </si>
  <si>
    <t>Goods Output</t>
  </si>
  <si>
    <t>Goods Throughput</t>
  </si>
  <si>
    <t>Railroad lvl</t>
  </si>
  <si>
    <t>Terrain Modifier</t>
  </si>
  <si>
    <t>Gold</t>
  </si>
  <si>
    <t>Bida</t>
  </si>
  <si>
    <t>Precious Goods</t>
  </si>
  <si>
    <t>Base</t>
  </si>
  <si>
    <t>Gems</t>
  </si>
  <si>
    <t>Pearls</t>
  </si>
  <si>
    <t>Mercury</t>
  </si>
  <si>
    <t>Precious Metal</t>
  </si>
  <si>
    <t>Slave Trade</t>
  </si>
  <si>
    <t>Ivory</t>
  </si>
  <si>
    <t>Tropical Wood</t>
  </si>
  <si>
    <t>Sulphur</t>
  </si>
  <si>
    <t>Oil</t>
  </si>
  <si>
    <t>Wood</t>
  </si>
  <si>
    <t>Iron</t>
  </si>
  <si>
    <t>Coal</t>
  </si>
  <si>
    <t>Rubber</t>
  </si>
  <si>
    <t>Fruit</t>
  </si>
  <si>
    <t>Tea</t>
  </si>
  <si>
    <t>Grain</t>
  </si>
  <si>
    <t>Cotton</t>
  </si>
  <si>
    <t>Cattle</t>
  </si>
  <si>
    <t>Wool</t>
  </si>
  <si>
    <t>Sugar</t>
  </si>
  <si>
    <t>Fish</t>
  </si>
  <si>
    <t>Coffee</t>
  </si>
  <si>
    <t>Tobacco</t>
  </si>
  <si>
    <t>Dye</t>
  </si>
  <si>
    <t>Silk</t>
  </si>
  <si>
    <t>Opium</t>
  </si>
  <si>
    <t>POP</t>
  </si>
  <si>
    <t>Starting POP</t>
  </si>
  <si>
    <t>Attacker</t>
  </si>
  <si>
    <t>Modifier</t>
  </si>
  <si>
    <t>Mil. Tac.</t>
  </si>
  <si>
    <t>Fort lvl</t>
  </si>
  <si>
    <t>Siege</t>
  </si>
  <si>
    <t>Exp</t>
  </si>
  <si>
    <t>Roll</t>
  </si>
  <si>
    <t>Attacker Damage</t>
  </si>
  <si>
    <t>Real Stats</t>
  </si>
  <si>
    <t>Casualties</t>
  </si>
  <si>
    <t>Frontline Unit</t>
  </si>
  <si>
    <t>Frontline</t>
  </si>
  <si>
    <t>Backline</t>
  </si>
  <si>
    <t>Frontline Attack</t>
  </si>
  <si>
    <t>Attack</t>
  </si>
  <si>
    <t>Discipline</t>
  </si>
  <si>
    <t>Backline Unit</t>
  </si>
  <si>
    <t>Backline Attack</t>
  </si>
  <si>
    <t>Support</t>
  </si>
  <si>
    <t>Defender</t>
  </si>
  <si>
    <t>Defender Damage</t>
  </si>
  <si>
    <t>Frontline Defence</t>
  </si>
  <si>
    <t>Defence</t>
  </si>
  <si>
    <t>Backline Defence</t>
  </si>
  <si>
    <t>Dice</t>
  </si>
  <si>
    <t>Hull</t>
  </si>
  <si>
    <t>Experience</t>
  </si>
  <si>
    <t>Evasion</t>
  </si>
  <si>
    <t>Strength</t>
  </si>
  <si>
    <t>Org Damage</t>
  </si>
  <si>
    <t>Str Damage</t>
  </si>
  <si>
    <t>Base Stats</t>
  </si>
  <si>
    <t>No reforms</t>
  </si>
  <si>
    <t>Unciv Reforms</t>
  </si>
  <si>
    <t>Base Techs</t>
  </si>
  <si>
    <t>Tariff Efficiency</t>
  </si>
  <si>
    <t>RGO Output</t>
  </si>
  <si>
    <t>RGO Throughput</t>
  </si>
  <si>
    <t>Farm Size</t>
  </si>
  <si>
    <t>Mine Size</t>
  </si>
  <si>
    <t>Factory Input</t>
  </si>
  <si>
    <t>Factory Output</t>
  </si>
  <si>
    <t>Factory Throughput</t>
  </si>
  <si>
    <t>Factory Cost</t>
  </si>
  <si>
    <t>Mobilisation Impact</t>
  </si>
  <si>
    <t>Armies Supply Consumption</t>
  </si>
  <si>
    <t>Inventions</t>
  </si>
  <si>
    <t>Max Loan Amount</t>
  </si>
  <si>
    <t>Loan Interest</t>
  </si>
  <si>
    <t>Cotton Output</t>
  </si>
  <si>
    <t>Wool Output</t>
  </si>
  <si>
    <t>Silk Output</t>
  </si>
  <si>
    <t>Coal Output</t>
  </si>
  <si>
    <t>Coal Size</t>
  </si>
  <si>
    <t>Sulfur Output</t>
  </si>
  <si>
    <t>Sulfur Size</t>
  </si>
  <si>
    <t>Sulfur Throughput</t>
  </si>
  <si>
    <t>Iron Output</t>
  </si>
  <si>
    <t>Iron Size</t>
  </si>
  <si>
    <t>Wood Output</t>
  </si>
  <si>
    <t>Tropical Wood Output</t>
  </si>
  <si>
    <t>Sugar Output</t>
  </si>
  <si>
    <t>Rubber Output</t>
  </si>
  <si>
    <t>Oil Output</t>
  </si>
  <si>
    <t>Steel Output</t>
  </si>
  <si>
    <t>Cement Output</t>
  </si>
  <si>
    <t>Machine Parts Output</t>
  </si>
  <si>
    <t>Glass Output</t>
  </si>
  <si>
    <t>Fertilizer Output</t>
  </si>
  <si>
    <t>Explosives Output</t>
  </si>
  <si>
    <t>Clipper Convoys Throughput</t>
  </si>
  <si>
    <t>Streamer Convoys Throughput</t>
  </si>
  <si>
    <t>Fabric Output</t>
  </si>
  <si>
    <t>Fabric Throughput</t>
  </si>
  <si>
    <t>Lumber Output</t>
  </si>
  <si>
    <t>Fuel Output</t>
  </si>
  <si>
    <t>Electric Gear Output</t>
  </si>
  <si>
    <t>Paper Output</t>
  </si>
  <si>
    <t>Livestock Output</t>
  </si>
  <si>
    <t>Fish Output</t>
  </si>
  <si>
    <t>Fruit Output</t>
  </si>
  <si>
    <t>Grain Output</t>
  </si>
  <si>
    <t>Grain Throughput</t>
  </si>
  <si>
    <t>Tobacco Output</t>
  </si>
  <si>
    <t>Tea Output</t>
  </si>
  <si>
    <t>Coffee Output</t>
  </si>
  <si>
    <t>Opium Output</t>
  </si>
  <si>
    <t>Wine Output</t>
  </si>
  <si>
    <t>Beverages Output</t>
  </si>
  <si>
    <t>Beverages Throughput</t>
  </si>
  <si>
    <t>Regular Clothes Output</t>
  </si>
  <si>
    <t>Luxury Clothes Output</t>
  </si>
  <si>
    <t>Furniture Output</t>
  </si>
  <si>
    <t>Luxury Furniture</t>
  </si>
  <si>
    <t>Telephones Output</t>
  </si>
  <si>
    <t>Automobiles Output</t>
  </si>
  <si>
    <t>Radios Output</t>
  </si>
  <si>
    <t>Ammunition Output</t>
  </si>
  <si>
    <t>Small Arms Output</t>
  </si>
  <si>
    <t>Artillery Output</t>
  </si>
  <si>
    <t>Canned Food Output</t>
  </si>
  <si>
    <t>Aeroplanes Output</t>
  </si>
  <si>
    <t>Tanks Output</t>
  </si>
  <si>
    <t>Precious Goods Output</t>
  </si>
  <si>
    <t>Precious Goods Size</t>
  </si>
  <si>
    <t>Silver Output</t>
  </si>
  <si>
    <t>Gold Output</t>
  </si>
  <si>
    <t>Ivory Output</t>
  </si>
  <si>
    <t>Ivory Size</t>
  </si>
  <si>
    <t>Pearls Output</t>
  </si>
  <si>
    <t>Pearls Size</t>
  </si>
  <si>
    <t>Base Values</t>
  </si>
  <si>
    <t>No Reforms</t>
  </si>
  <si>
    <t>1830 2 row</t>
  </si>
  <si>
    <t>1830 all</t>
  </si>
  <si>
    <t>China</t>
  </si>
  <si>
    <t>Bavaria</t>
  </si>
  <si>
    <t>Darfur</t>
  </si>
  <si>
    <t>Egypt</t>
  </si>
  <si>
    <t>Nassau</t>
  </si>
  <si>
    <t>Russia</t>
  </si>
  <si>
    <t>France</t>
  </si>
  <si>
    <t>UK</t>
  </si>
  <si>
    <t>Soldier POPs</t>
  </si>
  <si>
    <t>Supply</t>
  </si>
  <si>
    <t>Score</t>
  </si>
  <si>
    <t>RGO</t>
  </si>
  <si>
    <t>Mobilization</t>
  </si>
  <si>
    <t>Mechanized Mining</t>
  </si>
  <si>
    <t>Distribution Channels</t>
  </si>
  <si>
    <t>Tractors</t>
  </si>
  <si>
    <t>RGO Size</t>
  </si>
  <si>
    <t>Type</t>
  </si>
  <si>
    <t>Mine</t>
  </si>
  <si>
    <t>Farm</t>
  </si>
  <si>
    <t>Sulfur</t>
  </si>
  <si>
    <t>Colony</t>
  </si>
  <si>
    <t>Total POPs</t>
  </si>
  <si>
    <t>%</t>
  </si>
  <si>
    <t>Income</t>
  </si>
  <si>
    <t>Icon</t>
  </si>
  <si>
    <t>Mean Good Value</t>
  </si>
  <si>
    <t>Base Price</t>
  </si>
  <si>
    <t>Min Price</t>
  </si>
  <si>
    <t>Max Price</t>
  </si>
  <si>
    <t>Niger</t>
  </si>
  <si>
    <t>Ayuru</t>
  </si>
  <si>
    <t>Gaweye</t>
  </si>
  <si>
    <t>Say</t>
  </si>
  <si>
    <t>Nakoni</t>
  </si>
  <si>
    <t>Tshibiri</t>
  </si>
  <si>
    <t>Zinder</t>
  </si>
  <si>
    <t>Kufe</t>
  </si>
  <si>
    <t>Agadez</t>
  </si>
  <si>
    <t>Njiekime</t>
  </si>
  <si>
    <t>Test</t>
  </si>
  <si>
    <t>Silver</t>
  </si>
  <si>
    <t>Timber</t>
  </si>
  <si>
    <t>Unlocked Ships</t>
  </si>
  <si>
    <t>Clipper Transport, Frigate, Man'o'war</t>
  </si>
  <si>
    <t>Navies Attack</t>
  </si>
  <si>
    <t>Navies Hull</t>
  </si>
  <si>
    <t>Navies Speed</t>
  </si>
  <si>
    <t>Navies Organization</t>
  </si>
  <si>
    <t>Navies Build Time</t>
  </si>
  <si>
    <t>Supply Range</t>
  </si>
  <si>
    <t>Navy Attrition</t>
  </si>
  <si>
    <t>Speed</t>
  </si>
  <si>
    <t>Firing Range</t>
  </si>
  <si>
    <t>Frigate</t>
  </si>
  <si>
    <t>Man'o'war</t>
  </si>
  <si>
    <t>Build Time</t>
  </si>
  <si>
    <t>Naval Attack</t>
  </si>
  <si>
    <t>Naval Defence</t>
  </si>
  <si>
    <t>Steam Transport, Steam Frigate</t>
  </si>
  <si>
    <t>Navy Starting XP</t>
  </si>
  <si>
    <t>Steam Transport</t>
  </si>
  <si>
    <t>Clipper Transport</t>
  </si>
  <si>
    <t>Steam Frigate</t>
  </si>
  <si>
    <t>Torpedo Attack</t>
  </si>
  <si>
    <t>Ironclad, Monitor</t>
  </si>
  <si>
    <t>Ironclad</t>
  </si>
  <si>
    <t>Monitor</t>
  </si>
  <si>
    <t>Battleship</t>
  </si>
  <si>
    <t>Submarine</t>
  </si>
  <si>
    <t>Dreadnought</t>
  </si>
  <si>
    <t>Cruiseer, Battleship</t>
  </si>
  <si>
    <t>Cruser</t>
  </si>
  <si>
    <t>Submarine, Dreadnought</t>
  </si>
  <si>
    <t>Cruiser</t>
  </si>
  <si>
    <t>ORG</t>
  </si>
  <si>
    <t>Rest</t>
  </si>
  <si>
    <t>Organisation</t>
  </si>
  <si>
    <t>Day</t>
  </si>
  <si>
    <t>Str</t>
  </si>
  <si>
    <t>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</si>
</sst>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#"/>
    <numFmt numFmtId="165" formatCode="0.0%"/>
    <numFmt numFmtId="166" formatCode="[$-415]#,##0"/>
    <numFmt numFmtId="167" formatCode="0.000"/>
    <numFmt numFmtId="168" formatCode="[$£-809]#,##0.00;[Red]\-[$£-809]#,##0.00"/>
    <numFmt numFmtId="169" formatCode="0.0"/>
    <numFmt numFmtId="170" formatCode="[$-415]General"/>
    <numFmt numFmtId="172" formatCode="_-* #,##0.00_-;\-* #,##0.00_-;_-* \-??_-;_-@_-"/>
    <numFmt numFmtId="173" formatCode="_-* #,##0_-;\-* #,##0_-;_-* \-??_-;_-@_-"/>
    <numFmt numFmtId="174" formatCode="0.0000000"/>
    <numFmt numFmtId="175" formatCode="0.0000E+00"/>
    <numFmt numFmtId="176" formatCode="[$-415]0.00%"/>
    <numFmt numFmtId="181" formatCode="0_ ;[Red]\-0\ "/>
  </numFmts>
  <fonts count="9">
    <font>
      <sz val="11"/>
      <color theme="1"/>
      <name val="Aptos Narrow"/>
      <family val="2"/>
      <charset val="238"/>
    </font>
    <font>
      <sz val="10"/>
      <name val="Arial"/>
      <charset val="238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  <font>
      <sz val="11"/>
      <color rgb="FF92D050"/>
      <name val="Aptos Narrow"/>
      <family val="2"/>
      <charset val="238"/>
    </font>
    <font>
      <sz val="11"/>
      <color rgb="FFFF0000"/>
      <name val="Aptos Narrow"/>
      <family val="2"/>
      <charset val="238"/>
    </font>
    <font>
      <sz val="11"/>
      <color theme="1"/>
      <name val="Apatros Narrow"/>
      <charset val="1"/>
    </font>
    <font>
      <sz val="11"/>
      <color theme="1"/>
      <name val="Aptos Narrow"/>
      <family val="2"/>
      <charset val="238"/>
    </font>
  </fonts>
  <fills count="25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0070C0"/>
        <bgColor rgb="FF008080"/>
      </patternFill>
    </fill>
    <fill>
      <patternFill patternType="solid">
        <fgColor rgb="FF2A6099"/>
        <bgColor rgb="FF0070C0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72" fontId="1" fillId="0" borderId="0" applyBorder="0" applyProtection="0"/>
    <xf numFmtId="9" fontId="8" fillId="0" borderId="0" applyBorder="0" applyProtection="0"/>
  </cellStyleXfs>
  <cellXfs count="110">
    <xf numFmtId="0" fontId="0" fillId="0" borderId="0" xfId="0"/>
    <xf numFmtId="1" fontId="0" fillId="0" borderId="1" xfId="0" applyNumberFormat="1" applyBorder="1" applyAlignment="1">
      <alignment horizontal="center" vertical="center"/>
    </xf>
    <xf numFmtId="1" fontId="8" fillId="0" borderId="1" xfId="2" applyNumberFormat="1" applyBorder="1" applyAlignment="1" applyProtection="1">
      <alignment horizontal="center" vertical="center"/>
    </xf>
    <xf numFmtId="9" fontId="8" fillId="0" borderId="1" xfId="2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9" fontId="2" fillId="0" borderId="0" xfId="2" applyFont="1" applyBorder="1" applyAlignment="1" applyProtection="1">
      <alignment horizontal="center" vertical="center"/>
    </xf>
    <xf numFmtId="3" fontId="2" fillId="0" borderId="0" xfId="0" applyNumberFormat="1" applyFont="1"/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0" fontId="2" fillId="0" borderId="0" xfId="2" applyNumberFormat="1" applyFont="1" applyBorder="1" applyAlignment="1" applyProtection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0" fontId="2" fillId="0" borderId="0" xfId="0" applyNumberFormat="1" applyFont="1"/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0" xfId="0" applyNumberFormat="1" applyFont="1"/>
    <xf numFmtId="0" fontId="3" fillId="0" borderId="0" xfId="0" applyFont="1" applyAlignment="1">
      <alignment horizontal="center" vertical="center"/>
    </xf>
    <xf numFmtId="3" fontId="2" fillId="0" borderId="0" xfId="2" applyNumberFormat="1" applyFont="1" applyBorder="1" applyAlignment="1" applyProtection="1">
      <alignment horizontal="center" vertical="center"/>
    </xf>
    <xf numFmtId="10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2" fillId="0" borderId="0" xfId="2" applyNumberFormat="1" applyFont="1" applyBorder="1" applyAlignment="1" applyProtection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horizontal="right"/>
    </xf>
    <xf numFmtId="0" fontId="2" fillId="3" borderId="0" xfId="0" applyFont="1" applyFill="1" applyAlignment="1">
      <alignment horizontal="center" vertical="center"/>
    </xf>
    <xf numFmtId="2" fontId="2" fillId="0" borderId="0" xfId="2" applyNumberFormat="1" applyFont="1" applyBorder="1" applyProtection="1"/>
    <xf numFmtId="9" fontId="2" fillId="0" borderId="0" xfId="2" applyFont="1" applyBorder="1" applyProtection="1"/>
    <xf numFmtId="1" fontId="2" fillId="0" borderId="0" xfId="2" applyNumberFormat="1" applyFont="1" applyBorder="1" applyAlignment="1" applyProtection="1">
      <alignment horizontal="center" vertical="center"/>
    </xf>
    <xf numFmtId="168" fontId="2" fillId="0" borderId="0" xfId="0" applyNumberFormat="1" applyFont="1"/>
    <xf numFmtId="0" fontId="2" fillId="0" borderId="0" xfId="0" applyFont="1" applyAlignment="1">
      <alignment horizontal="center"/>
    </xf>
    <xf numFmtId="4" fontId="2" fillId="0" borderId="0" xfId="0" applyNumberFormat="1" applyFont="1"/>
    <xf numFmtId="169" fontId="2" fillId="0" borderId="0" xfId="0" applyNumberFormat="1" applyFont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8" fillId="0" borderId="1" xfId="2" applyBorder="1" applyAlignment="1" applyProtection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8" fillId="0" borderId="0" xfId="2" applyBorder="1" applyAlignment="1" applyProtection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9" fontId="8" fillId="0" borderId="0" xfId="2" applyBorder="1" applyProtection="1"/>
    <xf numFmtId="10" fontId="0" fillId="0" borderId="0" xfId="0" applyNumberFormat="1"/>
    <xf numFmtId="10" fontId="8" fillId="0" borderId="0" xfId="2" applyNumberFormat="1" applyBorder="1" applyProtection="1"/>
    <xf numFmtId="1" fontId="0" fillId="0" borderId="0" xfId="0" applyNumberFormat="1"/>
    <xf numFmtId="165" fontId="8" fillId="0" borderId="0" xfId="2" applyNumberFormat="1" applyBorder="1" applyProtection="1"/>
    <xf numFmtId="0" fontId="8" fillId="4" borderId="0" xfId="2" applyNumberFormat="1" applyFill="1" applyBorder="1" applyProtection="1"/>
    <xf numFmtId="0" fontId="8" fillId="0" borderId="0" xfId="2" applyNumberFormat="1" applyBorder="1" applyProtection="1"/>
    <xf numFmtId="0" fontId="1" fillId="0" borderId="0" xfId="1" applyNumberFormat="1" applyBorder="1" applyProtection="1"/>
    <xf numFmtId="173" fontId="1" fillId="0" borderId="0" xfId="1" applyNumberFormat="1" applyBorder="1" applyProtection="1"/>
    <xf numFmtId="1" fontId="8" fillId="0" borderId="0" xfId="2" applyNumberFormat="1" applyBorder="1" applyProtection="1"/>
    <xf numFmtId="9" fontId="0" fillId="0" borderId="0" xfId="0" applyNumberFormat="1"/>
    <xf numFmtId="10" fontId="0" fillId="0" borderId="0" xfId="0" applyNumberFormat="1" applyAlignment="1">
      <alignment horizontal="center" vertical="center"/>
    </xf>
    <xf numFmtId="174" fontId="0" fillId="0" borderId="0" xfId="0" applyNumberFormat="1"/>
    <xf numFmtId="166" fontId="0" fillId="0" borderId="0" xfId="0" applyNumberFormat="1" applyAlignment="1">
      <alignment horizontal="center" vertical="center"/>
    </xf>
    <xf numFmtId="10" fontId="8" fillId="0" borderId="0" xfId="2" applyNumberFormat="1" applyBorder="1" applyAlignment="1" applyProtection="1">
      <alignment horizontal="center" vertical="center"/>
    </xf>
    <xf numFmtId="175" fontId="0" fillId="0" borderId="0" xfId="0" applyNumberFormat="1"/>
    <xf numFmtId="0" fontId="0" fillId="0" borderId="0" xfId="0" applyAlignment="1">
      <alignment horizontal="center" vertical="top"/>
    </xf>
    <xf numFmtId="9" fontId="8" fillId="0" borderId="0" xfId="2" applyBorder="1" applyAlignment="1" applyProtection="1">
      <alignment horizontal="center" vertical="top"/>
    </xf>
    <xf numFmtId="0" fontId="7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/>
    <xf numFmtId="166" fontId="0" fillId="6" borderId="0" xfId="0" applyNumberFormat="1" applyFill="1"/>
    <xf numFmtId="176" fontId="0" fillId="6" borderId="0" xfId="0" applyNumberFormat="1" applyFill="1"/>
    <xf numFmtId="168" fontId="0" fillId="6" borderId="0" xfId="0" applyNumberFormat="1" applyFill="1"/>
    <xf numFmtId="0" fontId="0" fillId="7" borderId="0" xfId="0" applyFill="1"/>
    <xf numFmtId="166" fontId="0" fillId="7" borderId="0" xfId="0" applyNumberFormat="1" applyFill="1"/>
    <xf numFmtId="10" fontId="0" fillId="7" borderId="0" xfId="0" applyNumberFormat="1" applyFill="1"/>
    <xf numFmtId="0" fontId="0" fillId="7" borderId="0" xfId="0" applyFill="1" applyAlignment="1">
      <alignment horizontal="center"/>
    </xf>
    <xf numFmtId="168" fontId="0" fillId="7" borderId="0" xfId="0" applyNumberFormat="1" applyFill="1"/>
    <xf numFmtId="168" fontId="0" fillId="0" borderId="0" xfId="0" applyNumberFormat="1"/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9" fontId="8" fillId="0" borderId="0" xfId="2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8" fillId="0" borderId="0" xfId="2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8" fillId="11" borderId="0" xfId="2" applyFill="1" applyAlignment="1">
      <alignment horizontal="center" vertical="center"/>
    </xf>
    <xf numFmtId="165" fontId="8" fillId="0" borderId="0" xfId="2" applyNumberFormat="1" applyAlignment="1">
      <alignment horizontal="center" vertic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18" borderId="0" xfId="0" applyFill="1" applyAlignment="1">
      <alignment horizontal="center"/>
    </xf>
    <xf numFmtId="165" fontId="0" fillId="13" borderId="0" xfId="2" applyNumberFormat="1" applyFont="1" applyFill="1" applyAlignment="1">
      <alignment horizontal="center" vertical="center"/>
    </xf>
    <xf numFmtId="165" fontId="0" fillId="15" borderId="0" xfId="2" applyNumberFormat="1" applyFont="1" applyFill="1" applyAlignment="1">
      <alignment horizontal="center" vertical="center"/>
    </xf>
    <xf numFmtId="165" fontId="0" fillId="20" borderId="0" xfId="2" applyNumberFormat="1" applyFont="1" applyFill="1" applyAlignment="1">
      <alignment horizontal="center" vertical="center"/>
    </xf>
    <xf numFmtId="165" fontId="0" fillId="16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0" fontId="0" fillId="21" borderId="0" xfId="0" applyFill="1" applyAlignment="1">
      <alignment horizontal="center" vertical="center" wrapText="1"/>
    </xf>
    <xf numFmtId="0" fontId="0" fillId="22" borderId="0" xfId="0" applyFill="1" applyAlignment="1">
      <alignment horizontal="center" vertical="center"/>
    </xf>
    <xf numFmtId="9" fontId="8" fillId="22" borderId="0" xfId="2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181" fontId="0" fillId="21" borderId="0" xfId="0" applyNumberFormat="1" applyFill="1" applyAlignment="1">
      <alignment horizontal="center" vertical="center"/>
    </xf>
    <xf numFmtId="1" fontId="8" fillId="21" borderId="0" xfId="2" applyNumberFormat="1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4" borderId="0" xfId="0" applyFill="1" applyAlignment="1">
      <alignment horizontal="center" vertical="center"/>
    </xf>
  </cellXfs>
  <cellStyles count="3">
    <cellStyle name="Dziesiętny" xfId="1" builtinId="3"/>
    <cellStyle name="Normalny" xfId="0" builtinId="0"/>
    <cellStyle name="Procentowy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6099"/>
      <rgbColor rgb="FF33CCCC"/>
      <rgbColor rgb="FF92D050"/>
      <rgbColor rgb="FFFFCC00"/>
      <rgbColor rgb="FFFF9900"/>
      <rgbColor rgb="FFFF6600"/>
      <rgbColor rgb="FF5983B0"/>
      <rgbColor rgb="FFB3B3B3"/>
      <rgbColor rgb="FF00458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Graph'!$L$2:$L$108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243103.66250000001</c:v>
                </c:pt>
                <c:pt idx="1">
                  <c:v>239922.76424744001</c:v>
                </c:pt>
                <c:pt idx="2">
                  <c:v>236680.9978182567</c:v>
                </c:pt>
                <c:pt idx="3">
                  <c:v>233377.33246684316</c:v>
                </c:pt>
                <c:pt idx="4">
                  <c:v>230010.73567097812</c:v>
                </c:pt>
                <c:pt idx="5">
                  <c:v>226580.17314248558</c:v>
                </c:pt>
                <c:pt idx="6">
                  <c:v>223084.60883783066</c:v>
                </c:pt>
                <c:pt idx="7">
                  <c:v>219523.00496865169</c:v>
                </c:pt>
                <c:pt idx="8">
                  <c:v>215894.32201222912</c:v>
                </c:pt>
                <c:pt idx="9">
                  <c:v>212197.51872189174</c:v>
                </c:pt>
                <c:pt idx="10">
                  <c:v>239751.09237236038</c:v>
                </c:pt>
                <c:pt idx="11">
                  <c:v>234814.87033361956</c:v>
                </c:pt>
                <c:pt idx="12">
                  <c:v>229787.79938334582</c:v>
                </c:pt>
                <c:pt idx="13">
                  <c:v>223704.18024646174</c:v>
                </c:pt>
                <c:pt idx="14">
                  <c:v>217559.28253459246</c:v>
                </c:pt>
                <c:pt idx="15">
                  <c:v>211404.2285940233</c:v>
                </c:pt>
                <c:pt idx="16">
                  <c:v>205238.13377615932</c:v>
                </c:pt>
                <c:pt idx="17">
                  <c:v>199060.10942582419</c:v>
                </c:pt>
                <c:pt idx="18">
                  <c:v>203604.46290529965</c:v>
                </c:pt>
                <c:pt idx="19">
                  <c:v>197335.4864182208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432999.91185481544</c:v>
                </c:pt>
                <c:pt idx="23">
                  <c:v>425137.19630729989</c:v>
                </c:pt>
                <c:pt idx="24">
                  <c:v>417261.5722385163</c:v>
                </c:pt>
                <c:pt idx="25">
                  <c:v>430842.32494546118</c:v>
                </c:pt>
                <c:pt idx="26">
                  <c:v>422807.5910078907</c:v>
                </c:pt>
                <c:pt idx="27">
                  <c:v>414749.25428526063</c:v>
                </c:pt>
                <c:pt idx="28">
                  <c:v>406665.93836959865</c:v>
                </c:pt>
                <c:pt idx="29">
                  <c:v>398556.26141830895</c:v>
                </c:pt>
                <c:pt idx="30">
                  <c:v>401154.03618677991</c:v>
                </c:pt>
                <c:pt idx="31">
                  <c:v>391816.10502611619</c:v>
                </c:pt>
                <c:pt idx="32">
                  <c:v>382444.07703576447</c:v>
                </c:pt>
                <c:pt idx="33">
                  <c:v>373036.35635242349</c:v>
                </c:pt>
                <c:pt idx="34">
                  <c:v>363587.95966518507</c:v>
                </c:pt>
                <c:pt idx="35">
                  <c:v>354097.20143040887</c:v>
                </c:pt>
                <c:pt idx="36">
                  <c:v>344562.39172853617</c:v>
                </c:pt>
                <c:pt idx="37">
                  <c:v>334981.83629034547</c:v>
                </c:pt>
                <c:pt idx="38">
                  <c:v>325353.83652305033</c:v>
                </c:pt>
                <c:pt idx="39">
                  <c:v>315676.689536241</c:v>
                </c:pt>
                <c:pt idx="40">
                  <c:v>635161.48816766997</c:v>
                </c:pt>
                <c:pt idx="41">
                  <c:v>620948.86696448305</c:v>
                </c:pt>
                <c:pt idx="42">
                  <c:v>620992.73487324151</c:v>
                </c:pt>
                <c:pt idx="43">
                  <c:v>606577.78815103252</c:v>
                </c:pt>
                <c:pt idx="44">
                  <c:v>592101.79999016621</c:v>
                </c:pt>
                <c:pt idx="45">
                  <c:v>591876.14205656445</c:v>
                </c:pt>
                <c:pt idx="46">
                  <c:v>577185.50289891881</c:v>
                </c:pt>
                <c:pt idx="47">
                  <c:v>562427.64804739435</c:v>
                </c:pt>
                <c:pt idx="48">
                  <c:v>547600.3415517403</c:v>
                </c:pt>
                <c:pt idx="49">
                  <c:v>532701.34599017329</c:v>
                </c:pt>
                <c:pt idx="50">
                  <c:v>567826.02247820562</c:v>
                </c:pt>
                <c:pt idx="51">
                  <c:v>549727.09985046205</c:v>
                </c:pt>
                <c:pt idx="52">
                  <c:v>531536.05924436531</c:v>
                </c:pt>
                <c:pt idx="53">
                  <c:v>513250.27446111885</c:v>
                </c:pt>
                <c:pt idx="54">
                  <c:v>494854.48114857549</c:v>
                </c:pt>
                <c:pt idx="55">
                  <c:v>476345.87950444885</c:v>
                </c:pt>
                <c:pt idx="56">
                  <c:v>457721.67044386844</c:v>
                </c:pt>
                <c:pt idx="57">
                  <c:v>438979.0555950753</c:v>
                </c:pt>
                <c:pt idx="58">
                  <c:v>420115.23729514325</c:v>
                </c:pt>
                <c:pt idx="59">
                  <c:v>401127.41858572589</c:v>
                </c:pt>
                <c:pt idx="60">
                  <c:v>435688.80320882914</c:v>
                </c:pt>
                <c:pt idx="61">
                  <c:v>416122.53960260912</c:v>
                </c:pt>
                <c:pt idx="62">
                  <c:v>396428.56579174631</c:v>
                </c:pt>
                <c:pt idx="63">
                  <c:v>376606.82017277309</c:v>
                </c:pt>
                <c:pt idx="64">
                  <c:v>356657.2415118427</c:v>
                </c:pt>
                <c:pt idx="65">
                  <c:v>354471.76894251141</c:v>
                </c:pt>
                <c:pt idx="66">
                  <c:v>334172.20649577637</c:v>
                </c:pt>
                <c:pt idx="67">
                  <c:v>313781.00755692169</c:v>
                </c:pt>
                <c:pt idx="68">
                  <c:v>311190.72194490017</c:v>
                </c:pt>
                <c:pt idx="69">
                  <c:v>290576.27788823075</c:v>
                </c:pt>
                <c:pt idx="70">
                  <c:v>524131.96594590141</c:v>
                </c:pt>
                <c:pt idx="71">
                  <c:v>498784.10917522595</c:v>
                </c:pt>
                <c:pt idx="72">
                  <c:v>473564.75689517462</c:v>
                </c:pt>
                <c:pt idx="73">
                  <c:v>448473.1380788036</c:v>
                </c:pt>
                <c:pt idx="74">
                  <c:v>423508.48632533074</c:v>
                </c:pt>
                <c:pt idx="75">
                  <c:v>420140.43983237876</c:v>
                </c:pt>
                <c:pt idx="76">
                  <c:v>395298.61896838446</c:v>
                </c:pt>
                <c:pt idx="77">
                  <c:v>370582.26637957414</c:v>
                </c:pt>
                <c:pt idx="78">
                  <c:v>345990.62925629673</c:v>
                </c:pt>
                <c:pt idx="79">
                  <c:v>321522.95930575894</c:v>
                </c:pt>
                <c:pt idx="80">
                  <c:v>318648.91272492439</c:v>
                </c:pt>
                <c:pt idx="81">
                  <c:v>294298.12777357484</c:v>
                </c:pt>
                <c:pt idx="82">
                  <c:v>270069.86488193338</c:v>
                </c:pt>
                <c:pt idx="83">
                  <c:v>245963.38891764177</c:v>
                </c:pt>
                <c:pt idx="84">
                  <c:v>264918.76915913593</c:v>
                </c:pt>
                <c:pt idx="85">
                  <c:v>262266.43446918111</c:v>
                </c:pt>
                <c:pt idx="86">
                  <c:v>238136.03113736602</c:v>
                </c:pt>
                <c:pt idx="87">
                  <c:v>214126.82757554183</c:v>
                </c:pt>
                <c:pt idx="88">
                  <c:v>190238.09658508858</c:v>
                </c:pt>
                <c:pt idx="89">
                  <c:v>359702.71533057804</c:v>
                </c:pt>
                <c:pt idx="90">
                  <c:v>334893.36371359456</c:v>
                </c:pt>
                <c:pt idx="91">
                  <c:v>310209.28555631294</c:v>
                </c:pt>
                <c:pt idx="92">
                  <c:v>285649.72921797505</c:v>
                </c:pt>
                <c:pt idx="93">
                  <c:v>261213.94756766723</c:v>
                </c:pt>
                <c:pt idx="94">
                  <c:v>236901.1979572612</c:v>
                </c:pt>
                <c:pt idx="95">
                  <c:v>212710.74219451763</c:v>
                </c:pt>
                <c:pt idx="96">
                  <c:v>188641.84651635052</c:v>
                </c:pt>
                <c:pt idx="97">
                  <c:v>164693.78156225241</c:v>
                </c:pt>
                <c:pt idx="98">
                  <c:v>140865.82234787889</c:v>
                </c:pt>
                <c:pt idx="99">
                  <c:v>117157.24823879161</c:v>
                </c:pt>
                <c:pt idx="100">
                  <c:v>93567.342924358862</c:v>
                </c:pt>
                <c:pt idx="101">
                  <c:v>70095.394391812704</c:v>
                </c:pt>
                <c:pt idx="102">
                  <c:v>46740.694900461829</c:v>
                </c:pt>
                <c:pt idx="103">
                  <c:v>23502.54095605906</c:v>
                </c:pt>
                <c:pt idx="104">
                  <c:v>380.23328532270097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66-4915-991E-3D77B1F12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735877"/>
        <c:axId val="74063906"/>
      </c:lineChart>
      <c:catAx>
        <c:axId val="467358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74063906"/>
        <c:crosses val="autoZero"/>
        <c:auto val="1"/>
        <c:lblAlgn val="ctr"/>
        <c:lblOffset val="100"/>
        <c:noMultiLvlLbl val="0"/>
      </c:catAx>
      <c:valAx>
        <c:axId val="740639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467358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title>
      <c:tx>
        <c:rich>
          <a:bodyPr rot="0"/>
          <a:lstStyle/>
          <a:p>
            <a:pPr>
              <a:defRPr lang="pl-PL" sz="1300" b="0" strike="noStrike" spc="-1">
                <a:solidFill>
                  <a:srgbClr val="000000"/>
                </a:solidFill>
                <a:latin typeface="Arial"/>
              </a:defRPr>
            </a:pPr>
            <a:r>
              <a:rPr lang="pl-PL" sz="1300" b="0" strike="noStrike" spc="-1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Cost'!$A$2:$A$108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Cost'!$B$2:$B$108</c:f>
              <c:numCache>
                <c:formatCode>#\ 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7-4D29-AE47-078F804B7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6097077"/>
        <c:axId val="53499181"/>
      </c:lineChart>
      <c:catAx>
        <c:axId val="960970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53499181"/>
        <c:crosses val="autoZero"/>
        <c:auto val="1"/>
        <c:lblAlgn val="ctr"/>
        <c:lblOffset val="100"/>
        <c:noMultiLvlLbl val="0"/>
      </c:catAx>
      <c:valAx>
        <c:axId val="534991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960970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'POP Growth'!$A$2:$A$108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'POP Growth'!$B$2:$B$108</c:f>
              <c:numCache>
                <c:formatCode>[$-415]#\ ##0</c:formatCode>
                <c:ptCount val="107"/>
                <c:pt idx="0">
                  <c:v>452530</c:v>
                </c:pt>
                <c:pt idx="1">
                  <c:v>452575.25299999997</c:v>
                </c:pt>
                <c:pt idx="2">
                  <c:v>452620.51052529993</c:v>
                </c:pt>
                <c:pt idx="3">
                  <c:v>452665.77257635246</c:v>
                </c:pt>
                <c:pt idx="4">
                  <c:v>452711.03915361012</c:v>
                </c:pt>
                <c:pt idx="5">
                  <c:v>452801.58136144083</c:v>
                </c:pt>
                <c:pt idx="6">
                  <c:v>452892.14167771308</c:v>
                </c:pt>
                <c:pt idx="7">
                  <c:v>453028.00932021637</c:v>
                </c:pt>
                <c:pt idx="8">
                  <c:v>453209.22052394442</c:v>
                </c:pt>
                <c:pt idx="9">
                  <c:v>453435.82513420639</c:v>
                </c:pt>
                <c:pt idx="10">
                  <c:v>453662.54304677347</c:v>
                </c:pt>
                <c:pt idx="11">
                  <c:v>453934.7405726015</c:v>
                </c:pt>
                <c:pt idx="12">
                  <c:v>454207.10141694505</c:v>
                </c:pt>
                <c:pt idx="13">
                  <c:v>454479.62567779521</c:v>
                </c:pt>
                <c:pt idx="14">
                  <c:v>454752.31345320184</c:v>
                </c:pt>
                <c:pt idx="15">
                  <c:v>455025.16484127374</c:v>
                </c:pt>
                <c:pt idx="16">
                  <c:v>455298.17994017847</c:v>
                </c:pt>
                <c:pt idx="17">
                  <c:v>455571.35884814255</c:v>
                </c:pt>
                <c:pt idx="18">
                  <c:v>455844.70166345139</c:v>
                </c:pt>
                <c:pt idx="19">
                  <c:v>456118.20848444942</c:v>
                </c:pt>
                <c:pt idx="20">
                  <c:v>456391.87940954004</c:v>
                </c:pt>
                <c:pt idx="21">
                  <c:v>456665.71453718573</c:v>
                </c:pt>
                <c:pt idx="22">
                  <c:v>456939.71396590804</c:v>
                </c:pt>
                <c:pt idx="23">
                  <c:v>457213.87779428757</c:v>
                </c:pt>
                <c:pt idx="24">
                  <c:v>457488.20612096414</c:v>
                </c:pt>
                <c:pt idx="25">
                  <c:v>457762.69904463668</c:v>
                </c:pt>
                <c:pt idx="26">
                  <c:v>458037.35666406341</c:v>
                </c:pt>
                <c:pt idx="27">
                  <c:v>458312.17907806183</c:v>
                </c:pt>
                <c:pt idx="28">
                  <c:v>458587.16638550867</c:v>
                </c:pt>
                <c:pt idx="29">
                  <c:v>458862.31868533994</c:v>
                </c:pt>
                <c:pt idx="30">
                  <c:v>459137.63607655111</c:v>
                </c:pt>
                <c:pt idx="31">
                  <c:v>459413.118658197</c:v>
                </c:pt>
                <c:pt idx="32">
                  <c:v>459688.76652939187</c:v>
                </c:pt>
                <c:pt idx="33">
                  <c:v>459964.57978930947</c:v>
                </c:pt>
                <c:pt idx="34">
                  <c:v>460240.55853718304</c:v>
                </c:pt>
                <c:pt idx="35">
                  <c:v>460516.70287230529</c:v>
                </c:pt>
                <c:pt idx="36">
                  <c:v>460793.01289402862</c:v>
                </c:pt>
                <c:pt idx="37">
                  <c:v>461069.48870176502</c:v>
                </c:pt>
                <c:pt idx="38">
                  <c:v>461346.13039498607</c:v>
                </c:pt>
                <c:pt idx="39">
                  <c:v>461622.93807322305</c:v>
                </c:pt>
                <c:pt idx="40">
                  <c:v>461899.91183606692</c:v>
                </c:pt>
                <c:pt idx="41">
                  <c:v>462177.05178316851</c:v>
                </c:pt>
                <c:pt idx="42">
                  <c:v>462454.35801423836</c:v>
                </c:pt>
                <c:pt idx="43">
                  <c:v>462731.83062904689</c:v>
                </c:pt>
                <c:pt idx="44">
                  <c:v>463009.46972742426</c:v>
                </c:pt>
                <c:pt idx="45">
                  <c:v>463333.57635623345</c:v>
                </c:pt>
                <c:pt idx="46">
                  <c:v>463657.90985968278</c:v>
                </c:pt>
                <c:pt idx="47">
                  <c:v>463982.47039658454</c:v>
                </c:pt>
                <c:pt idx="48">
                  <c:v>464307.25812586211</c:v>
                </c:pt>
                <c:pt idx="49">
                  <c:v>464632.27320655016</c:v>
                </c:pt>
                <c:pt idx="50">
                  <c:v>464957.51579779474</c:v>
                </c:pt>
                <c:pt idx="51">
                  <c:v>465282.98605885316</c:v>
                </c:pt>
                <c:pt idx="52">
                  <c:v>465608.68414909433</c:v>
                </c:pt>
                <c:pt idx="53">
                  <c:v>465934.61022799864</c:v>
                </c:pt>
                <c:pt idx="54">
                  <c:v>466260.76445515821</c:v>
                </c:pt>
                <c:pt idx="55">
                  <c:v>466587.14699027676</c:v>
                </c:pt>
                <c:pt idx="56">
                  <c:v>466913.75799316989</c:v>
                </c:pt>
                <c:pt idx="57">
                  <c:v>467240.59762376506</c:v>
                </c:pt>
                <c:pt idx="58">
                  <c:v>467567.66604210169</c:v>
                </c:pt>
                <c:pt idx="59">
                  <c:v>467894.9634083311</c:v>
                </c:pt>
                <c:pt idx="60">
                  <c:v>468222.48988271691</c:v>
                </c:pt>
                <c:pt idx="61">
                  <c:v>468550.24562563479</c:v>
                </c:pt>
                <c:pt idx="62">
                  <c:v>468878.2307975727</c:v>
                </c:pt>
                <c:pt idx="63">
                  <c:v>469206.44555913098</c:v>
                </c:pt>
                <c:pt idx="64">
                  <c:v>469534.89007102232</c:v>
                </c:pt>
                <c:pt idx="65">
                  <c:v>469863.56449407199</c:v>
                </c:pt>
                <c:pt idx="66">
                  <c:v>470192.46898921783</c:v>
                </c:pt>
                <c:pt idx="67">
                  <c:v>470521.60371751024</c:v>
                </c:pt>
                <c:pt idx="68">
                  <c:v>470850.96884011244</c:v>
                </c:pt>
                <c:pt idx="69">
                  <c:v>471180.56451830047</c:v>
                </c:pt>
                <c:pt idx="70">
                  <c:v>471510.39091346326</c:v>
                </c:pt>
                <c:pt idx="71">
                  <c:v>471840.44818710262</c:v>
                </c:pt>
                <c:pt idx="72">
                  <c:v>472170.73650083353</c:v>
                </c:pt>
                <c:pt idx="73">
                  <c:v>472501.25601638405</c:v>
                </c:pt>
                <c:pt idx="74">
                  <c:v>472832.00689559546</c:v>
                </c:pt>
                <c:pt idx="75">
                  <c:v>473162.98930042237</c:v>
                </c:pt>
                <c:pt idx="76">
                  <c:v>473494.20339293266</c:v>
                </c:pt>
                <c:pt idx="77">
                  <c:v>473825.64933530765</c:v>
                </c:pt>
                <c:pt idx="78">
                  <c:v>474157.3272898423</c:v>
                </c:pt>
                <c:pt idx="79">
                  <c:v>474536.65315167414</c:v>
                </c:pt>
                <c:pt idx="80">
                  <c:v>474916.28247419541</c:v>
                </c:pt>
                <c:pt idx="81">
                  <c:v>475296.21550017473</c:v>
                </c:pt>
                <c:pt idx="82">
                  <c:v>475676.45247257483</c:v>
                </c:pt>
                <c:pt idx="83">
                  <c:v>476104.56127980008</c:v>
                </c:pt>
                <c:pt idx="84">
                  <c:v>476533.05538495188</c:v>
                </c:pt>
                <c:pt idx="85">
                  <c:v>476961.93513479829</c:v>
                </c:pt>
                <c:pt idx="86">
                  <c:v>477391.20087641955</c:v>
                </c:pt>
                <c:pt idx="87">
                  <c:v>477820.85295720829</c:v>
                </c:pt>
                <c:pt idx="88">
                  <c:v>478250.89172486973</c:v>
                </c:pt>
                <c:pt idx="89">
                  <c:v>478681.31752742204</c:v>
                </c:pt>
                <c:pt idx="90">
                  <c:v>479112.13071319665</c:v>
                </c:pt>
                <c:pt idx="91">
                  <c:v>479543.33163083845</c:v>
                </c:pt>
                <c:pt idx="92">
                  <c:v>479974.92062930617</c:v>
                </c:pt>
                <c:pt idx="93">
                  <c:v>480406.89805787249</c:v>
                </c:pt>
                <c:pt idx="94">
                  <c:v>480839.26426612452</c:v>
                </c:pt>
                <c:pt idx="95">
                  <c:v>481272.019603964</c:v>
                </c:pt>
                <c:pt idx="96">
                  <c:v>481705.16442160751</c:v>
                </c:pt>
                <c:pt idx="97">
                  <c:v>482138.69906958693</c:v>
                </c:pt>
                <c:pt idx="98">
                  <c:v>482572.62389874953</c:v>
                </c:pt>
                <c:pt idx="99">
                  <c:v>483006.93926025834</c:v>
                </c:pt>
                <c:pt idx="100">
                  <c:v>483441.64550559252</c:v>
                </c:pt>
                <c:pt idx="101">
                  <c:v>483876.74298654753</c:v>
                </c:pt>
                <c:pt idx="102">
                  <c:v>484312.23205523536</c:v>
                </c:pt>
                <c:pt idx="103">
                  <c:v>484748.11306408502</c:v>
                </c:pt>
                <c:pt idx="104">
                  <c:v>485184.38636584266</c:v>
                </c:pt>
                <c:pt idx="105">
                  <c:v>485621.05231357185</c:v>
                </c:pt>
                <c:pt idx="106">
                  <c:v>486058.111260654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DE-4E34-AC77-EDFE7D02FF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0655861"/>
        <c:axId val="87808944"/>
      </c:lineChart>
      <c:catAx>
        <c:axId val="8065586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87808944"/>
        <c:crosses val="autoZero"/>
        <c:auto val="1"/>
        <c:lblAlgn val="ctr"/>
        <c:lblOffset val="100"/>
        <c:noMultiLvlLbl val="0"/>
      </c:catAx>
      <c:valAx>
        <c:axId val="878089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8065586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10800</xdr:colOff>
      <xdr:row>109</xdr:row>
      <xdr:rowOff>0</xdr:rowOff>
    </xdr:from>
    <xdr:to>
      <xdr:col>19</xdr:col>
      <xdr:colOff>219600</xdr:colOff>
      <xdr:row>141</xdr:row>
      <xdr:rowOff>21240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58680</xdr:colOff>
      <xdr:row>0</xdr:row>
      <xdr:rowOff>0</xdr:rowOff>
    </xdr:from>
    <xdr:to>
      <xdr:col>25</xdr:col>
      <xdr:colOff>473760</xdr:colOff>
      <xdr:row>26</xdr:row>
      <xdr:rowOff>137880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26280</xdr:colOff>
      <xdr:row>3</xdr:row>
      <xdr:rowOff>32040</xdr:rowOff>
    </xdr:from>
    <xdr:to>
      <xdr:col>13</xdr:col>
      <xdr:colOff>790560</xdr:colOff>
      <xdr:row>31</xdr:row>
      <xdr:rowOff>48960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5400</xdr:colOff>
      <xdr:row>1</xdr:row>
      <xdr:rowOff>360</xdr:rowOff>
    </xdr:from>
    <xdr:to>
      <xdr:col>6</xdr:col>
      <xdr:colOff>222840</xdr:colOff>
      <xdr:row>1</xdr:row>
      <xdr:rowOff>167760</xdr:rowOff>
    </xdr:to>
    <xdr:pic>
      <xdr:nvPicPr>
        <xdr:cNvPr id="3" name="Obraz 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863240" y="190800"/>
          <a:ext cx="217440" cy="167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9</xdr:row>
      <xdr:rowOff>0</xdr:rowOff>
    </xdr:from>
    <xdr:to>
      <xdr:col>6</xdr:col>
      <xdr:colOff>245880</xdr:colOff>
      <xdr:row>9</xdr:row>
      <xdr:rowOff>173520</xdr:rowOff>
    </xdr:to>
    <xdr:pic>
      <xdr:nvPicPr>
        <xdr:cNvPr id="4" name="Obraz 6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857840" y="1714680"/>
          <a:ext cx="245880" cy="17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8</xdr:row>
      <xdr:rowOff>0</xdr:rowOff>
    </xdr:from>
    <xdr:to>
      <xdr:col>6</xdr:col>
      <xdr:colOff>176400</xdr:colOff>
      <xdr:row>9</xdr:row>
      <xdr:rowOff>56520</xdr:rowOff>
    </xdr:to>
    <xdr:pic>
      <xdr:nvPicPr>
        <xdr:cNvPr id="5" name="Obraz 7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857840" y="1523880"/>
          <a:ext cx="176400" cy="24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255960</xdr:colOff>
      <xdr:row>6</xdr:row>
      <xdr:rowOff>56520</xdr:rowOff>
    </xdr:to>
    <xdr:pic>
      <xdr:nvPicPr>
        <xdr:cNvPr id="6" name="Obraz 8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4857840" y="952560"/>
          <a:ext cx="255960" cy="24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6</xdr:col>
      <xdr:colOff>226080</xdr:colOff>
      <xdr:row>23</xdr:row>
      <xdr:rowOff>56520</xdr:rowOff>
    </xdr:to>
    <xdr:pic>
      <xdr:nvPicPr>
        <xdr:cNvPr id="7" name="Obraz 9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4857840" y="4191120"/>
          <a:ext cx="226080" cy="2469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9"/>
  <sheetViews>
    <sheetView zoomScale="120" zoomScaleNormal="120" workbookViewId="0">
      <selection activeCell="I20" sqref="I20"/>
    </sheetView>
  </sheetViews>
  <sheetFormatPr defaultColWidth="8.85546875" defaultRowHeight="15"/>
  <cols>
    <col min="1" max="1" width="6.7109375" style="7" customWidth="1"/>
    <col min="2" max="2" width="15.85546875" style="7" customWidth="1"/>
    <col min="3" max="3" width="8" style="7" customWidth="1"/>
    <col min="4" max="4" width="10.5703125" style="7" customWidth="1"/>
    <col min="5" max="5" width="13.85546875" style="7" customWidth="1"/>
    <col min="6" max="6" width="22.5703125" style="7" customWidth="1"/>
    <col min="7" max="7" width="10.28515625" style="7" customWidth="1"/>
    <col min="8" max="8" width="15.85546875" style="8" customWidth="1"/>
    <col min="9" max="9" width="23.140625" style="7" customWidth="1"/>
    <col min="10" max="10" width="24.5703125" style="9" customWidth="1"/>
    <col min="11" max="11" width="16.85546875" style="10" customWidth="1"/>
    <col min="12" max="12" width="6.42578125" style="7" customWidth="1"/>
    <col min="13" max="13" width="19.85546875" style="7" customWidth="1"/>
    <col min="14" max="14" width="13" customWidth="1"/>
    <col min="15" max="26" width="8.85546875" style="7"/>
    <col min="27" max="27" width="11.140625" style="7" customWidth="1"/>
    <col min="28" max="28" width="9.42578125" style="7" customWidth="1"/>
    <col min="29" max="16384" width="8.85546875" style="7"/>
  </cols>
  <sheetData>
    <row r="1" spans="1:1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8" t="s">
        <v>7</v>
      </c>
      <c r="I1" s="11" t="s">
        <v>8</v>
      </c>
      <c r="J1" s="12" t="s">
        <v>9</v>
      </c>
      <c r="K1" s="13" t="s">
        <v>10</v>
      </c>
      <c r="L1" s="11" t="s">
        <v>0</v>
      </c>
      <c r="M1" s="9" t="s">
        <v>11</v>
      </c>
    </row>
    <row r="2" spans="1:13">
      <c r="A2" s="11">
        <v>1830</v>
      </c>
      <c r="B2" s="14">
        <v>9.7999999999999997E-3</v>
      </c>
      <c r="C2" s="14">
        <v>4.1000000000000003E-3</v>
      </c>
      <c r="D2" s="14">
        <v>0.1</v>
      </c>
      <c r="E2" s="11" t="s">
        <v>12</v>
      </c>
      <c r="F2" s="15">
        <f t="shared" ref="F2:F33" si="0">(MIN(B2,0.02)*150)+(MIN(C2,0.04)*50)+(MIN(D2,1)*4)+(IF(E2="Great Power",1.5,IF(E2="Secondary Power",1.25,IF(E2="Westernized Nation",1,0))))</f>
        <v>3.5750000000000002</v>
      </c>
      <c r="G2" s="8">
        <v>0.3</v>
      </c>
      <c r="H2" s="8">
        <v>0</v>
      </c>
      <c r="I2" s="15">
        <f t="shared" ref="I2:I33" si="1">F2*(1+H2+G2)</f>
        <v>4.6475</v>
      </c>
      <c r="J2" s="12">
        <f t="shared" ref="J2:J33" si="2">I2*365</f>
        <v>1696.3375000000001</v>
      </c>
      <c r="K2" s="13">
        <v>244800</v>
      </c>
      <c r="L2" s="11">
        <v>1830</v>
      </c>
      <c r="M2" s="12">
        <f>MAX(K2-J2,0)</f>
        <v>243103.66250000001</v>
      </c>
    </row>
    <row r="3" spans="1:13">
      <c r="A3" s="11">
        <v>1831</v>
      </c>
      <c r="B3" s="14">
        <v>0.01</v>
      </c>
      <c r="C3" s="14">
        <v>4.3E-3</v>
      </c>
      <c r="D3" s="14">
        <v>0.10171428571428601</v>
      </c>
      <c r="E3" s="11" t="s">
        <v>12</v>
      </c>
      <c r="F3" s="15">
        <f t="shared" si="0"/>
        <v>3.6218571428571442</v>
      </c>
      <c r="G3" s="8">
        <f t="shared" ref="G3:G34" si="3">MIN(G2+(4*2/90/100*12),1)</f>
        <v>0.31066666666666665</v>
      </c>
      <c r="H3" s="8">
        <v>0</v>
      </c>
      <c r="I3" s="15">
        <f t="shared" si="1"/>
        <v>4.7470474285714301</v>
      </c>
      <c r="J3" s="12">
        <f t="shared" si="2"/>
        <v>1732.6723114285719</v>
      </c>
      <c r="K3" s="13"/>
      <c r="L3" s="11">
        <v>1831</v>
      </c>
      <c r="M3" s="12">
        <f t="shared" ref="M3:M34" si="4">MAX((M2+K3-J3)*0.994,0)</f>
        <v>239922.76424744001</v>
      </c>
    </row>
    <row r="4" spans="1:13">
      <c r="A4" s="11">
        <v>1832</v>
      </c>
      <c r="B4" s="14">
        <v>1.0800000000000001E-2</v>
      </c>
      <c r="C4" s="14">
        <v>4.4999999999999997E-3</v>
      </c>
      <c r="D4" s="14">
        <v>0.1036</v>
      </c>
      <c r="E4" s="11" t="s">
        <v>12</v>
      </c>
      <c r="F4" s="15">
        <f t="shared" si="0"/>
        <v>3.7594000000000003</v>
      </c>
      <c r="G4" s="8">
        <f t="shared" si="3"/>
        <v>0.3213333333333333</v>
      </c>
      <c r="H4" s="8">
        <v>0</v>
      </c>
      <c r="I4" s="15">
        <f t="shared" si="1"/>
        <v>4.9674205333333337</v>
      </c>
      <c r="J4" s="12">
        <f t="shared" si="2"/>
        <v>1813.1084946666667</v>
      </c>
      <c r="K4" s="13"/>
      <c r="L4" s="11">
        <v>1832</v>
      </c>
      <c r="M4" s="12">
        <f t="shared" si="4"/>
        <v>236680.9978182567</v>
      </c>
    </row>
    <row r="5" spans="1:13">
      <c r="A5" s="11">
        <v>1833</v>
      </c>
      <c r="B5" s="14">
        <v>1.1599999999999999E-2</v>
      </c>
      <c r="C5" s="14">
        <v>4.7000000000000002E-3</v>
      </c>
      <c r="D5" s="14">
        <v>0.105657142857143</v>
      </c>
      <c r="E5" s="11" t="s">
        <v>12</v>
      </c>
      <c r="F5" s="15">
        <f t="shared" si="0"/>
        <v>3.8976285714285721</v>
      </c>
      <c r="G5" s="8">
        <f t="shared" si="3"/>
        <v>0.33199999999999996</v>
      </c>
      <c r="H5" s="8">
        <v>0</v>
      </c>
      <c r="I5" s="15">
        <f t="shared" si="1"/>
        <v>5.1916412571428578</v>
      </c>
      <c r="J5" s="12">
        <f t="shared" si="2"/>
        <v>1894.9490588571432</v>
      </c>
      <c r="K5" s="13"/>
      <c r="L5" s="11">
        <v>1833</v>
      </c>
      <c r="M5" s="12">
        <f t="shared" si="4"/>
        <v>233377.33246684316</v>
      </c>
    </row>
    <row r="6" spans="1:13">
      <c r="A6" s="11">
        <v>1834</v>
      </c>
      <c r="B6" s="14">
        <v>1.24E-2</v>
      </c>
      <c r="C6" s="14">
        <v>4.8999999999999998E-3</v>
      </c>
      <c r="D6" s="14">
        <v>0.107885714285714</v>
      </c>
      <c r="E6" s="11" t="s">
        <v>12</v>
      </c>
      <c r="F6" s="15">
        <f t="shared" si="0"/>
        <v>4.0365428571428561</v>
      </c>
      <c r="G6" s="8">
        <f t="shared" si="3"/>
        <v>0.34266666666666662</v>
      </c>
      <c r="H6" s="8">
        <v>0</v>
      </c>
      <c r="I6" s="15">
        <f t="shared" si="1"/>
        <v>5.4197315428571411</v>
      </c>
      <c r="J6" s="12">
        <f t="shared" si="2"/>
        <v>1978.2020131428565</v>
      </c>
      <c r="K6" s="13"/>
      <c r="L6" s="11">
        <v>1834</v>
      </c>
      <c r="M6" s="12">
        <f t="shared" si="4"/>
        <v>230010.73567097812</v>
      </c>
    </row>
    <row r="7" spans="1:13">
      <c r="A7" s="11">
        <v>1835</v>
      </c>
      <c r="B7" s="14">
        <v>1.32E-2</v>
      </c>
      <c r="C7" s="14">
        <v>5.1000000000000004E-3</v>
      </c>
      <c r="D7" s="14">
        <v>0.110285714285714</v>
      </c>
      <c r="E7" s="11" t="s">
        <v>12</v>
      </c>
      <c r="F7" s="15">
        <f t="shared" si="0"/>
        <v>4.1761428571428558</v>
      </c>
      <c r="G7" s="8">
        <f t="shared" si="3"/>
        <v>0.35333333333333328</v>
      </c>
      <c r="H7" s="8">
        <v>0</v>
      </c>
      <c r="I7" s="15">
        <f t="shared" si="1"/>
        <v>5.6517133333333316</v>
      </c>
      <c r="J7" s="12">
        <f t="shared" si="2"/>
        <v>2062.8753666666662</v>
      </c>
      <c r="K7" s="13"/>
      <c r="L7" s="11">
        <v>1835</v>
      </c>
      <c r="M7" s="12">
        <f t="shared" si="4"/>
        <v>226580.17314248558</v>
      </c>
    </row>
    <row r="8" spans="1:13">
      <c r="A8" s="11">
        <v>1836</v>
      </c>
      <c r="B8" s="14">
        <v>1.4E-2</v>
      </c>
      <c r="C8" s="14">
        <v>5.3E-3</v>
      </c>
      <c r="D8" s="14">
        <v>0.112857142857143</v>
      </c>
      <c r="E8" s="11" t="s">
        <v>12</v>
      </c>
      <c r="F8" s="15">
        <f t="shared" si="0"/>
        <v>4.3164285714285722</v>
      </c>
      <c r="G8" s="8">
        <f t="shared" si="3"/>
        <v>0.36399999999999993</v>
      </c>
      <c r="H8" s="8">
        <v>0</v>
      </c>
      <c r="I8" s="15">
        <f t="shared" si="1"/>
        <v>5.8876085714285722</v>
      </c>
      <c r="J8" s="12">
        <f t="shared" si="2"/>
        <v>2148.9771285714287</v>
      </c>
      <c r="K8" s="13"/>
      <c r="L8" s="11">
        <v>1836</v>
      </c>
      <c r="M8" s="12">
        <f t="shared" si="4"/>
        <v>223084.60883783066</v>
      </c>
    </row>
    <row r="9" spans="1:13">
      <c r="A9" s="11">
        <v>1837</v>
      </c>
      <c r="B9" s="14">
        <v>1.4800000000000001E-2</v>
      </c>
      <c r="C9" s="14">
        <v>5.4999999999999997E-3</v>
      </c>
      <c r="D9" s="14">
        <v>0.11559999999999999</v>
      </c>
      <c r="E9" s="11" t="s">
        <v>12</v>
      </c>
      <c r="F9" s="15">
        <f t="shared" si="0"/>
        <v>4.4573999999999998</v>
      </c>
      <c r="G9" s="8">
        <f t="shared" si="3"/>
        <v>0.37466666666666659</v>
      </c>
      <c r="H9" s="8">
        <v>0</v>
      </c>
      <c r="I9" s="15">
        <f t="shared" si="1"/>
        <v>6.1274391999999995</v>
      </c>
      <c r="J9" s="12">
        <f t="shared" si="2"/>
        <v>2236.515308</v>
      </c>
      <c r="K9" s="13"/>
      <c r="L9" s="11">
        <v>1837</v>
      </c>
      <c r="M9" s="12">
        <f t="shared" si="4"/>
        <v>219523.00496865169</v>
      </c>
    </row>
    <row r="10" spans="1:13">
      <c r="A10" s="11">
        <v>1838</v>
      </c>
      <c r="B10" s="14">
        <v>1.5599999999999999E-2</v>
      </c>
      <c r="C10" s="14">
        <v>5.7000000000000002E-3</v>
      </c>
      <c r="D10" s="14">
        <v>0.118514285714286</v>
      </c>
      <c r="E10" s="11" t="s">
        <v>12</v>
      </c>
      <c r="F10" s="15">
        <f t="shared" si="0"/>
        <v>4.5990571428571441</v>
      </c>
      <c r="G10" s="8">
        <f t="shared" si="3"/>
        <v>0.38533333333333325</v>
      </c>
      <c r="H10" s="8">
        <v>0</v>
      </c>
      <c r="I10" s="15">
        <f t="shared" si="1"/>
        <v>6.3712271619047636</v>
      </c>
      <c r="J10" s="12">
        <f t="shared" si="2"/>
        <v>2325.4979140952387</v>
      </c>
      <c r="K10" s="13"/>
      <c r="L10" s="11">
        <v>1838</v>
      </c>
      <c r="M10" s="12">
        <f t="shared" si="4"/>
        <v>215894.32201222912</v>
      </c>
    </row>
    <row r="11" spans="1:13">
      <c r="A11" s="11">
        <v>1839</v>
      </c>
      <c r="B11" s="14">
        <v>1.6400000000000001E-2</v>
      </c>
      <c r="C11" s="14">
        <v>5.8999999999999999E-3</v>
      </c>
      <c r="D11" s="14">
        <v>0.1216</v>
      </c>
      <c r="E11" s="11" t="s">
        <v>12</v>
      </c>
      <c r="F11" s="15">
        <f t="shared" si="0"/>
        <v>4.7414000000000005</v>
      </c>
      <c r="G11" s="8">
        <f t="shared" si="3"/>
        <v>0.39599999999999991</v>
      </c>
      <c r="H11" s="8">
        <v>0</v>
      </c>
      <c r="I11" s="15">
        <f t="shared" si="1"/>
        <v>6.6189944000000001</v>
      </c>
      <c r="J11" s="12">
        <f t="shared" si="2"/>
        <v>2415.9329560000001</v>
      </c>
      <c r="K11" s="13"/>
      <c r="L11" s="11">
        <v>1839</v>
      </c>
      <c r="M11" s="12">
        <f t="shared" si="4"/>
        <v>212197.51872189174</v>
      </c>
    </row>
    <row r="12" spans="1:13">
      <c r="A12" s="11">
        <v>1840</v>
      </c>
      <c r="B12" s="14">
        <v>1.72E-2</v>
      </c>
      <c r="C12" s="14">
        <v>6.1000000000000004E-3</v>
      </c>
      <c r="D12" s="14">
        <v>0.124857142857143</v>
      </c>
      <c r="E12" s="11" t="s">
        <v>12</v>
      </c>
      <c r="F12" s="15">
        <f t="shared" si="0"/>
        <v>4.8844285714285718</v>
      </c>
      <c r="G12" s="8">
        <f t="shared" si="3"/>
        <v>0.40666666666666657</v>
      </c>
      <c r="H12" s="8">
        <v>0.5</v>
      </c>
      <c r="I12" s="15">
        <f t="shared" si="1"/>
        <v>9.3129771428571431</v>
      </c>
      <c r="J12" s="12">
        <f t="shared" si="2"/>
        <v>3399.2366571428574</v>
      </c>
      <c r="K12" s="13">
        <v>32400</v>
      </c>
      <c r="L12" s="11">
        <v>1840</v>
      </c>
      <c r="M12" s="12">
        <f t="shared" si="4"/>
        <v>239751.09237236038</v>
      </c>
    </row>
    <row r="13" spans="1:13">
      <c r="A13" s="11">
        <v>1841</v>
      </c>
      <c r="B13" s="14">
        <v>1.7999999999999999E-2</v>
      </c>
      <c r="C13" s="14">
        <v>6.3E-3</v>
      </c>
      <c r="D13" s="14">
        <v>0.128285714285714</v>
      </c>
      <c r="E13" s="11" t="s">
        <v>12</v>
      </c>
      <c r="F13" s="15">
        <f t="shared" si="0"/>
        <v>5.0281428571428552</v>
      </c>
      <c r="G13" s="8">
        <f t="shared" si="3"/>
        <v>0.41733333333333322</v>
      </c>
      <c r="H13" s="8">
        <v>0.5</v>
      </c>
      <c r="I13" s="15">
        <f t="shared" si="1"/>
        <v>9.6406259047618992</v>
      </c>
      <c r="J13" s="12">
        <f t="shared" si="2"/>
        <v>3518.8284552380933</v>
      </c>
      <c r="K13" s="13"/>
      <c r="L13" s="11">
        <v>1841</v>
      </c>
      <c r="M13" s="12">
        <f t="shared" si="4"/>
        <v>234814.87033361956</v>
      </c>
    </row>
    <row r="14" spans="1:13">
      <c r="A14" s="11">
        <v>1842</v>
      </c>
      <c r="B14" s="14">
        <v>1.8800000000000001E-2</v>
      </c>
      <c r="C14" s="14">
        <v>6.4999999999999997E-3</v>
      </c>
      <c r="D14" s="14">
        <v>0.131885714285714</v>
      </c>
      <c r="E14" s="11" t="s">
        <v>12</v>
      </c>
      <c r="F14" s="15">
        <f t="shared" si="0"/>
        <v>5.1725428571428562</v>
      </c>
      <c r="G14" s="8">
        <f t="shared" si="3"/>
        <v>0.42799999999999988</v>
      </c>
      <c r="H14" s="8">
        <v>0.5</v>
      </c>
      <c r="I14" s="15">
        <f t="shared" si="1"/>
        <v>9.9726626285714257</v>
      </c>
      <c r="J14" s="12">
        <f t="shared" si="2"/>
        <v>3640.0218594285702</v>
      </c>
      <c r="K14" s="13"/>
      <c r="L14" s="11">
        <v>1842</v>
      </c>
      <c r="M14" s="12">
        <f t="shared" si="4"/>
        <v>229787.79938334582</v>
      </c>
    </row>
    <row r="15" spans="1:13">
      <c r="A15" s="11">
        <v>1843</v>
      </c>
      <c r="B15" s="14">
        <v>1.9599999999999999E-2</v>
      </c>
      <c r="C15" s="14">
        <v>6.7000000000000002E-3</v>
      </c>
      <c r="D15" s="14">
        <v>0.135657142857143</v>
      </c>
      <c r="E15" s="11" t="s">
        <v>12</v>
      </c>
      <c r="F15" s="15">
        <f t="shared" si="0"/>
        <v>5.317628571428572</v>
      </c>
      <c r="G15" s="8">
        <f t="shared" si="3"/>
        <v>0.43866666666666654</v>
      </c>
      <c r="H15" s="8">
        <v>1</v>
      </c>
      <c r="I15" s="15">
        <f t="shared" si="1"/>
        <v>12.967923542857143</v>
      </c>
      <c r="J15" s="12">
        <f t="shared" si="2"/>
        <v>4733.2920931428571</v>
      </c>
      <c r="K15" s="13"/>
      <c r="L15" s="11">
        <v>1843</v>
      </c>
      <c r="M15" s="12">
        <f t="shared" si="4"/>
        <v>223704.18024646174</v>
      </c>
    </row>
    <row r="16" spans="1:13">
      <c r="A16" s="11">
        <v>1844</v>
      </c>
      <c r="B16" s="14">
        <v>2.0400000000000001E-2</v>
      </c>
      <c r="C16" s="14">
        <v>6.8999999999999999E-3</v>
      </c>
      <c r="D16" s="14">
        <v>0.139876</v>
      </c>
      <c r="E16" s="11" t="s">
        <v>12</v>
      </c>
      <c r="F16" s="15">
        <f t="shared" si="0"/>
        <v>5.4045039999999993</v>
      </c>
      <c r="G16" s="8">
        <f t="shared" si="3"/>
        <v>0.4493333333333332</v>
      </c>
      <c r="H16" s="8">
        <v>1</v>
      </c>
      <c r="I16" s="15">
        <f t="shared" si="1"/>
        <v>13.237431797333331</v>
      </c>
      <c r="J16" s="12">
        <f t="shared" si="2"/>
        <v>4831.6626060266653</v>
      </c>
      <c r="K16" s="13"/>
      <c r="L16" s="11">
        <v>1844</v>
      </c>
      <c r="M16" s="12">
        <f t="shared" si="4"/>
        <v>217559.28253459246</v>
      </c>
    </row>
    <row r="17" spans="1:13">
      <c r="A17" s="11">
        <v>1845</v>
      </c>
      <c r="B17" s="14">
        <v>2.12E-2</v>
      </c>
      <c r="C17" s="14">
        <v>7.1000000000000004E-3</v>
      </c>
      <c r="D17" s="14">
        <v>0.14468971428571401</v>
      </c>
      <c r="E17" s="11" t="s">
        <v>12</v>
      </c>
      <c r="F17" s="15">
        <f t="shared" si="0"/>
        <v>5.4337588571428554</v>
      </c>
      <c r="G17" s="8">
        <f t="shared" si="3"/>
        <v>0.45999999999999985</v>
      </c>
      <c r="H17" s="8">
        <v>1</v>
      </c>
      <c r="I17" s="15">
        <f t="shared" si="1"/>
        <v>13.367046788571423</v>
      </c>
      <c r="J17" s="12">
        <f t="shared" si="2"/>
        <v>4878.9720778285691</v>
      </c>
      <c r="K17" s="13"/>
      <c r="L17" s="11">
        <v>1845</v>
      </c>
      <c r="M17" s="12">
        <f t="shared" si="4"/>
        <v>211404.2285940233</v>
      </c>
    </row>
    <row r="18" spans="1:13">
      <c r="A18" s="11">
        <v>1846</v>
      </c>
      <c r="B18" s="14">
        <v>2.1999999999999999E-2</v>
      </c>
      <c r="C18" s="14">
        <v>7.3000000000000001E-3</v>
      </c>
      <c r="D18" s="14">
        <v>0.149704</v>
      </c>
      <c r="E18" s="11" t="s">
        <v>12</v>
      </c>
      <c r="F18" s="15">
        <f t="shared" si="0"/>
        <v>5.4638160000000005</v>
      </c>
      <c r="G18" s="8">
        <f t="shared" si="3"/>
        <v>0.47066666666666651</v>
      </c>
      <c r="H18" s="8">
        <v>1</v>
      </c>
      <c r="I18" s="15">
        <f t="shared" si="1"/>
        <v>13.499268063999999</v>
      </c>
      <c r="J18" s="12">
        <f t="shared" si="2"/>
        <v>4927.2328433599996</v>
      </c>
      <c r="K18" s="13"/>
      <c r="L18" s="11">
        <v>1846</v>
      </c>
      <c r="M18" s="12">
        <f t="shared" si="4"/>
        <v>205238.13377615932</v>
      </c>
    </row>
    <row r="19" spans="1:13">
      <c r="A19" s="11">
        <v>1847</v>
      </c>
      <c r="B19" s="14">
        <v>2.2800000000000001E-2</v>
      </c>
      <c r="C19" s="14">
        <v>7.4999999999999997E-3</v>
      </c>
      <c r="D19" s="14">
        <v>0.154918857142857</v>
      </c>
      <c r="E19" s="11" t="s">
        <v>12</v>
      </c>
      <c r="F19" s="15">
        <f t="shared" si="0"/>
        <v>5.4946754285714281</v>
      </c>
      <c r="G19" s="8">
        <f t="shared" si="3"/>
        <v>0.48133333333333317</v>
      </c>
      <c r="H19" s="8">
        <v>1</v>
      </c>
      <c r="I19" s="15">
        <f t="shared" si="1"/>
        <v>13.634121296761903</v>
      </c>
      <c r="J19" s="12">
        <f t="shared" si="2"/>
        <v>4976.4542733180942</v>
      </c>
      <c r="K19" s="13"/>
      <c r="L19" s="11">
        <v>1847</v>
      </c>
      <c r="M19" s="12">
        <f t="shared" si="4"/>
        <v>199060.10942582419</v>
      </c>
    </row>
    <row r="20" spans="1:13">
      <c r="A20" s="11">
        <v>1848</v>
      </c>
      <c r="B20" s="14">
        <v>2.3599999999999999E-2</v>
      </c>
      <c r="C20" s="14">
        <v>7.7000000000000002E-3</v>
      </c>
      <c r="D20" s="14">
        <v>0.16033428571428601</v>
      </c>
      <c r="E20" s="11" t="s">
        <v>12</v>
      </c>
      <c r="F20" s="15">
        <f t="shared" si="0"/>
        <v>5.5263371428571437</v>
      </c>
      <c r="G20" s="8">
        <f t="shared" si="3"/>
        <v>0.49199999999999983</v>
      </c>
      <c r="H20" s="8">
        <v>1</v>
      </c>
      <c r="I20" s="15">
        <f t="shared" si="1"/>
        <v>13.771632160000003</v>
      </c>
      <c r="J20" s="12">
        <f t="shared" si="2"/>
        <v>5026.6457384000014</v>
      </c>
      <c r="K20" s="13">
        <v>10800</v>
      </c>
      <c r="L20" s="11">
        <v>1848</v>
      </c>
      <c r="M20" s="12">
        <f t="shared" si="4"/>
        <v>203604.46290529965</v>
      </c>
    </row>
    <row r="21" spans="1:13">
      <c r="A21" s="11">
        <v>1849</v>
      </c>
      <c r="B21" s="14">
        <v>2.4400000000000002E-2</v>
      </c>
      <c r="C21" s="14">
        <v>7.9000000000000008E-3</v>
      </c>
      <c r="D21" s="14">
        <v>0.16595028571428599</v>
      </c>
      <c r="E21" s="11" t="s">
        <v>12</v>
      </c>
      <c r="F21" s="15">
        <f t="shared" si="0"/>
        <v>5.5588011428571438</v>
      </c>
      <c r="G21" s="8">
        <f t="shared" si="3"/>
        <v>0.50266666666666648</v>
      </c>
      <c r="H21" s="8">
        <v>1</v>
      </c>
      <c r="I21" s="15">
        <f t="shared" si="1"/>
        <v>13.911826326857144</v>
      </c>
      <c r="J21" s="12">
        <f t="shared" si="2"/>
        <v>5077.8166093028576</v>
      </c>
      <c r="K21" s="13"/>
      <c r="L21" s="11">
        <v>1849</v>
      </c>
      <c r="M21" s="12">
        <f t="shared" si="4"/>
        <v>197335.4864182208</v>
      </c>
    </row>
    <row r="22" spans="1:13">
      <c r="A22" s="11">
        <v>1850</v>
      </c>
      <c r="B22" s="14">
        <v>2.52E-2</v>
      </c>
      <c r="C22" s="14">
        <v>8.0999999999999996E-3</v>
      </c>
      <c r="D22" s="14">
        <v>0.171766857142857</v>
      </c>
      <c r="E22" s="11" t="s">
        <v>12</v>
      </c>
      <c r="F22" s="15">
        <f t="shared" si="0"/>
        <v>5.5920674285714274</v>
      </c>
      <c r="G22" s="8">
        <f t="shared" si="3"/>
        <v>0.5133333333333332</v>
      </c>
      <c r="H22" s="8">
        <v>1</v>
      </c>
      <c r="I22" s="15">
        <f t="shared" si="1"/>
        <v>14.054729470476186</v>
      </c>
      <c r="J22" s="12">
        <f t="shared" si="2"/>
        <v>5129.9762567238076</v>
      </c>
      <c r="K22" s="13">
        <v>259200</v>
      </c>
      <c r="L22" s="11">
        <v>1850</v>
      </c>
      <c r="M22" s="12">
        <f t="shared" si="4"/>
        <v>448697.077100528</v>
      </c>
    </row>
    <row r="23" spans="1:13">
      <c r="A23" s="11">
        <v>1851</v>
      </c>
      <c r="B23" s="14">
        <v>2.5999999999999999E-2</v>
      </c>
      <c r="C23" s="14">
        <v>8.3000000000000001E-3</v>
      </c>
      <c r="D23" s="14">
        <v>0.177784</v>
      </c>
      <c r="E23" s="11" t="s">
        <v>12</v>
      </c>
      <c r="F23" s="15">
        <f t="shared" si="0"/>
        <v>5.6261359999999998</v>
      </c>
      <c r="G23" s="8">
        <f t="shared" si="3"/>
        <v>0.52399999999999991</v>
      </c>
      <c r="H23" s="8">
        <v>1</v>
      </c>
      <c r="I23" s="15">
        <f t="shared" si="1"/>
        <v>14.200367264</v>
      </c>
      <c r="J23" s="12">
        <f t="shared" si="2"/>
        <v>5183.1340513599998</v>
      </c>
      <c r="K23" s="13"/>
      <c r="L23" s="11">
        <v>1851</v>
      </c>
      <c r="M23" s="12">
        <f t="shared" si="4"/>
        <v>440852.859390873</v>
      </c>
    </row>
    <row r="24" spans="1:13">
      <c r="A24" s="11">
        <v>1852</v>
      </c>
      <c r="B24" s="14">
        <v>2.6800000000000001E-2</v>
      </c>
      <c r="C24" s="14">
        <v>8.5000000000000006E-3</v>
      </c>
      <c r="D24" s="14">
        <v>0.18453314285714301</v>
      </c>
      <c r="E24" s="11" t="s">
        <v>12</v>
      </c>
      <c r="F24" s="15">
        <f t="shared" si="0"/>
        <v>5.6631325714285721</v>
      </c>
      <c r="G24" s="8">
        <f t="shared" si="3"/>
        <v>0.53466666666666662</v>
      </c>
      <c r="H24" s="8">
        <v>1</v>
      </c>
      <c r="I24" s="15">
        <f t="shared" si="1"/>
        <v>14.354153357714285</v>
      </c>
      <c r="J24" s="12">
        <f t="shared" si="2"/>
        <v>5239.2659755657141</v>
      </c>
      <c r="K24" s="13"/>
      <c r="L24" s="11">
        <v>1852</v>
      </c>
      <c r="M24" s="12">
        <f t="shared" si="4"/>
        <v>432999.91185481544</v>
      </c>
    </row>
    <row r="25" spans="1:13">
      <c r="A25" s="11">
        <v>1853</v>
      </c>
      <c r="B25" s="14">
        <v>2.76E-2</v>
      </c>
      <c r="C25" s="14">
        <v>8.6999999999999994E-3</v>
      </c>
      <c r="D25" s="14">
        <v>0.1915</v>
      </c>
      <c r="E25" s="11" t="s">
        <v>12</v>
      </c>
      <c r="F25" s="15">
        <f t="shared" si="0"/>
        <v>5.7010000000000005</v>
      </c>
      <c r="G25" s="8">
        <f t="shared" si="3"/>
        <v>0.54533333333333334</v>
      </c>
      <c r="H25" s="8">
        <v>1</v>
      </c>
      <c r="I25" s="15">
        <f t="shared" si="1"/>
        <v>14.510945333333334</v>
      </c>
      <c r="J25" s="12">
        <f t="shared" si="2"/>
        <v>5296.4950466666669</v>
      </c>
      <c r="K25" s="13"/>
      <c r="L25" s="11">
        <v>1853</v>
      </c>
      <c r="M25" s="12">
        <f t="shared" si="4"/>
        <v>425137.19630729989</v>
      </c>
    </row>
    <row r="26" spans="1:13">
      <c r="A26" s="11">
        <v>1854</v>
      </c>
      <c r="B26" s="14">
        <v>2.8400000000000002E-2</v>
      </c>
      <c r="C26" s="14">
        <v>8.8999999999999999E-3</v>
      </c>
      <c r="D26" s="14">
        <v>0.19925028571428599</v>
      </c>
      <c r="E26" s="11" t="s">
        <v>12</v>
      </c>
      <c r="F26" s="15">
        <f t="shared" si="0"/>
        <v>5.742001142857144</v>
      </c>
      <c r="G26" s="8">
        <f t="shared" si="3"/>
        <v>0.55600000000000005</v>
      </c>
      <c r="H26" s="8">
        <v>1</v>
      </c>
      <c r="I26" s="15">
        <f t="shared" si="1"/>
        <v>14.676554921142861</v>
      </c>
      <c r="J26" s="12">
        <f t="shared" si="2"/>
        <v>5356.9425462171439</v>
      </c>
      <c r="K26" s="13"/>
      <c r="L26" s="11">
        <v>1854</v>
      </c>
      <c r="M26" s="12">
        <f t="shared" si="4"/>
        <v>417261.5722385163</v>
      </c>
    </row>
    <row r="27" spans="1:13">
      <c r="A27" s="11">
        <v>1855</v>
      </c>
      <c r="B27" s="14">
        <v>2.92E-2</v>
      </c>
      <c r="C27" s="14">
        <v>9.1000000000000004E-3</v>
      </c>
      <c r="D27" s="14">
        <v>0.20723542857142899</v>
      </c>
      <c r="E27" s="11" t="s">
        <v>12</v>
      </c>
      <c r="F27" s="15">
        <f t="shared" si="0"/>
        <v>5.7839417142857164</v>
      </c>
      <c r="G27" s="8">
        <f t="shared" si="3"/>
        <v>0.56666666666666676</v>
      </c>
      <c r="H27" s="8">
        <v>1</v>
      </c>
      <c r="I27" s="15">
        <f t="shared" si="1"/>
        <v>14.845450400000006</v>
      </c>
      <c r="J27" s="12">
        <f t="shared" si="2"/>
        <v>5418.5893960000021</v>
      </c>
      <c r="K27" s="13">
        <v>21600</v>
      </c>
      <c r="L27" s="11">
        <v>1855</v>
      </c>
      <c r="M27" s="12">
        <f t="shared" si="4"/>
        <v>430842.32494546118</v>
      </c>
    </row>
    <row r="28" spans="1:13">
      <c r="A28" s="11">
        <v>1856</v>
      </c>
      <c r="B28" s="14">
        <v>0.03</v>
      </c>
      <c r="C28" s="14">
        <v>9.2999999999999992E-3</v>
      </c>
      <c r="D28" s="14">
        <v>0.21575542857142899</v>
      </c>
      <c r="E28" s="11" t="s">
        <v>12</v>
      </c>
      <c r="F28" s="15">
        <f t="shared" si="0"/>
        <v>5.8280217142857156</v>
      </c>
      <c r="G28" s="8">
        <f t="shared" si="3"/>
        <v>0.57733333333333348</v>
      </c>
      <c r="H28" s="8">
        <v>1</v>
      </c>
      <c r="I28" s="15">
        <f t="shared" si="1"/>
        <v>15.020754631619052</v>
      </c>
      <c r="J28" s="12">
        <f t="shared" si="2"/>
        <v>5482.5754405409543</v>
      </c>
      <c r="K28" s="13"/>
      <c r="L28" s="11">
        <v>1856</v>
      </c>
      <c r="M28" s="12">
        <f t="shared" si="4"/>
        <v>422807.5910078907</v>
      </c>
    </row>
    <row r="29" spans="1:13">
      <c r="A29" s="11">
        <v>1857</v>
      </c>
      <c r="B29" s="14">
        <v>3.0800000000000001E-2</v>
      </c>
      <c r="C29" s="14">
        <v>9.4999999999999998E-3</v>
      </c>
      <c r="D29" s="14">
        <v>0.226370285714286</v>
      </c>
      <c r="E29" s="11" t="s">
        <v>12</v>
      </c>
      <c r="F29" s="15">
        <f t="shared" si="0"/>
        <v>5.8804811428571444</v>
      </c>
      <c r="G29" s="8">
        <f t="shared" si="3"/>
        <v>0.58800000000000019</v>
      </c>
      <c r="H29" s="8">
        <v>1</v>
      </c>
      <c r="I29" s="15">
        <f t="shared" si="1"/>
        <v>15.21868519771429</v>
      </c>
      <c r="J29" s="12">
        <f t="shared" si="2"/>
        <v>5554.8200971657161</v>
      </c>
      <c r="K29" s="13"/>
      <c r="L29" s="11">
        <v>1857</v>
      </c>
      <c r="M29" s="12">
        <f t="shared" si="4"/>
        <v>414749.25428526063</v>
      </c>
    </row>
    <row r="30" spans="1:13">
      <c r="A30" s="11">
        <v>1858</v>
      </c>
      <c r="B30" s="14">
        <v>3.1600000000000003E-2</v>
      </c>
      <c r="C30" s="14">
        <v>9.7000000000000003E-3</v>
      </c>
      <c r="D30" s="14">
        <v>0.23727999999999999</v>
      </c>
      <c r="E30" s="11" t="s">
        <v>12</v>
      </c>
      <c r="F30" s="15">
        <f t="shared" si="0"/>
        <v>5.9341200000000001</v>
      </c>
      <c r="G30" s="8">
        <f t="shared" si="3"/>
        <v>0.5986666666666669</v>
      </c>
      <c r="H30" s="8">
        <v>1</v>
      </c>
      <c r="I30" s="15">
        <f t="shared" si="1"/>
        <v>15.420799840000001</v>
      </c>
      <c r="J30" s="12">
        <f t="shared" si="2"/>
        <v>5628.5919416000006</v>
      </c>
      <c r="K30" s="13"/>
      <c r="L30" s="11">
        <v>1858</v>
      </c>
      <c r="M30" s="12">
        <f t="shared" si="4"/>
        <v>406665.93836959865</v>
      </c>
    </row>
    <row r="31" spans="1:13">
      <c r="A31" s="11">
        <v>1859</v>
      </c>
      <c r="B31" s="14">
        <v>3.2399999999999998E-2</v>
      </c>
      <c r="C31" s="14">
        <v>9.9000000000000008E-3</v>
      </c>
      <c r="D31" s="14">
        <v>0.248484571428571</v>
      </c>
      <c r="E31" s="11" t="s">
        <v>12</v>
      </c>
      <c r="F31" s="15">
        <f t="shared" si="0"/>
        <v>5.9889382857142843</v>
      </c>
      <c r="G31" s="8">
        <f t="shared" si="3"/>
        <v>0.60933333333333362</v>
      </c>
      <c r="H31" s="8">
        <v>1</v>
      </c>
      <c r="I31" s="15">
        <f t="shared" si="1"/>
        <v>15.627136300190475</v>
      </c>
      <c r="J31" s="12">
        <f t="shared" si="2"/>
        <v>5703.9047495695231</v>
      </c>
      <c r="K31" s="13"/>
      <c r="L31" s="11">
        <v>1859</v>
      </c>
      <c r="M31" s="12">
        <f t="shared" si="4"/>
        <v>398556.26141830895</v>
      </c>
    </row>
    <row r="32" spans="1:13">
      <c r="A32" s="11">
        <v>1860</v>
      </c>
      <c r="B32" s="14">
        <v>3.32E-2</v>
      </c>
      <c r="C32" s="14">
        <v>1.01E-2</v>
      </c>
      <c r="D32" s="14">
        <v>0.25998399999999999</v>
      </c>
      <c r="E32" s="11" t="s">
        <v>12</v>
      </c>
      <c r="F32" s="15">
        <f t="shared" si="0"/>
        <v>6.0449359999999999</v>
      </c>
      <c r="G32" s="8">
        <f t="shared" si="3"/>
        <v>0.62000000000000033</v>
      </c>
      <c r="H32" s="8">
        <v>1</v>
      </c>
      <c r="I32" s="15">
        <f t="shared" si="1"/>
        <v>15.837732320000001</v>
      </c>
      <c r="J32" s="12">
        <f t="shared" si="2"/>
        <v>5780.7722967999998</v>
      </c>
      <c r="K32" s="13">
        <v>10800</v>
      </c>
      <c r="L32" s="11">
        <v>1860</v>
      </c>
      <c r="M32" s="12">
        <f t="shared" si="4"/>
        <v>401154.03618677991</v>
      </c>
    </row>
    <row r="33" spans="1:13">
      <c r="A33" s="11">
        <v>1861</v>
      </c>
      <c r="B33" s="14">
        <v>3.4000000000000002E-2</v>
      </c>
      <c r="C33" s="14">
        <v>1.03E-2</v>
      </c>
      <c r="D33" s="14">
        <v>0.27177828571428603</v>
      </c>
      <c r="E33" s="11" t="s">
        <v>12</v>
      </c>
      <c r="F33" s="15">
        <f t="shared" si="0"/>
        <v>6.102113142857144</v>
      </c>
      <c r="G33" s="8">
        <f t="shared" si="3"/>
        <v>0.63066666666666704</v>
      </c>
      <c r="H33" s="8">
        <v>1.5</v>
      </c>
      <c r="I33" s="15">
        <f t="shared" si="1"/>
        <v>19.103682212571435</v>
      </c>
      <c r="J33" s="12">
        <f t="shared" si="2"/>
        <v>6972.8440075885737</v>
      </c>
      <c r="K33" s="13"/>
      <c r="L33" s="11">
        <v>1861</v>
      </c>
      <c r="M33" s="12">
        <f t="shared" si="4"/>
        <v>391816.10502611619</v>
      </c>
    </row>
    <row r="34" spans="1:13">
      <c r="A34" s="11">
        <v>1862</v>
      </c>
      <c r="B34" s="14">
        <v>3.4799999999999998E-2</v>
      </c>
      <c r="C34" s="14">
        <v>1.0500000000000001E-2</v>
      </c>
      <c r="D34" s="14">
        <v>0.28386742857142899</v>
      </c>
      <c r="E34" s="11" t="s">
        <v>12</v>
      </c>
      <c r="F34" s="15">
        <f t="shared" ref="F34:F65" si="5">(MIN(B34,0.02)*150)+(MIN(C34,0.04)*50)+(MIN(D34,1)*4)+(IF(E34="Great Power",1.5,IF(E34="Secondary Power",1.25,IF(E34="Westernized Nation",1,0))))</f>
        <v>6.1604697142857159</v>
      </c>
      <c r="G34" s="8">
        <f t="shared" si="3"/>
        <v>0.64133333333333375</v>
      </c>
      <c r="H34" s="8">
        <v>1.5</v>
      </c>
      <c r="I34" s="15">
        <f t="shared" ref="I34:I65" si="6">F34*(1+H34+G34)</f>
        <v>19.352088862476197</v>
      </c>
      <c r="J34" s="12">
        <f t="shared" ref="J34:J65" si="7">I34*365</f>
        <v>7063.5124348038116</v>
      </c>
      <c r="K34" s="13"/>
      <c r="L34" s="11">
        <v>1862</v>
      </c>
      <c r="M34" s="12">
        <f t="shared" si="4"/>
        <v>382444.07703576447</v>
      </c>
    </row>
    <row r="35" spans="1:13">
      <c r="A35" s="11">
        <v>1863</v>
      </c>
      <c r="B35" s="14">
        <v>3.56E-2</v>
      </c>
      <c r="C35" s="14">
        <v>1.0699999999999999E-2</v>
      </c>
      <c r="D35" s="14">
        <v>0.296251428571429</v>
      </c>
      <c r="E35" s="11" t="s">
        <v>12</v>
      </c>
      <c r="F35" s="15">
        <f t="shared" si="5"/>
        <v>6.2200057142857164</v>
      </c>
      <c r="G35" s="8">
        <f t="shared" ref="G35:G66" si="8">MIN(G34+(4*2/90/100*12),1)</f>
        <v>0.65200000000000047</v>
      </c>
      <c r="H35" s="8">
        <v>1.5</v>
      </c>
      <c r="I35" s="15">
        <f t="shared" si="6"/>
        <v>19.605458011428581</v>
      </c>
      <c r="J35" s="12">
        <f t="shared" si="7"/>
        <v>7155.9921741714325</v>
      </c>
      <c r="K35" s="13"/>
      <c r="L35" s="11">
        <v>1863</v>
      </c>
      <c r="M35" s="12">
        <f t="shared" ref="M35:M66" si="9">MAX((M34+K35-J35)*0.994,0)</f>
        <v>373036.35635242349</v>
      </c>
    </row>
    <row r="36" spans="1:13">
      <c r="A36" s="11">
        <v>1864</v>
      </c>
      <c r="B36" s="14">
        <v>3.6400000000000002E-2</v>
      </c>
      <c r="C36" s="14">
        <v>1.09E-2</v>
      </c>
      <c r="D36" s="14">
        <v>0.30966742857142898</v>
      </c>
      <c r="E36" s="11" t="s">
        <v>12</v>
      </c>
      <c r="F36" s="15">
        <f t="shared" si="5"/>
        <v>6.2836697142857156</v>
      </c>
      <c r="G36" s="8">
        <f t="shared" si="8"/>
        <v>0.66266666666666718</v>
      </c>
      <c r="H36" s="8">
        <v>1.5</v>
      </c>
      <c r="I36" s="15">
        <f t="shared" si="6"/>
        <v>19.873152749714293</v>
      </c>
      <c r="J36" s="12">
        <f t="shared" si="7"/>
        <v>7253.7007536457168</v>
      </c>
      <c r="K36" s="13"/>
      <c r="L36" s="11">
        <v>1864</v>
      </c>
      <c r="M36" s="12">
        <f t="shared" si="9"/>
        <v>363587.95966518507</v>
      </c>
    </row>
    <row r="37" spans="1:13">
      <c r="A37" s="11">
        <v>1865</v>
      </c>
      <c r="B37" s="14">
        <v>3.7199999999999997E-2</v>
      </c>
      <c r="C37" s="14">
        <v>1.11E-2</v>
      </c>
      <c r="D37" s="14">
        <v>0.323395428571429</v>
      </c>
      <c r="E37" s="11" t="s">
        <v>12</v>
      </c>
      <c r="F37" s="15">
        <f t="shared" si="5"/>
        <v>6.3485817142857162</v>
      </c>
      <c r="G37" s="8">
        <f t="shared" si="8"/>
        <v>0.67333333333333389</v>
      </c>
      <c r="H37" s="8">
        <v>1.5</v>
      </c>
      <c r="I37" s="15">
        <f t="shared" si="6"/>
        <v>20.146165973333343</v>
      </c>
      <c r="J37" s="12">
        <f t="shared" si="7"/>
        <v>7353.3505802666705</v>
      </c>
      <c r="K37" s="13"/>
      <c r="L37" s="11">
        <v>1865</v>
      </c>
      <c r="M37" s="12">
        <f t="shared" si="9"/>
        <v>354097.20143040887</v>
      </c>
    </row>
    <row r="38" spans="1:13">
      <c r="A38" s="11">
        <v>1866</v>
      </c>
      <c r="B38" s="14">
        <v>3.7999999999999999E-2</v>
      </c>
      <c r="C38" s="14">
        <v>1.1299999999999999E-2</v>
      </c>
      <c r="D38" s="14">
        <v>0.337435428571429</v>
      </c>
      <c r="E38" s="11" t="s">
        <v>12</v>
      </c>
      <c r="F38" s="15">
        <f t="shared" si="5"/>
        <v>6.4147417142857162</v>
      </c>
      <c r="G38" s="8">
        <f t="shared" si="8"/>
        <v>0.68400000000000061</v>
      </c>
      <c r="H38" s="8">
        <v>1.5</v>
      </c>
      <c r="I38" s="15">
        <f t="shared" si="6"/>
        <v>20.424537618285726</v>
      </c>
      <c r="J38" s="12">
        <f t="shared" si="7"/>
        <v>7454.9562306742901</v>
      </c>
      <c r="K38" s="13"/>
      <c r="L38" s="11">
        <v>1866</v>
      </c>
      <c r="M38" s="12">
        <f t="shared" si="9"/>
        <v>344562.39172853617</v>
      </c>
    </row>
    <row r="39" spans="1:13">
      <c r="A39" s="11">
        <v>1867</v>
      </c>
      <c r="B39" s="14">
        <v>3.8800000000000001E-2</v>
      </c>
      <c r="C39" s="14">
        <v>1.15E-2</v>
      </c>
      <c r="D39" s="14">
        <v>0.35178742857142897</v>
      </c>
      <c r="E39" s="11" t="s">
        <v>12</v>
      </c>
      <c r="F39" s="15">
        <f t="shared" si="5"/>
        <v>6.4821497142857165</v>
      </c>
      <c r="G39" s="8">
        <f t="shared" si="8"/>
        <v>0.69466666666666732</v>
      </c>
      <c r="H39" s="8">
        <v>1.5</v>
      </c>
      <c r="I39" s="15">
        <f t="shared" si="6"/>
        <v>20.708307620571439</v>
      </c>
      <c r="J39" s="12">
        <f t="shared" si="7"/>
        <v>7558.5322815085756</v>
      </c>
      <c r="K39" s="13"/>
      <c r="L39" s="11">
        <v>1867</v>
      </c>
      <c r="M39" s="12">
        <f t="shared" si="9"/>
        <v>334981.83629034547</v>
      </c>
    </row>
    <row r="40" spans="1:13">
      <c r="A40" s="11">
        <v>1868</v>
      </c>
      <c r="B40" s="14">
        <v>3.9600000000000003E-2</v>
      </c>
      <c r="C40" s="14">
        <v>1.17E-2</v>
      </c>
      <c r="D40" s="14">
        <v>0.36645142857142898</v>
      </c>
      <c r="E40" s="11" t="s">
        <v>12</v>
      </c>
      <c r="F40" s="15">
        <f t="shared" si="5"/>
        <v>6.5508057142857155</v>
      </c>
      <c r="G40" s="8">
        <f t="shared" si="8"/>
        <v>0.70533333333333403</v>
      </c>
      <c r="H40" s="8">
        <v>1.5</v>
      </c>
      <c r="I40" s="15">
        <f t="shared" si="6"/>
        <v>20.997515916190483</v>
      </c>
      <c r="J40" s="12">
        <f t="shared" si="7"/>
        <v>7664.0933094095262</v>
      </c>
      <c r="K40" s="13"/>
      <c r="L40" s="11">
        <v>1868</v>
      </c>
      <c r="M40" s="12">
        <f t="shared" si="9"/>
        <v>325353.83652305033</v>
      </c>
    </row>
    <row r="41" spans="1:13">
      <c r="A41" s="11">
        <v>1869</v>
      </c>
      <c r="B41" s="14">
        <v>4.0399999999999998E-2</v>
      </c>
      <c r="C41" s="14">
        <v>1.1900000000000001E-2</v>
      </c>
      <c r="D41" s="14">
        <v>0.38142742857142897</v>
      </c>
      <c r="E41" s="11" t="s">
        <v>12</v>
      </c>
      <c r="F41" s="15">
        <f t="shared" si="5"/>
        <v>6.6207097142857165</v>
      </c>
      <c r="G41" s="8">
        <f t="shared" si="8"/>
        <v>0.71600000000000075</v>
      </c>
      <c r="H41" s="8">
        <v>1.5</v>
      </c>
      <c r="I41" s="15">
        <f t="shared" si="6"/>
        <v>21.292202441142869</v>
      </c>
      <c r="J41" s="12">
        <f t="shared" si="7"/>
        <v>7771.6538910171475</v>
      </c>
      <c r="K41" s="13"/>
      <c r="L41" s="11">
        <v>1869</v>
      </c>
      <c r="M41" s="12">
        <f t="shared" si="9"/>
        <v>315676.689536241</v>
      </c>
    </row>
    <row r="42" spans="1:13">
      <c r="A42" s="11">
        <v>1870</v>
      </c>
      <c r="B42" s="14">
        <v>4.0999999999999898E-2</v>
      </c>
      <c r="C42" s="14">
        <v>1.21E-2</v>
      </c>
      <c r="D42" s="14">
        <v>0.396715428571429</v>
      </c>
      <c r="E42" s="11" t="s">
        <v>12</v>
      </c>
      <c r="F42" s="15">
        <f t="shared" si="5"/>
        <v>6.6918617142857162</v>
      </c>
      <c r="G42" s="8">
        <f t="shared" si="8"/>
        <v>0.72666666666666746</v>
      </c>
      <c r="H42" s="8">
        <v>1.5</v>
      </c>
      <c r="I42" s="15">
        <f t="shared" si="6"/>
        <v>21.592407131428583</v>
      </c>
      <c r="J42" s="12">
        <f t="shared" si="7"/>
        <v>7881.2286029714332</v>
      </c>
      <c r="K42" s="13">
        <v>331200</v>
      </c>
      <c r="L42" s="11">
        <v>1870</v>
      </c>
      <c r="M42" s="12">
        <f t="shared" si="9"/>
        <v>635161.48816766997</v>
      </c>
    </row>
    <row r="43" spans="1:13">
      <c r="A43" s="11">
        <v>1871</v>
      </c>
      <c r="B43" s="14">
        <v>4.0999999999999898E-2</v>
      </c>
      <c r="C43" s="14">
        <v>1.23E-2</v>
      </c>
      <c r="D43" s="14">
        <v>0.412744</v>
      </c>
      <c r="E43" s="11" t="s">
        <v>12</v>
      </c>
      <c r="F43" s="15">
        <f t="shared" si="5"/>
        <v>6.7659760000000002</v>
      </c>
      <c r="G43" s="8">
        <f t="shared" si="8"/>
        <v>0.73733333333333417</v>
      </c>
      <c r="H43" s="8">
        <v>2.5</v>
      </c>
      <c r="I43" s="15">
        <f t="shared" si="6"/>
        <v>28.669695637333337</v>
      </c>
      <c r="J43" s="12">
        <f t="shared" si="7"/>
        <v>10464.438907626669</v>
      </c>
      <c r="K43" s="13"/>
      <c r="L43" s="11">
        <v>1871</v>
      </c>
      <c r="M43" s="12">
        <f t="shared" si="9"/>
        <v>620948.86696448305</v>
      </c>
    </row>
    <row r="44" spans="1:13">
      <c r="A44" s="11">
        <v>1872</v>
      </c>
      <c r="B44" s="14">
        <v>4.0999999999999898E-2</v>
      </c>
      <c r="C44" s="14">
        <v>1.2500000000000001E-2</v>
      </c>
      <c r="D44" s="14">
        <v>0.42909314285714301</v>
      </c>
      <c r="E44" s="11" t="s">
        <v>12</v>
      </c>
      <c r="F44" s="15">
        <f t="shared" si="5"/>
        <v>6.8413725714285718</v>
      </c>
      <c r="G44" s="8">
        <f t="shared" si="8"/>
        <v>0.74800000000000089</v>
      </c>
      <c r="H44" s="8">
        <v>2.5</v>
      </c>
      <c r="I44" s="15">
        <f t="shared" si="6"/>
        <v>29.06215068342858</v>
      </c>
      <c r="J44" s="12">
        <f t="shared" si="7"/>
        <v>10607.684999451432</v>
      </c>
      <c r="K44" s="13">
        <v>14400</v>
      </c>
      <c r="L44" s="11">
        <v>1872</v>
      </c>
      <c r="M44" s="12">
        <f t="shared" si="9"/>
        <v>620992.73487324151</v>
      </c>
    </row>
    <row r="45" spans="1:13">
      <c r="A45" s="11">
        <v>1873</v>
      </c>
      <c r="B45" s="14">
        <v>4.0999999999999898E-2</v>
      </c>
      <c r="C45" s="14">
        <v>1.2699999999999999E-2</v>
      </c>
      <c r="D45" s="14">
        <v>0.44576285714285702</v>
      </c>
      <c r="E45" s="11" t="s">
        <v>12</v>
      </c>
      <c r="F45" s="15">
        <f t="shared" si="5"/>
        <v>6.9180514285714274</v>
      </c>
      <c r="G45" s="8">
        <f t="shared" si="8"/>
        <v>0.7586666666666676</v>
      </c>
      <c r="H45" s="8">
        <v>2.5</v>
      </c>
      <c r="I45" s="15">
        <f t="shared" si="6"/>
        <v>29.461675017142859</v>
      </c>
      <c r="J45" s="12">
        <f t="shared" si="7"/>
        <v>10753.511381257144</v>
      </c>
      <c r="K45" s="13"/>
      <c r="L45" s="11">
        <v>1873</v>
      </c>
      <c r="M45" s="12">
        <f t="shared" si="9"/>
        <v>606577.78815103252</v>
      </c>
    </row>
    <row r="46" spans="1:13">
      <c r="A46" s="11">
        <v>1874</v>
      </c>
      <c r="B46" s="14">
        <v>4.0999999999999898E-2</v>
      </c>
      <c r="C46" s="14">
        <v>1.29E-2</v>
      </c>
      <c r="D46" s="14">
        <v>0.46275314285714297</v>
      </c>
      <c r="E46" s="11" t="s">
        <v>12</v>
      </c>
      <c r="F46" s="15">
        <f t="shared" si="5"/>
        <v>6.9960125714285724</v>
      </c>
      <c r="G46" s="8">
        <f t="shared" si="8"/>
        <v>0.76933333333333431</v>
      </c>
      <c r="H46" s="8">
        <v>2.5</v>
      </c>
      <c r="I46" s="15">
        <f t="shared" si="6"/>
        <v>29.868309671619055</v>
      </c>
      <c r="J46" s="12">
        <f t="shared" si="7"/>
        <v>10901.933030140955</v>
      </c>
      <c r="K46" s="13"/>
      <c r="L46" s="11">
        <v>1874</v>
      </c>
      <c r="M46" s="12">
        <f t="shared" si="9"/>
        <v>592101.79999016621</v>
      </c>
    </row>
    <row r="47" spans="1:13">
      <c r="A47" s="11">
        <v>1875</v>
      </c>
      <c r="B47" s="14">
        <v>4.0999999999999898E-2</v>
      </c>
      <c r="C47" s="14">
        <v>1.3100000000000001E-2</v>
      </c>
      <c r="D47" s="14">
        <v>0.48006399999999999</v>
      </c>
      <c r="E47" s="11" t="s">
        <v>12</v>
      </c>
      <c r="F47" s="15">
        <f t="shared" si="5"/>
        <v>7.0752560000000004</v>
      </c>
      <c r="G47" s="8">
        <f t="shared" si="8"/>
        <v>0.78000000000000103</v>
      </c>
      <c r="H47" s="8">
        <v>2.5</v>
      </c>
      <c r="I47" s="15">
        <f t="shared" si="6"/>
        <v>30.282095680000008</v>
      </c>
      <c r="J47" s="12">
        <f t="shared" si="7"/>
        <v>11052.964923200003</v>
      </c>
      <c r="K47" s="13">
        <v>14400</v>
      </c>
      <c r="L47" s="11">
        <v>1875</v>
      </c>
      <c r="M47" s="12">
        <f t="shared" si="9"/>
        <v>591876.14205656445</v>
      </c>
    </row>
    <row r="48" spans="1:13">
      <c r="A48" s="11">
        <v>1876</v>
      </c>
      <c r="B48" s="14">
        <v>4.0999999999999898E-2</v>
      </c>
      <c r="C48" s="14">
        <v>1.3299999999999999E-2</v>
      </c>
      <c r="D48" s="14">
        <v>0.49769542857142901</v>
      </c>
      <c r="E48" s="11" t="s">
        <v>12</v>
      </c>
      <c r="F48" s="15">
        <f t="shared" si="5"/>
        <v>7.1557817142857161</v>
      </c>
      <c r="G48" s="8">
        <f t="shared" si="8"/>
        <v>0.79066666666666774</v>
      </c>
      <c r="H48" s="8">
        <v>2.5</v>
      </c>
      <c r="I48" s="15">
        <f t="shared" si="6"/>
        <v>30.703074075428585</v>
      </c>
      <c r="J48" s="12">
        <f t="shared" si="7"/>
        <v>11206.622037531433</v>
      </c>
      <c r="K48" s="13"/>
      <c r="L48" s="11">
        <v>1876</v>
      </c>
      <c r="M48" s="12">
        <f t="shared" si="9"/>
        <v>577185.50289891881</v>
      </c>
    </row>
    <row r="49" spans="1:13">
      <c r="A49" s="11">
        <v>1877</v>
      </c>
      <c r="B49" s="14">
        <v>4.0999999999999898E-2</v>
      </c>
      <c r="C49" s="14">
        <v>1.35E-2</v>
      </c>
      <c r="D49" s="14">
        <v>0.51564742857142898</v>
      </c>
      <c r="E49" s="11" t="s">
        <v>12</v>
      </c>
      <c r="F49" s="15">
        <f t="shared" si="5"/>
        <v>7.2375897142857157</v>
      </c>
      <c r="G49" s="8">
        <f t="shared" si="8"/>
        <v>0.80133333333333445</v>
      </c>
      <c r="H49" s="8">
        <v>2.5</v>
      </c>
      <c r="I49" s="15">
        <f t="shared" si="6"/>
        <v>31.131285891047636</v>
      </c>
      <c r="J49" s="12">
        <f t="shared" si="7"/>
        <v>11362.919350232387</v>
      </c>
      <c r="K49" s="13"/>
      <c r="L49" s="11">
        <v>1877</v>
      </c>
      <c r="M49" s="12">
        <f t="shared" si="9"/>
        <v>562427.64804739435</v>
      </c>
    </row>
    <row r="50" spans="1:13">
      <c r="A50" s="11">
        <v>1878</v>
      </c>
      <c r="B50" s="14">
        <v>4.09999999999998E-2</v>
      </c>
      <c r="C50" s="14">
        <v>1.37E-2</v>
      </c>
      <c r="D50" s="14">
        <v>0.53391999999999995</v>
      </c>
      <c r="E50" s="11" t="s">
        <v>12</v>
      </c>
      <c r="F50" s="15">
        <f t="shared" si="5"/>
        <v>7.3206799999999994</v>
      </c>
      <c r="G50" s="8">
        <f t="shared" si="8"/>
        <v>0.81200000000000117</v>
      </c>
      <c r="H50" s="8">
        <v>2.5</v>
      </c>
      <c r="I50" s="15">
        <f t="shared" si="6"/>
        <v>31.566772160000006</v>
      </c>
      <c r="J50" s="12">
        <f t="shared" si="7"/>
        <v>11521.871838400002</v>
      </c>
      <c r="K50" s="13"/>
      <c r="L50" s="11">
        <v>1878</v>
      </c>
      <c r="M50" s="12">
        <f t="shared" si="9"/>
        <v>547600.3415517403</v>
      </c>
    </row>
    <row r="51" spans="1:13">
      <c r="A51" s="11">
        <v>1879</v>
      </c>
      <c r="B51" s="14">
        <v>4.09999999999998E-2</v>
      </c>
      <c r="C51" s="14">
        <v>1.3899999999999999E-2</v>
      </c>
      <c r="D51" s="14">
        <v>0.55251314285714304</v>
      </c>
      <c r="E51" s="11" t="s">
        <v>12</v>
      </c>
      <c r="F51" s="15">
        <f t="shared" si="5"/>
        <v>7.4050525714285715</v>
      </c>
      <c r="G51" s="8">
        <f t="shared" si="8"/>
        <v>0.82266666666666788</v>
      </c>
      <c r="H51" s="8">
        <v>2.5</v>
      </c>
      <c r="I51" s="15">
        <f t="shared" si="6"/>
        <v>32.009573915428575</v>
      </c>
      <c r="J51" s="12">
        <f t="shared" si="7"/>
        <v>11683.49447913143</v>
      </c>
      <c r="K51" s="13"/>
      <c r="L51" s="11">
        <v>1879</v>
      </c>
      <c r="M51" s="12">
        <f t="shared" si="9"/>
        <v>532701.34599017329</v>
      </c>
    </row>
    <row r="52" spans="1:13">
      <c r="A52" s="11">
        <v>1880</v>
      </c>
      <c r="B52" s="14">
        <v>4.09999999999998E-2</v>
      </c>
      <c r="C52" s="14">
        <v>1.41E-2</v>
      </c>
      <c r="D52" s="14">
        <v>0.57142685714285701</v>
      </c>
      <c r="E52" s="11" t="s">
        <v>12</v>
      </c>
      <c r="F52" s="15">
        <f t="shared" si="5"/>
        <v>7.4907074285714277</v>
      </c>
      <c r="G52" s="8">
        <f t="shared" si="8"/>
        <v>0.83333333333333459</v>
      </c>
      <c r="H52" s="8">
        <v>2.5</v>
      </c>
      <c r="I52" s="15">
        <f t="shared" si="6"/>
        <v>32.459732190476196</v>
      </c>
      <c r="J52" s="12">
        <f t="shared" si="7"/>
        <v>11847.802249523811</v>
      </c>
      <c r="K52" s="13">
        <v>50400</v>
      </c>
      <c r="L52" s="11">
        <v>1880</v>
      </c>
      <c r="M52" s="12">
        <f t="shared" si="9"/>
        <v>567826.02247820562</v>
      </c>
    </row>
    <row r="53" spans="1:13">
      <c r="A53" s="11">
        <v>1881</v>
      </c>
      <c r="B53" s="14">
        <v>4.09999999999998E-2</v>
      </c>
      <c r="C53" s="14">
        <v>1.43E-2</v>
      </c>
      <c r="D53" s="14">
        <v>0.590661142857143</v>
      </c>
      <c r="E53" s="11" t="s">
        <v>12</v>
      </c>
      <c r="F53" s="15">
        <f t="shared" si="5"/>
        <v>7.5776445714285714</v>
      </c>
      <c r="G53" s="8">
        <f t="shared" si="8"/>
        <v>0.8440000000000013</v>
      </c>
      <c r="H53" s="8">
        <v>3.5</v>
      </c>
      <c r="I53" s="15">
        <f t="shared" si="6"/>
        <v>40.494932589714296</v>
      </c>
      <c r="J53" s="12">
        <f t="shared" si="7"/>
        <v>14780.650395245719</v>
      </c>
      <c r="K53" s="13"/>
      <c r="L53" s="11">
        <v>1881</v>
      </c>
      <c r="M53" s="12">
        <f t="shared" si="9"/>
        <v>549727.09985046205</v>
      </c>
    </row>
    <row r="54" spans="1:13">
      <c r="A54" s="11">
        <v>1882</v>
      </c>
      <c r="B54" s="14">
        <v>4.09999999999998E-2</v>
      </c>
      <c r="C54" s="14">
        <v>1.4500000000000001E-2</v>
      </c>
      <c r="D54" s="14">
        <v>0.61021599999999998</v>
      </c>
      <c r="E54" s="11" t="s">
        <v>12</v>
      </c>
      <c r="F54" s="15">
        <f t="shared" si="5"/>
        <v>7.665864</v>
      </c>
      <c r="G54" s="8">
        <f t="shared" si="8"/>
        <v>0.85466666666666802</v>
      </c>
      <c r="H54" s="8">
        <v>3.5</v>
      </c>
      <c r="I54" s="15">
        <f t="shared" si="6"/>
        <v>41.048146432000017</v>
      </c>
      <c r="J54" s="12">
        <f t="shared" si="7"/>
        <v>14982.573447680006</v>
      </c>
      <c r="K54" s="13"/>
      <c r="L54" s="11">
        <v>1882</v>
      </c>
      <c r="M54" s="12">
        <f t="shared" si="9"/>
        <v>531536.05924436531</v>
      </c>
    </row>
    <row r="55" spans="1:13">
      <c r="A55" s="11">
        <v>1883</v>
      </c>
      <c r="B55" s="14">
        <v>4.09999999999998E-2</v>
      </c>
      <c r="C55" s="14">
        <v>1.47E-2</v>
      </c>
      <c r="D55" s="14">
        <v>0.63009142857142897</v>
      </c>
      <c r="E55" s="11" t="s">
        <v>12</v>
      </c>
      <c r="F55" s="15">
        <f t="shared" si="5"/>
        <v>7.7553657142857162</v>
      </c>
      <c r="G55" s="8">
        <f t="shared" si="8"/>
        <v>0.86533333333333473</v>
      </c>
      <c r="H55" s="8">
        <v>3.5</v>
      </c>
      <c r="I55" s="15">
        <f t="shared" si="6"/>
        <v>41.610122179047643</v>
      </c>
      <c r="J55" s="12">
        <f t="shared" si="7"/>
        <v>15187.69459535239</v>
      </c>
      <c r="K55" s="13"/>
      <c r="L55" s="11">
        <v>1883</v>
      </c>
      <c r="M55" s="12">
        <f t="shared" si="9"/>
        <v>513250.27446111885</v>
      </c>
    </row>
    <row r="56" spans="1:13">
      <c r="A56" s="11">
        <v>1884</v>
      </c>
      <c r="B56" s="14">
        <v>4.09999999999998E-2</v>
      </c>
      <c r="C56" s="14">
        <v>1.49E-2</v>
      </c>
      <c r="D56" s="14">
        <v>0.65190742857142903</v>
      </c>
      <c r="E56" s="11" t="s">
        <v>12</v>
      </c>
      <c r="F56" s="15">
        <f t="shared" si="5"/>
        <v>7.8526297142857162</v>
      </c>
      <c r="G56" s="8">
        <f t="shared" si="8"/>
        <v>0.87600000000000144</v>
      </c>
      <c r="H56" s="8">
        <v>3.5</v>
      </c>
      <c r="I56" s="15">
        <f t="shared" si="6"/>
        <v>42.215737344000019</v>
      </c>
      <c r="J56" s="12">
        <f t="shared" si="7"/>
        <v>15408.744130560006</v>
      </c>
      <c r="K56" s="13"/>
      <c r="L56" s="11">
        <v>1884</v>
      </c>
      <c r="M56" s="12">
        <f t="shared" si="9"/>
        <v>494854.48114857549</v>
      </c>
    </row>
    <row r="57" spans="1:13">
      <c r="A57" s="11">
        <v>1885</v>
      </c>
      <c r="B57" s="14">
        <v>4.09999999999998E-2</v>
      </c>
      <c r="C57" s="14">
        <v>1.5100000000000001E-2</v>
      </c>
      <c r="D57" s="14">
        <v>0.67406971428571405</v>
      </c>
      <c r="E57" s="11" t="s">
        <v>12</v>
      </c>
      <c r="F57" s="15">
        <f t="shared" si="5"/>
        <v>7.9512788571428565</v>
      </c>
      <c r="G57" s="8">
        <f t="shared" si="8"/>
        <v>0.88666666666666816</v>
      </c>
      <c r="H57" s="8">
        <v>3.5</v>
      </c>
      <c r="I57" s="15">
        <f t="shared" si="6"/>
        <v>42.830888777142867</v>
      </c>
      <c r="J57" s="12">
        <f t="shared" si="7"/>
        <v>15633.274403657146</v>
      </c>
      <c r="K57" s="13"/>
      <c r="L57" s="11">
        <v>1885</v>
      </c>
      <c r="M57" s="12">
        <f t="shared" si="9"/>
        <v>476345.87950444885</v>
      </c>
    </row>
    <row r="58" spans="1:13">
      <c r="A58" s="11">
        <v>1886</v>
      </c>
      <c r="B58" s="14">
        <v>4.09999999999998E-2</v>
      </c>
      <c r="C58" s="14">
        <v>1.5299999999999999E-2</v>
      </c>
      <c r="D58" s="14">
        <v>0.69657828571428604</v>
      </c>
      <c r="E58" s="11" t="s">
        <v>12</v>
      </c>
      <c r="F58" s="15">
        <f t="shared" si="5"/>
        <v>8.0513131428571434</v>
      </c>
      <c r="G58" s="8">
        <f t="shared" si="8"/>
        <v>0.89733333333333487</v>
      </c>
      <c r="H58" s="8">
        <v>3.5</v>
      </c>
      <c r="I58" s="15">
        <f t="shared" si="6"/>
        <v>43.455620803047637</v>
      </c>
      <c r="J58" s="12">
        <f t="shared" si="7"/>
        <v>15861.301593112388</v>
      </c>
      <c r="K58" s="13"/>
      <c r="L58" s="11">
        <v>1886</v>
      </c>
      <c r="M58" s="12">
        <f t="shared" si="9"/>
        <v>457721.67044386844</v>
      </c>
    </row>
    <row r="59" spans="1:13">
      <c r="A59" s="11">
        <v>1887</v>
      </c>
      <c r="B59" s="14">
        <v>4.09999999999998E-2</v>
      </c>
      <c r="C59" s="14">
        <v>1.55E-2</v>
      </c>
      <c r="D59" s="14">
        <v>0.71943314285714299</v>
      </c>
      <c r="E59" s="11" t="s">
        <v>12</v>
      </c>
      <c r="F59" s="15">
        <f t="shared" si="5"/>
        <v>8.1527325714285723</v>
      </c>
      <c r="G59" s="8">
        <f t="shared" si="8"/>
        <v>0.90800000000000158</v>
      </c>
      <c r="H59" s="8">
        <v>3.5</v>
      </c>
      <c r="I59" s="15">
        <f t="shared" si="6"/>
        <v>44.089977746285726</v>
      </c>
      <c r="J59" s="12">
        <f t="shared" si="7"/>
        <v>16092.84187739429</v>
      </c>
      <c r="K59" s="13"/>
      <c r="L59" s="11">
        <v>1887</v>
      </c>
      <c r="M59" s="12">
        <f t="shared" si="9"/>
        <v>438979.0555950753</v>
      </c>
    </row>
    <row r="60" spans="1:13">
      <c r="A60" s="11">
        <v>1888</v>
      </c>
      <c r="B60" s="14">
        <v>4.0999999999999703E-2</v>
      </c>
      <c r="C60" s="14">
        <v>1.5699999999999999E-2</v>
      </c>
      <c r="D60" s="14">
        <v>0.74263428571428602</v>
      </c>
      <c r="E60" s="11" t="s">
        <v>12</v>
      </c>
      <c r="F60" s="15">
        <f t="shared" si="5"/>
        <v>8.2555371428571434</v>
      </c>
      <c r="G60" s="8">
        <f t="shared" si="8"/>
        <v>0.9186666666666683</v>
      </c>
      <c r="H60" s="8">
        <v>3.5</v>
      </c>
      <c r="I60" s="15">
        <f t="shared" si="6"/>
        <v>44.734003931428589</v>
      </c>
      <c r="J60" s="12">
        <f t="shared" si="7"/>
        <v>16327.911434971435</v>
      </c>
      <c r="K60" s="13"/>
      <c r="L60" s="11">
        <v>1888</v>
      </c>
      <c r="M60" s="12">
        <f t="shared" si="9"/>
        <v>420115.23729514325</v>
      </c>
    </row>
    <row r="61" spans="1:13">
      <c r="A61" s="11">
        <v>1889</v>
      </c>
      <c r="B61" s="14">
        <v>4.0999999999999703E-2</v>
      </c>
      <c r="C61" s="14">
        <v>1.5900000000000001E-2</v>
      </c>
      <c r="D61" s="14">
        <v>0.76618171428571402</v>
      </c>
      <c r="E61" s="11" t="s">
        <v>12</v>
      </c>
      <c r="F61" s="15">
        <f t="shared" si="5"/>
        <v>8.3597268571428565</v>
      </c>
      <c r="G61" s="8">
        <f t="shared" si="8"/>
        <v>0.92933333333333501</v>
      </c>
      <c r="H61" s="8">
        <v>3.5</v>
      </c>
      <c r="I61" s="15">
        <f t="shared" si="6"/>
        <v>45.387743683047631</v>
      </c>
      <c r="J61" s="12">
        <f t="shared" si="7"/>
        <v>16566.526444312385</v>
      </c>
      <c r="K61" s="13"/>
      <c r="L61" s="11">
        <v>1889</v>
      </c>
      <c r="M61" s="12">
        <f t="shared" si="9"/>
        <v>401127.41858572589</v>
      </c>
    </row>
    <row r="62" spans="1:13">
      <c r="A62" s="11">
        <v>1890</v>
      </c>
      <c r="B62" s="14">
        <v>4.0999999999999703E-2</v>
      </c>
      <c r="C62" s="14">
        <v>1.61E-2</v>
      </c>
      <c r="D62" s="14">
        <v>0.79007542857142798</v>
      </c>
      <c r="E62" s="11" t="s">
        <v>12</v>
      </c>
      <c r="F62" s="15">
        <f t="shared" si="5"/>
        <v>8.4653017142857117</v>
      </c>
      <c r="G62" s="8">
        <f t="shared" si="8"/>
        <v>0.94000000000000172</v>
      </c>
      <c r="H62" s="8">
        <v>3.5</v>
      </c>
      <c r="I62" s="15">
        <f t="shared" si="6"/>
        <v>46.05124132571428</v>
      </c>
      <c r="J62" s="12">
        <f t="shared" si="7"/>
        <v>16808.703083885714</v>
      </c>
      <c r="K62" s="13">
        <v>54000</v>
      </c>
      <c r="L62" s="11">
        <v>1890</v>
      </c>
      <c r="M62" s="12">
        <f t="shared" si="9"/>
        <v>435688.80320882914</v>
      </c>
    </row>
    <row r="63" spans="1:13">
      <c r="A63" s="11">
        <v>1891</v>
      </c>
      <c r="B63" s="14">
        <v>4.0999999999999703E-2</v>
      </c>
      <c r="C63" s="14">
        <v>1.6299999999999999E-2</v>
      </c>
      <c r="D63" s="14">
        <v>0.81431542857142902</v>
      </c>
      <c r="E63" s="11" t="s">
        <v>12</v>
      </c>
      <c r="F63" s="15">
        <f t="shared" si="5"/>
        <v>8.572261714285716</v>
      </c>
      <c r="G63" s="8">
        <f t="shared" si="8"/>
        <v>0.95066666666666844</v>
      </c>
      <c r="H63" s="8">
        <v>3.5</v>
      </c>
      <c r="I63" s="15">
        <f t="shared" si="6"/>
        <v>46.724541184000024</v>
      </c>
      <c r="J63" s="12">
        <f t="shared" si="7"/>
        <v>17054.45753216001</v>
      </c>
      <c r="K63" s="13"/>
      <c r="L63" s="11">
        <v>1891</v>
      </c>
      <c r="M63" s="12">
        <f t="shared" si="9"/>
        <v>416122.53960260912</v>
      </c>
    </row>
    <row r="64" spans="1:13">
      <c r="A64" s="11">
        <v>1892</v>
      </c>
      <c r="B64" s="14">
        <v>4.0999999999999703E-2</v>
      </c>
      <c r="C64" s="14">
        <v>1.6500000000000001E-2</v>
      </c>
      <c r="D64" s="14">
        <v>0.83855542857142895</v>
      </c>
      <c r="E64" s="11" t="s">
        <v>12</v>
      </c>
      <c r="F64" s="15">
        <f t="shared" si="5"/>
        <v>8.6792217142857169</v>
      </c>
      <c r="G64" s="8">
        <f t="shared" si="8"/>
        <v>0.96133333333333515</v>
      </c>
      <c r="H64" s="8">
        <v>3.5</v>
      </c>
      <c r="I64" s="15">
        <f t="shared" si="6"/>
        <v>47.400122855619074</v>
      </c>
      <c r="J64" s="12">
        <f t="shared" si="7"/>
        <v>17301.044842300962</v>
      </c>
      <c r="K64" s="13"/>
      <c r="L64" s="11">
        <v>1892</v>
      </c>
      <c r="M64" s="12">
        <f t="shared" si="9"/>
        <v>396428.56579174631</v>
      </c>
    </row>
    <row r="65" spans="1:13">
      <c r="A65" s="11">
        <v>1893</v>
      </c>
      <c r="B65" s="14">
        <v>4.0999999999999703E-2</v>
      </c>
      <c r="C65" s="14">
        <v>1.67E-2</v>
      </c>
      <c r="D65" s="14">
        <v>0.86279542857142899</v>
      </c>
      <c r="E65" s="11" t="s">
        <v>12</v>
      </c>
      <c r="F65" s="15">
        <f t="shared" si="5"/>
        <v>8.7861817142857159</v>
      </c>
      <c r="G65" s="8">
        <f t="shared" si="8"/>
        <v>0.97200000000000186</v>
      </c>
      <c r="H65" s="8">
        <v>3.5</v>
      </c>
      <c r="I65" s="15">
        <f t="shared" si="6"/>
        <v>48.077986340571456</v>
      </c>
      <c r="J65" s="12">
        <f t="shared" si="7"/>
        <v>17548.465014308582</v>
      </c>
      <c r="K65" s="13"/>
      <c r="L65" s="11">
        <v>1893</v>
      </c>
      <c r="M65" s="12">
        <f t="shared" si="9"/>
        <v>376606.82017277309</v>
      </c>
    </row>
    <row r="66" spans="1:13">
      <c r="A66" s="11">
        <v>1894</v>
      </c>
      <c r="B66" s="14">
        <v>4.0999999999999703E-2</v>
      </c>
      <c r="C66" s="14">
        <v>1.6899999999999998E-2</v>
      </c>
      <c r="D66" s="14">
        <v>0.88703542857142903</v>
      </c>
      <c r="E66" s="11" t="s">
        <v>12</v>
      </c>
      <c r="F66" s="15">
        <f t="shared" ref="F66:F97" si="10">(MIN(B66,0.02)*150)+(MIN(C66,0.04)*50)+(MIN(D66,1)*4)+(IF(E66="Great Power",1.5,IF(E66="Secondary Power",1.25,IF(E66="Westernized Nation",1,0))))</f>
        <v>8.893141714285715</v>
      </c>
      <c r="G66" s="8">
        <f t="shared" si="8"/>
        <v>0.98266666666666858</v>
      </c>
      <c r="H66" s="8">
        <v>3.5</v>
      </c>
      <c r="I66" s="15">
        <f t="shared" ref="I66:I97" si="11">F66*(1+H66+G66)</f>
        <v>48.758131638857165</v>
      </c>
      <c r="J66" s="12">
        <f t="shared" ref="J66:J97" si="12">I66*365</f>
        <v>17796.718048182865</v>
      </c>
      <c r="K66" s="13"/>
      <c r="L66" s="11">
        <v>1894</v>
      </c>
      <c r="M66" s="12">
        <f t="shared" si="9"/>
        <v>356657.2415118427</v>
      </c>
    </row>
    <row r="67" spans="1:13">
      <c r="A67" s="11">
        <v>1895</v>
      </c>
      <c r="B67" s="14">
        <v>4.0999999999999703E-2</v>
      </c>
      <c r="C67" s="14">
        <v>1.7100000000000001E-2</v>
      </c>
      <c r="D67" s="14">
        <v>0.91127542857142896</v>
      </c>
      <c r="E67" s="11" t="s">
        <v>12</v>
      </c>
      <c r="F67" s="15">
        <f t="shared" si="10"/>
        <v>9.0001017142857158</v>
      </c>
      <c r="G67" s="8">
        <f t="shared" ref="G67:G98" si="13">MIN(G66+(4*2/90/100*12),1)</f>
        <v>0.99333333333333529</v>
      </c>
      <c r="H67" s="8">
        <v>3.5</v>
      </c>
      <c r="I67" s="15">
        <f t="shared" si="11"/>
        <v>49.440558750476214</v>
      </c>
      <c r="J67" s="12">
        <f t="shared" si="12"/>
        <v>18045.803943923816</v>
      </c>
      <c r="K67" s="13">
        <v>18000</v>
      </c>
      <c r="L67" s="11">
        <v>1895</v>
      </c>
      <c r="M67" s="12">
        <f t="shared" ref="M67:M98" si="14">MAX((M66+K67-J67)*0.994,0)</f>
        <v>354471.76894251141</v>
      </c>
    </row>
    <row r="68" spans="1:13">
      <c r="A68" s="11">
        <v>1896</v>
      </c>
      <c r="B68" s="14">
        <v>4.0999999999999703E-2</v>
      </c>
      <c r="C68" s="14">
        <v>1.7299999999999999E-2</v>
      </c>
      <c r="D68" s="14">
        <v>0.935515428571429</v>
      </c>
      <c r="E68" s="11" t="s">
        <v>12</v>
      </c>
      <c r="F68" s="15">
        <f t="shared" si="10"/>
        <v>9.1070617142857166</v>
      </c>
      <c r="G68" s="8">
        <f t="shared" si="13"/>
        <v>1</v>
      </c>
      <c r="H68" s="8">
        <v>3.5</v>
      </c>
      <c r="I68" s="15">
        <f t="shared" si="11"/>
        <v>50.08883942857144</v>
      </c>
      <c r="J68" s="12">
        <f t="shared" si="12"/>
        <v>18282.426391428577</v>
      </c>
      <c r="K68" s="13"/>
      <c r="L68" s="11">
        <v>1896</v>
      </c>
      <c r="M68" s="12">
        <f t="shared" si="14"/>
        <v>334172.20649577637</v>
      </c>
    </row>
    <row r="69" spans="1:13">
      <c r="A69" s="11">
        <v>1897</v>
      </c>
      <c r="B69" s="14">
        <v>4.0999999999999703E-2</v>
      </c>
      <c r="C69" s="14">
        <v>1.7500000000000002E-2</v>
      </c>
      <c r="D69" s="14">
        <v>0.95975542857142904</v>
      </c>
      <c r="E69" s="11" t="s">
        <v>12</v>
      </c>
      <c r="F69" s="15">
        <f t="shared" si="10"/>
        <v>9.2140217142857157</v>
      </c>
      <c r="G69" s="8">
        <f t="shared" si="13"/>
        <v>1</v>
      </c>
      <c r="H69" s="8">
        <v>3.5</v>
      </c>
      <c r="I69" s="15">
        <f t="shared" si="11"/>
        <v>50.677119428571437</v>
      </c>
      <c r="J69" s="12">
        <f t="shared" si="12"/>
        <v>18497.148591428573</v>
      </c>
      <c r="K69" s="13"/>
      <c r="L69" s="11">
        <v>1897</v>
      </c>
      <c r="M69" s="12">
        <f t="shared" si="14"/>
        <v>313781.00755692169</v>
      </c>
    </row>
    <row r="70" spans="1:13">
      <c r="A70" s="11">
        <v>1898</v>
      </c>
      <c r="B70" s="14">
        <v>4.0999999999999599E-2</v>
      </c>
      <c r="C70" s="14">
        <v>1.77E-2</v>
      </c>
      <c r="D70" s="14">
        <v>0.98399542857142897</v>
      </c>
      <c r="E70" s="11" t="s">
        <v>12</v>
      </c>
      <c r="F70" s="15">
        <f t="shared" si="10"/>
        <v>9.3209817142857148</v>
      </c>
      <c r="G70" s="8">
        <f t="shared" si="13"/>
        <v>1</v>
      </c>
      <c r="H70" s="8">
        <v>3.5</v>
      </c>
      <c r="I70" s="15">
        <f t="shared" si="11"/>
        <v>51.265399428571428</v>
      </c>
      <c r="J70" s="12">
        <f t="shared" si="12"/>
        <v>18711.87079142857</v>
      </c>
      <c r="K70" s="13">
        <v>18000</v>
      </c>
      <c r="L70" s="11">
        <v>1898</v>
      </c>
      <c r="M70" s="12">
        <f t="shared" si="14"/>
        <v>311190.72194490017</v>
      </c>
    </row>
    <row r="71" spans="1:13">
      <c r="A71" s="11">
        <v>1899</v>
      </c>
      <c r="B71" s="14">
        <v>4.0999999999999599E-2</v>
      </c>
      <c r="C71" s="14">
        <v>1.7899999999999999E-2</v>
      </c>
      <c r="D71" s="14">
        <v>1</v>
      </c>
      <c r="E71" s="11" t="s">
        <v>12</v>
      </c>
      <c r="F71" s="15">
        <f t="shared" si="10"/>
        <v>9.3949999999999996</v>
      </c>
      <c r="G71" s="8">
        <f t="shared" si="13"/>
        <v>1</v>
      </c>
      <c r="H71" s="8">
        <v>3.5</v>
      </c>
      <c r="I71" s="15">
        <f t="shared" si="11"/>
        <v>51.672499999999999</v>
      </c>
      <c r="J71" s="12">
        <f t="shared" si="12"/>
        <v>18860.462500000001</v>
      </c>
      <c r="K71" s="13"/>
      <c r="L71" s="11">
        <v>1899</v>
      </c>
      <c r="M71" s="12">
        <f t="shared" si="14"/>
        <v>290576.27788823075</v>
      </c>
    </row>
    <row r="72" spans="1:13">
      <c r="A72" s="11">
        <v>1900</v>
      </c>
      <c r="B72" s="14">
        <v>4.0999999999999599E-2</v>
      </c>
      <c r="C72" s="14">
        <v>1.8100000000000002E-2</v>
      </c>
      <c r="D72" s="14">
        <v>1</v>
      </c>
      <c r="E72" s="11" t="s">
        <v>12</v>
      </c>
      <c r="F72" s="15">
        <f t="shared" si="10"/>
        <v>9.4050000000000011</v>
      </c>
      <c r="G72" s="8">
        <f t="shared" si="13"/>
        <v>1</v>
      </c>
      <c r="H72" s="8">
        <v>3.5</v>
      </c>
      <c r="I72" s="15">
        <f t="shared" si="11"/>
        <v>51.727500000000006</v>
      </c>
      <c r="J72" s="12">
        <f t="shared" si="12"/>
        <v>18880.537500000002</v>
      </c>
      <c r="K72" s="13">
        <v>255600</v>
      </c>
      <c r="L72" s="11">
        <v>1900</v>
      </c>
      <c r="M72" s="12">
        <f t="shared" si="14"/>
        <v>524131.96594590141</v>
      </c>
    </row>
    <row r="73" spans="1:13">
      <c r="A73" s="11">
        <v>1901</v>
      </c>
      <c r="B73" s="14">
        <v>4.0999999999999599E-2</v>
      </c>
      <c r="C73" s="14">
        <v>1.83E-2</v>
      </c>
      <c r="D73" s="14">
        <v>1</v>
      </c>
      <c r="E73" s="11" t="s">
        <v>12</v>
      </c>
      <c r="F73" s="15">
        <f t="shared" si="10"/>
        <v>9.4149999999999991</v>
      </c>
      <c r="G73" s="8">
        <f t="shared" si="13"/>
        <v>1</v>
      </c>
      <c r="H73" s="8">
        <v>4.5</v>
      </c>
      <c r="I73" s="15">
        <f t="shared" si="11"/>
        <v>61.197499999999991</v>
      </c>
      <c r="J73" s="12">
        <f t="shared" si="12"/>
        <v>22337.087499999998</v>
      </c>
      <c r="K73" s="13"/>
      <c r="L73" s="11">
        <v>1901</v>
      </c>
      <c r="M73" s="12">
        <f t="shared" si="14"/>
        <v>498784.10917522595</v>
      </c>
    </row>
    <row r="74" spans="1:13">
      <c r="A74" s="11">
        <v>1902</v>
      </c>
      <c r="B74" s="14">
        <v>4.0999999999999599E-2</v>
      </c>
      <c r="C74" s="14">
        <v>1.8499999999999999E-2</v>
      </c>
      <c r="D74" s="14">
        <v>1</v>
      </c>
      <c r="E74" s="11" t="s">
        <v>12</v>
      </c>
      <c r="F74" s="15">
        <f t="shared" si="10"/>
        <v>9.4250000000000007</v>
      </c>
      <c r="G74" s="8">
        <f t="shared" si="13"/>
        <v>1</v>
      </c>
      <c r="H74" s="8">
        <v>4.5</v>
      </c>
      <c r="I74" s="15">
        <f t="shared" si="11"/>
        <v>61.262500000000003</v>
      </c>
      <c r="J74" s="12">
        <f t="shared" si="12"/>
        <v>22360.8125</v>
      </c>
      <c r="K74" s="13"/>
      <c r="L74" s="11">
        <v>1902</v>
      </c>
      <c r="M74" s="12">
        <f t="shared" si="14"/>
        <v>473564.75689517462</v>
      </c>
    </row>
    <row r="75" spans="1:13">
      <c r="A75" s="11">
        <v>1903</v>
      </c>
      <c r="B75" s="14">
        <v>4.0999999999999599E-2</v>
      </c>
      <c r="C75" s="14">
        <v>1.8700000000000001E-2</v>
      </c>
      <c r="D75" s="14">
        <v>1</v>
      </c>
      <c r="E75" s="11" t="s">
        <v>12</v>
      </c>
      <c r="F75" s="15">
        <f t="shared" si="10"/>
        <v>9.4350000000000005</v>
      </c>
      <c r="G75" s="8">
        <f t="shared" si="13"/>
        <v>1</v>
      </c>
      <c r="H75" s="8">
        <v>4.5</v>
      </c>
      <c r="I75" s="15">
        <f t="shared" si="11"/>
        <v>61.327500000000001</v>
      </c>
      <c r="J75" s="12">
        <f t="shared" si="12"/>
        <v>22384.537499999999</v>
      </c>
      <c r="K75" s="13"/>
      <c r="L75" s="11">
        <v>1903</v>
      </c>
      <c r="M75" s="12">
        <f t="shared" si="14"/>
        <v>448473.1380788036</v>
      </c>
    </row>
    <row r="76" spans="1:13">
      <c r="A76" s="11">
        <v>1904</v>
      </c>
      <c r="B76" s="14">
        <v>4.0999999999999599E-2</v>
      </c>
      <c r="C76" s="14">
        <v>1.89E-2</v>
      </c>
      <c r="D76" s="14">
        <v>1</v>
      </c>
      <c r="E76" s="11" t="s">
        <v>12</v>
      </c>
      <c r="F76" s="15">
        <f t="shared" si="10"/>
        <v>9.4450000000000003</v>
      </c>
      <c r="G76" s="8">
        <f t="shared" si="13"/>
        <v>1</v>
      </c>
      <c r="H76" s="8">
        <v>4.5</v>
      </c>
      <c r="I76" s="15">
        <f t="shared" si="11"/>
        <v>61.392499999999998</v>
      </c>
      <c r="J76" s="12">
        <f t="shared" si="12"/>
        <v>22408.262500000001</v>
      </c>
      <c r="K76" s="13"/>
      <c r="L76" s="11">
        <v>1904</v>
      </c>
      <c r="M76" s="12">
        <f t="shared" si="14"/>
        <v>423508.48632533074</v>
      </c>
    </row>
    <row r="77" spans="1:13">
      <c r="A77" s="11">
        <v>1905</v>
      </c>
      <c r="B77" s="14">
        <v>4.0999999999999599E-2</v>
      </c>
      <c r="C77" s="14">
        <v>1.9099999999999999E-2</v>
      </c>
      <c r="D77" s="14">
        <v>1</v>
      </c>
      <c r="E77" s="11" t="s">
        <v>12</v>
      </c>
      <c r="F77" s="15">
        <f t="shared" si="10"/>
        <v>9.4550000000000001</v>
      </c>
      <c r="G77" s="8">
        <f t="shared" si="13"/>
        <v>1</v>
      </c>
      <c r="H77" s="8">
        <v>4.5</v>
      </c>
      <c r="I77" s="15">
        <f t="shared" si="11"/>
        <v>61.457500000000003</v>
      </c>
      <c r="J77" s="12">
        <f t="shared" si="12"/>
        <v>22431.987500000003</v>
      </c>
      <c r="K77" s="13">
        <v>21600</v>
      </c>
      <c r="L77" s="11">
        <v>1905</v>
      </c>
      <c r="M77" s="12">
        <f t="shared" si="14"/>
        <v>420140.43983237876</v>
      </c>
    </row>
    <row r="78" spans="1:13">
      <c r="A78" s="11">
        <v>1906</v>
      </c>
      <c r="B78" s="14">
        <v>4.0999999999999599E-2</v>
      </c>
      <c r="C78" s="14">
        <v>1.9300000000000001E-2</v>
      </c>
      <c r="D78" s="14">
        <v>1</v>
      </c>
      <c r="E78" s="11" t="s">
        <v>12</v>
      </c>
      <c r="F78" s="15">
        <f t="shared" si="10"/>
        <v>9.4649999999999999</v>
      </c>
      <c r="G78" s="8">
        <f t="shared" si="13"/>
        <v>1</v>
      </c>
      <c r="H78" s="8">
        <v>4.5</v>
      </c>
      <c r="I78" s="15">
        <f t="shared" si="11"/>
        <v>61.522500000000001</v>
      </c>
      <c r="J78" s="12">
        <f t="shared" si="12"/>
        <v>22455.712500000001</v>
      </c>
      <c r="K78" s="13"/>
      <c r="L78" s="11">
        <v>1906</v>
      </c>
      <c r="M78" s="12">
        <f t="shared" si="14"/>
        <v>395298.61896838446</v>
      </c>
    </row>
    <row r="79" spans="1:13">
      <c r="A79" s="11">
        <v>1907</v>
      </c>
      <c r="B79" s="14">
        <v>4.0999999999999599E-2</v>
      </c>
      <c r="C79" s="14">
        <v>1.95E-2</v>
      </c>
      <c r="D79" s="14">
        <v>1</v>
      </c>
      <c r="E79" s="11" t="s">
        <v>12</v>
      </c>
      <c r="F79" s="15">
        <f t="shared" si="10"/>
        <v>9.4749999999999996</v>
      </c>
      <c r="G79" s="8">
        <f t="shared" si="13"/>
        <v>1</v>
      </c>
      <c r="H79" s="8">
        <v>4.5</v>
      </c>
      <c r="I79" s="15">
        <f t="shared" si="11"/>
        <v>61.587499999999999</v>
      </c>
      <c r="J79" s="12">
        <f t="shared" si="12"/>
        <v>22479.4375</v>
      </c>
      <c r="K79" s="13"/>
      <c r="L79" s="11">
        <v>1907</v>
      </c>
      <c r="M79" s="12">
        <f t="shared" si="14"/>
        <v>370582.26637957414</v>
      </c>
    </row>
    <row r="80" spans="1:13">
      <c r="A80" s="11">
        <v>1908</v>
      </c>
      <c r="B80" s="14">
        <v>4.0999999999999502E-2</v>
      </c>
      <c r="C80" s="14">
        <v>1.9699999999999999E-2</v>
      </c>
      <c r="D80" s="14">
        <v>1</v>
      </c>
      <c r="E80" s="11" t="s">
        <v>12</v>
      </c>
      <c r="F80" s="15">
        <f t="shared" si="10"/>
        <v>9.4849999999999994</v>
      </c>
      <c r="G80" s="8">
        <f t="shared" si="13"/>
        <v>1</v>
      </c>
      <c r="H80" s="8">
        <v>4.5</v>
      </c>
      <c r="I80" s="15">
        <f t="shared" si="11"/>
        <v>61.652499999999996</v>
      </c>
      <c r="J80" s="12">
        <f t="shared" si="12"/>
        <v>22503.162499999999</v>
      </c>
      <c r="K80" s="13"/>
      <c r="L80" s="11">
        <v>1908</v>
      </c>
      <c r="M80" s="12">
        <f t="shared" si="14"/>
        <v>345990.62925629673</v>
      </c>
    </row>
    <row r="81" spans="1:13">
      <c r="A81" s="11">
        <v>1909</v>
      </c>
      <c r="B81" s="14">
        <v>4.0999999999999502E-2</v>
      </c>
      <c r="C81" s="14">
        <v>1.9900000000000001E-2</v>
      </c>
      <c r="D81" s="14">
        <v>1</v>
      </c>
      <c r="E81" s="11" t="s">
        <v>12</v>
      </c>
      <c r="F81" s="15">
        <f t="shared" si="10"/>
        <v>9.495000000000001</v>
      </c>
      <c r="G81" s="8">
        <f t="shared" si="13"/>
        <v>1</v>
      </c>
      <c r="H81" s="8">
        <v>4.5</v>
      </c>
      <c r="I81" s="15">
        <f t="shared" si="11"/>
        <v>61.717500000000008</v>
      </c>
      <c r="J81" s="12">
        <f t="shared" si="12"/>
        <v>22526.887500000004</v>
      </c>
      <c r="K81" s="13"/>
      <c r="L81" s="11">
        <v>1909</v>
      </c>
      <c r="M81" s="12">
        <f t="shared" si="14"/>
        <v>321522.95930575894</v>
      </c>
    </row>
    <row r="82" spans="1:13">
      <c r="A82" s="11">
        <v>1910</v>
      </c>
      <c r="B82" s="14">
        <v>4.0999999999999502E-2</v>
      </c>
      <c r="C82" s="14">
        <v>2.01E-2</v>
      </c>
      <c r="D82" s="14">
        <v>1</v>
      </c>
      <c r="E82" s="11" t="s">
        <v>12</v>
      </c>
      <c r="F82" s="15">
        <f t="shared" si="10"/>
        <v>9.504999999999999</v>
      </c>
      <c r="G82" s="8">
        <f t="shared" si="13"/>
        <v>1</v>
      </c>
      <c r="H82" s="8">
        <v>4.5</v>
      </c>
      <c r="I82" s="15">
        <f t="shared" si="11"/>
        <v>61.782499999999992</v>
      </c>
      <c r="J82" s="12">
        <f t="shared" si="12"/>
        <v>22550.612499999996</v>
      </c>
      <c r="K82" s="13">
        <v>21600</v>
      </c>
      <c r="L82" s="11">
        <v>1910</v>
      </c>
      <c r="M82" s="12">
        <f t="shared" si="14"/>
        <v>318648.91272492439</v>
      </c>
    </row>
    <row r="83" spans="1:13">
      <c r="A83" s="11">
        <v>1911</v>
      </c>
      <c r="B83" s="14">
        <v>4.0999999999999502E-2</v>
      </c>
      <c r="C83" s="14">
        <v>2.0299999999999999E-2</v>
      </c>
      <c r="D83" s="14">
        <v>1</v>
      </c>
      <c r="E83" s="11" t="s">
        <v>12</v>
      </c>
      <c r="F83" s="15">
        <f t="shared" si="10"/>
        <v>9.5150000000000006</v>
      </c>
      <c r="G83" s="8">
        <f t="shared" si="13"/>
        <v>1</v>
      </c>
      <c r="H83" s="8">
        <v>4.5</v>
      </c>
      <c r="I83" s="15">
        <f t="shared" si="11"/>
        <v>61.847500000000004</v>
      </c>
      <c r="J83" s="12">
        <f t="shared" si="12"/>
        <v>22574.337500000001</v>
      </c>
      <c r="K83" s="13"/>
      <c r="L83" s="11">
        <v>1911</v>
      </c>
      <c r="M83" s="12">
        <f t="shared" si="14"/>
        <v>294298.12777357484</v>
      </c>
    </row>
    <row r="84" spans="1:13">
      <c r="A84" s="11">
        <v>1912</v>
      </c>
      <c r="B84" s="14">
        <v>4.0999999999999502E-2</v>
      </c>
      <c r="C84" s="14">
        <v>2.0500000000000001E-2</v>
      </c>
      <c r="D84" s="14">
        <v>1</v>
      </c>
      <c r="E84" s="11" t="s">
        <v>12</v>
      </c>
      <c r="F84" s="15">
        <f t="shared" si="10"/>
        <v>9.5250000000000004</v>
      </c>
      <c r="G84" s="8">
        <f t="shared" si="13"/>
        <v>1</v>
      </c>
      <c r="H84" s="8">
        <v>4.5</v>
      </c>
      <c r="I84" s="15">
        <f t="shared" si="11"/>
        <v>61.912500000000001</v>
      </c>
      <c r="J84" s="12">
        <f t="shared" si="12"/>
        <v>22598.0625</v>
      </c>
      <c r="K84" s="13"/>
      <c r="L84" s="11">
        <v>1912</v>
      </c>
      <c r="M84" s="12">
        <f t="shared" si="14"/>
        <v>270069.86488193338</v>
      </c>
    </row>
    <row r="85" spans="1:13">
      <c r="A85" s="11">
        <v>1913</v>
      </c>
      <c r="B85" s="14">
        <v>4.0999999999999502E-2</v>
      </c>
      <c r="C85" s="14">
        <v>2.07E-2</v>
      </c>
      <c r="D85" s="14">
        <v>1</v>
      </c>
      <c r="E85" s="11" t="s">
        <v>12</v>
      </c>
      <c r="F85" s="15">
        <f t="shared" si="10"/>
        <v>9.5350000000000001</v>
      </c>
      <c r="G85" s="8">
        <f t="shared" si="13"/>
        <v>1</v>
      </c>
      <c r="H85" s="8">
        <v>4.5</v>
      </c>
      <c r="I85" s="15">
        <f t="shared" si="11"/>
        <v>61.977499999999999</v>
      </c>
      <c r="J85" s="12">
        <f t="shared" si="12"/>
        <v>22621.787499999999</v>
      </c>
      <c r="K85" s="13"/>
      <c r="L85" s="11">
        <v>1913</v>
      </c>
      <c r="M85" s="12">
        <f t="shared" si="14"/>
        <v>245963.38891764177</v>
      </c>
    </row>
    <row r="86" spans="1:13">
      <c r="A86" s="11">
        <v>1914</v>
      </c>
      <c r="B86" s="14">
        <v>4.0999999999999502E-2</v>
      </c>
      <c r="C86" s="14">
        <v>2.0899999999999998E-2</v>
      </c>
      <c r="D86" s="14">
        <v>1</v>
      </c>
      <c r="E86" s="11" t="s">
        <v>12</v>
      </c>
      <c r="F86" s="15">
        <f t="shared" si="10"/>
        <v>9.5449999999999999</v>
      </c>
      <c r="G86" s="8">
        <f t="shared" si="13"/>
        <v>1</v>
      </c>
      <c r="H86" s="8">
        <v>4.5</v>
      </c>
      <c r="I86" s="15">
        <f t="shared" si="11"/>
        <v>62.042499999999997</v>
      </c>
      <c r="J86" s="12">
        <f t="shared" si="12"/>
        <v>22645.512499999997</v>
      </c>
      <c r="K86" s="13">
        <v>43200</v>
      </c>
      <c r="L86" s="11">
        <v>1914</v>
      </c>
      <c r="M86" s="12">
        <f t="shared" si="14"/>
        <v>264918.76915913593</v>
      </c>
    </row>
    <row r="87" spans="1:13">
      <c r="A87" s="11">
        <v>1915</v>
      </c>
      <c r="B87" s="14">
        <v>4.0999999999999502E-2</v>
      </c>
      <c r="C87" s="14">
        <v>2.1100000000000001E-2</v>
      </c>
      <c r="D87" s="14">
        <v>1</v>
      </c>
      <c r="E87" s="11" t="s">
        <v>12</v>
      </c>
      <c r="F87" s="15">
        <f t="shared" si="10"/>
        <v>9.5549999999999997</v>
      </c>
      <c r="G87" s="8">
        <f t="shared" si="13"/>
        <v>1</v>
      </c>
      <c r="H87" s="8">
        <v>4.5</v>
      </c>
      <c r="I87" s="15">
        <f t="shared" si="11"/>
        <v>62.107500000000002</v>
      </c>
      <c r="J87" s="12">
        <f t="shared" si="12"/>
        <v>22669.237499999999</v>
      </c>
      <c r="K87" s="13">
        <v>21600</v>
      </c>
      <c r="L87" s="11">
        <v>1915</v>
      </c>
      <c r="M87" s="12">
        <f t="shared" si="14"/>
        <v>262266.43446918111</v>
      </c>
    </row>
    <row r="88" spans="1:13">
      <c r="A88" s="11">
        <v>1916</v>
      </c>
      <c r="B88" s="14">
        <v>4.0999999999999502E-2</v>
      </c>
      <c r="C88" s="14">
        <v>2.1299999999999999E-2</v>
      </c>
      <c r="D88" s="14">
        <v>1</v>
      </c>
      <c r="E88" s="11" t="s">
        <v>12</v>
      </c>
      <c r="F88" s="15">
        <f t="shared" si="10"/>
        <v>9.5649999999999995</v>
      </c>
      <c r="G88" s="8">
        <f t="shared" si="13"/>
        <v>1</v>
      </c>
      <c r="H88" s="8">
        <v>4.5</v>
      </c>
      <c r="I88" s="15">
        <f t="shared" si="11"/>
        <v>62.172499999999999</v>
      </c>
      <c r="J88" s="12">
        <f t="shared" si="12"/>
        <v>22692.962500000001</v>
      </c>
      <c r="K88" s="13"/>
      <c r="L88" s="11">
        <v>1916</v>
      </c>
      <c r="M88" s="12">
        <f t="shared" si="14"/>
        <v>238136.03113736602</v>
      </c>
    </row>
    <row r="89" spans="1:13">
      <c r="A89" s="11">
        <v>1917</v>
      </c>
      <c r="B89" s="14">
        <v>4.0999999999999502E-2</v>
      </c>
      <c r="C89" s="14">
        <v>2.1499999999999998E-2</v>
      </c>
      <c r="D89" s="14">
        <v>1</v>
      </c>
      <c r="E89" s="11" t="s">
        <v>12</v>
      </c>
      <c r="F89" s="15">
        <f t="shared" si="10"/>
        <v>9.5749999999999993</v>
      </c>
      <c r="G89" s="8">
        <f t="shared" si="13"/>
        <v>1</v>
      </c>
      <c r="H89" s="8">
        <v>4.5</v>
      </c>
      <c r="I89" s="15">
        <f t="shared" si="11"/>
        <v>62.237499999999997</v>
      </c>
      <c r="J89" s="12">
        <f t="shared" si="12"/>
        <v>22716.6875</v>
      </c>
      <c r="K89" s="13"/>
      <c r="L89" s="11">
        <v>1917</v>
      </c>
      <c r="M89" s="12">
        <f t="shared" si="14"/>
        <v>214126.82757554183</v>
      </c>
    </row>
    <row r="90" spans="1:13">
      <c r="A90" s="11">
        <v>1918</v>
      </c>
      <c r="B90" s="14">
        <v>4.0999999999999398E-2</v>
      </c>
      <c r="C90" s="14">
        <v>2.1700000000000001E-2</v>
      </c>
      <c r="D90" s="14">
        <v>1</v>
      </c>
      <c r="E90" s="11" t="s">
        <v>12</v>
      </c>
      <c r="F90" s="15">
        <f t="shared" si="10"/>
        <v>9.5850000000000009</v>
      </c>
      <c r="G90" s="8">
        <f t="shared" si="13"/>
        <v>1</v>
      </c>
      <c r="H90" s="8">
        <v>4.5</v>
      </c>
      <c r="I90" s="15">
        <f t="shared" si="11"/>
        <v>62.302500000000009</v>
      </c>
      <c r="J90" s="12">
        <f t="shared" si="12"/>
        <v>22740.412500000002</v>
      </c>
      <c r="K90" s="13"/>
      <c r="L90" s="11">
        <v>1918</v>
      </c>
      <c r="M90" s="12">
        <f t="shared" si="14"/>
        <v>190238.09658508858</v>
      </c>
    </row>
    <row r="91" spans="1:13">
      <c r="A91" s="11">
        <v>1919</v>
      </c>
      <c r="B91" s="14">
        <v>4.0999999999999398E-2</v>
      </c>
      <c r="C91" s="14">
        <v>2.1899999999999999E-2</v>
      </c>
      <c r="D91" s="14">
        <v>1</v>
      </c>
      <c r="E91" s="11" t="s">
        <v>12</v>
      </c>
      <c r="F91" s="15">
        <f t="shared" si="10"/>
        <v>9.5949999999999989</v>
      </c>
      <c r="G91" s="8">
        <f t="shared" si="13"/>
        <v>1</v>
      </c>
      <c r="H91" s="8">
        <v>4.5</v>
      </c>
      <c r="I91" s="15">
        <f t="shared" si="11"/>
        <v>62.367499999999993</v>
      </c>
      <c r="J91" s="12">
        <f t="shared" si="12"/>
        <v>22764.137499999997</v>
      </c>
      <c r="K91" s="13">
        <v>194400</v>
      </c>
      <c r="L91" s="11">
        <v>1919</v>
      </c>
      <c r="M91" s="12">
        <f t="shared" si="14"/>
        <v>359702.71533057804</v>
      </c>
    </row>
    <row r="92" spans="1:13">
      <c r="A92" s="11">
        <v>1920</v>
      </c>
      <c r="B92" s="14">
        <v>4.0999999999999398E-2</v>
      </c>
      <c r="C92" s="14">
        <v>2.2100000000000002E-2</v>
      </c>
      <c r="D92" s="14">
        <v>1</v>
      </c>
      <c r="E92" s="11" t="s">
        <v>12</v>
      </c>
      <c r="F92" s="15">
        <f t="shared" si="10"/>
        <v>9.6050000000000004</v>
      </c>
      <c r="G92" s="8">
        <f t="shared" si="13"/>
        <v>1</v>
      </c>
      <c r="H92" s="8">
        <v>4.5</v>
      </c>
      <c r="I92" s="15">
        <f t="shared" si="11"/>
        <v>62.432500000000005</v>
      </c>
      <c r="J92" s="12">
        <f t="shared" si="12"/>
        <v>22787.862500000003</v>
      </c>
      <c r="K92" s="13"/>
      <c r="L92" s="11">
        <v>1920</v>
      </c>
      <c r="M92" s="12">
        <f t="shared" si="14"/>
        <v>334893.36371359456</v>
      </c>
    </row>
    <row r="93" spans="1:13">
      <c r="A93" s="11">
        <v>1921</v>
      </c>
      <c r="B93" s="14">
        <v>4.0999999999999398E-2</v>
      </c>
      <c r="C93" s="14">
        <v>2.23E-2</v>
      </c>
      <c r="D93" s="14">
        <v>1</v>
      </c>
      <c r="E93" s="11" t="s">
        <v>12</v>
      </c>
      <c r="F93" s="15">
        <f t="shared" si="10"/>
        <v>9.6150000000000002</v>
      </c>
      <c r="G93" s="8">
        <f t="shared" si="13"/>
        <v>1</v>
      </c>
      <c r="H93" s="8">
        <v>4.5</v>
      </c>
      <c r="I93" s="15">
        <f t="shared" si="11"/>
        <v>62.497500000000002</v>
      </c>
      <c r="J93" s="12">
        <f t="shared" si="12"/>
        <v>22811.587500000001</v>
      </c>
      <c r="K93" s="13"/>
      <c r="L93" s="11">
        <v>1921</v>
      </c>
      <c r="M93" s="12">
        <f t="shared" si="14"/>
        <v>310209.28555631294</v>
      </c>
    </row>
    <row r="94" spans="1:13">
      <c r="A94" s="11">
        <v>1922</v>
      </c>
      <c r="B94" s="14">
        <v>4.0999999999999398E-2</v>
      </c>
      <c r="C94" s="14">
        <v>2.2499999999999999E-2</v>
      </c>
      <c r="D94" s="14">
        <v>1</v>
      </c>
      <c r="E94" s="11" t="s">
        <v>12</v>
      </c>
      <c r="F94" s="15">
        <f t="shared" si="10"/>
        <v>9.625</v>
      </c>
      <c r="G94" s="8">
        <f t="shared" si="13"/>
        <v>1</v>
      </c>
      <c r="H94" s="8">
        <v>4.5</v>
      </c>
      <c r="I94" s="15">
        <f t="shared" si="11"/>
        <v>62.5625</v>
      </c>
      <c r="J94" s="12">
        <f t="shared" si="12"/>
        <v>22835.3125</v>
      </c>
      <c r="K94" s="13"/>
      <c r="L94" s="11">
        <v>1922</v>
      </c>
      <c r="M94" s="12">
        <f t="shared" si="14"/>
        <v>285649.72921797505</v>
      </c>
    </row>
    <row r="95" spans="1:13">
      <c r="A95" s="11">
        <v>1923</v>
      </c>
      <c r="B95" s="14">
        <v>4.0999999999999398E-2</v>
      </c>
      <c r="C95" s="14">
        <v>2.2700000000000001E-2</v>
      </c>
      <c r="D95" s="14">
        <v>1</v>
      </c>
      <c r="E95" s="11" t="s">
        <v>12</v>
      </c>
      <c r="F95" s="15">
        <f t="shared" si="10"/>
        <v>9.6349999999999998</v>
      </c>
      <c r="G95" s="8">
        <f t="shared" si="13"/>
        <v>1</v>
      </c>
      <c r="H95" s="8">
        <v>4.5</v>
      </c>
      <c r="I95" s="15">
        <f t="shared" si="11"/>
        <v>62.627499999999998</v>
      </c>
      <c r="J95" s="12">
        <f t="shared" si="12"/>
        <v>22859.037499999999</v>
      </c>
      <c r="K95" s="13"/>
      <c r="L95" s="11">
        <v>1923</v>
      </c>
      <c r="M95" s="12">
        <f t="shared" si="14"/>
        <v>261213.94756766723</v>
      </c>
    </row>
    <row r="96" spans="1:13">
      <c r="A96" s="11">
        <v>1924</v>
      </c>
      <c r="B96" s="14">
        <v>4.0999999999999398E-2</v>
      </c>
      <c r="C96" s="14">
        <v>2.29E-2</v>
      </c>
      <c r="D96" s="14">
        <v>1</v>
      </c>
      <c r="E96" s="11" t="s">
        <v>12</v>
      </c>
      <c r="F96" s="15">
        <f t="shared" si="10"/>
        <v>9.6449999999999996</v>
      </c>
      <c r="G96" s="8">
        <f t="shared" si="13"/>
        <v>1</v>
      </c>
      <c r="H96" s="8">
        <v>4.5</v>
      </c>
      <c r="I96" s="15">
        <f t="shared" si="11"/>
        <v>62.692499999999995</v>
      </c>
      <c r="J96" s="12">
        <f t="shared" si="12"/>
        <v>22882.762499999997</v>
      </c>
      <c r="K96" s="13"/>
      <c r="L96" s="11">
        <v>1924</v>
      </c>
      <c r="M96" s="12">
        <f t="shared" si="14"/>
        <v>236901.1979572612</v>
      </c>
    </row>
    <row r="97" spans="1:13">
      <c r="A97" s="11">
        <v>1925</v>
      </c>
      <c r="B97" s="14">
        <v>4.0999999999999398E-2</v>
      </c>
      <c r="C97" s="14">
        <v>2.3099999999999999E-2</v>
      </c>
      <c r="D97" s="14">
        <v>1</v>
      </c>
      <c r="E97" s="11" t="s">
        <v>12</v>
      </c>
      <c r="F97" s="15">
        <f t="shared" si="10"/>
        <v>9.6550000000000011</v>
      </c>
      <c r="G97" s="8">
        <f t="shared" si="13"/>
        <v>1</v>
      </c>
      <c r="H97" s="8">
        <v>4.5</v>
      </c>
      <c r="I97" s="15">
        <f t="shared" si="11"/>
        <v>62.757500000000007</v>
      </c>
      <c r="J97" s="12">
        <f t="shared" si="12"/>
        <v>22906.487500000003</v>
      </c>
      <c r="K97" s="13"/>
      <c r="L97" s="11">
        <v>1925</v>
      </c>
      <c r="M97" s="12">
        <f t="shared" si="14"/>
        <v>212710.74219451763</v>
      </c>
    </row>
    <row r="98" spans="1:13">
      <c r="A98" s="11">
        <v>1926</v>
      </c>
      <c r="B98" s="14">
        <v>4.0999999999999398E-2</v>
      </c>
      <c r="C98" s="14">
        <v>2.3300000000000001E-2</v>
      </c>
      <c r="D98" s="14">
        <v>1</v>
      </c>
      <c r="E98" s="11" t="s">
        <v>12</v>
      </c>
      <c r="F98" s="15">
        <f t="shared" ref="F98:F129" si="15">(MIN(B98,0.02)*150)+(MIN(C98,0.04)*50)+(MIN(D98,1)*4)+(IF(E98="Great Power",1.5,IF(E98="Secondary Power",1.25,IF(E98="Westernized Nation",1,0))))</f>
        <v>9.6649999999999991</v>
      </c>
      <c r="G98" s="8">
        <f t="shared" si="13"/>
        <v>1</v>
      </c>
      <c r="H98" s="8">
        <v>4.5</v>
      </c>
      <c r="I98" s="15">
        <f t="shared" ref="I98:I129" si="16">F98*(1+H98+G98)</f>
        <v>62.822499999999991</v>
      </c>
      <c r="J98" s="12">
        <f t="shared" ref="J98:J129" si="17">I98*365</f>
        <v>22930.212499999998</v>
      </c>
      <c r="K98" s="13"/>
      <c r="L98" s="11">
        <v>1926</v>
      </c>
      <c r="M98" s="12">
        <f t="shared" si="14"/>
        <v>188641.84651635052</v>
      </c>
    </row>
    <row r="99" spans="1:13">
      <c r="A99" s="11">
        <v>1927</v>
      </c>
      <c r="B99" s="14">
        <v>4.0999999999999398E-2</v>
      </c>
      <c r="C99" s="14">
        <v>2.35E-2</v>
      </c>
      <c r="D99" s="14">
        <v>1</v>
      </c>
      <c r="E99" s="11" t="s">
        <v>12</v>
      </c>
      <c r="F99" s="15">
        <f t="shared" si="15"/>
        <v>9.6750000000000007</v>
      </c>
      <c r="G99" s="8">
        <f t="shared" ref="G99:G108" si="18">MIN(G98+(4*2/90/100*12),1)</f>
        <v>1</v>
      </c>
      <c r="H99" s="8">
        <v>4.5</v>
      </c>
      <c r="I99" s="15">
        <f t="shared" si="16"/>
        <v>62.887500000000003</v>
      </c>
      <c r="J99" s="12">
        <f t="shared" si="17"/>
        <v>22953.9375</v>
      </c>
      <c r="K99" s="13"/>
      <c r="L99" s="11">
        <v>1927</v>
      </c>
      <c r="M99" s="12">
        <f t="shared" ref="M99:M108" si="19">MAX((M98+K99-J99)*0.994,0)</f>
        <v>164693.78156225241</v>
      </c>
    </row>
    <row r="100" spans="1:13">
      <c r="A100" s="11">
        <v>1928</v>
      </c>
      <c r="B100" s="14">
        <v>4.0999999999999301E-2</v>
      </c>
      <c r="C100" s="14">
        <v>2.3699999999999999E-2</v>
      </c>
      <c r="D100" s="14">
        <v>1</v>
      </c>
      <c r="E100" s="11" t="s">
        <v>12</v>
      </c>
      <c r="F100" s="15">
        <f t="shared" si="15"/>
        <v>9.6850000000000005</v>
      </c>
      <c r="G100" s="8">
        <f t="shared" si="18"/>
        <v>1</v>
      </c>
      <c r="H100" s="8">
        <v>4.5</v>
      </c>
      <c r="I100" s="15">
        <f t="shared" si="16"/>
        <v>62.952500000000001</v>
      </c>
      <c r="J100" s="12">
        <f t="shared" si="17"/>
        <v>22977.662499999999</v>
      </c>
      <c r="K100" s="13"/>
      <c r="L100" s="11">
        <v>1928</v>
      </c>
      <c r="M100" s="12">
        <f t="shared" si="19"/>
        <v>140865.82234787889</v>
      </c>
    </row>
    <row r="101" spans="1:13">
      <c r="A101" s="11">
        <v>1929</v>
      </c>
      <c r="B101" s="14">
        <v>4.0999999999999301E-2</v>
      </c>
      <c r="C101" s="14">
        <v>2.3900000000000001E-2</v>
      </c>
      <c r="D101" s="14">
        <v>1</v>
      </c>
      <c r="E101" s="11" t="s">
        <v>12</v>
      </c>
      <c r="F101" s="15">
        <f t="shared" si="15"/>
        <v>9.6950000000000003</v>
      </c>
      <c r="G101" s="8">
        <f t="shared" si="18"/>
        <v>1</v>
      </c>
      <c r="H101" s="8">
        <v>4.5</v>
      </c>
      <c r="I101" s="15">
        <f t="shared" si="16"/>
        <v>63.017499999999998</v>
      </c>
      <c r="J101" s="12">
        <f t="shared" si="17"/>
        <v>23001.387500000001</v>
      </c>
      <c r="K101" s="13"/>
      <c r="L101" s="11">
        <v>1929</v>
      </c>
      <c r="M101" s="12">
        <f t="shared" si="19"/>
        <v>117157.24823879161</v>
      </c>
    </row>
    <row r="102" spans="1:13">
      <c r="A102" s="11">
        <v>1930</v>
      </c>
      <c r="B102" s="14">
        <v>4.0999999999999301E-2</v>
      </c>
      <c r="C102" s="14">
        <v>2.41E-2</v>
      </c>
      <c r="D102" s="14">
        <v>1</v>
      </c>
      <c r="E102" s="11" t="s">
        <v>12</v>
      </c>
      <c r="F102" s="15">
        <f t="shared" si="15"/>
        <v>9.7050000000000001</v>
      </c>
      <c r="G102" s="8">
        <f t="shared" si="18"/>
        <v>1</v>
      </c>
      <c r="H102" s="8">
        <v>4.5</v>
      </c>
      <c r="I102" s="15">
        <f t="shared" si="16"/>
        <v>63.082500000000003</v>
      </c>
      <c r="J102" s="12">
        <f t="shared" si="17"/>
        <v>23025.112500000003</v>
      </c>
      <c r="K102" s="13"/>
      <c r="L102" s="11">
        <v>1930</v>
      </c>
      <c r="M102" s="12">
        <f t="shared" si="19"/>
        <v>93567.342924358862</v>
      </c>
    </row>
    <row r="103" spans="1:13">
      <c r="A103" s="11">
        <v>1931</v>
      </c>
      <c r="B103" s="14">
        <v>4.0999999999999301E-2</v>
      </c>
      <c r="C103" s="14">
        <v>2.4299999999999999E-2</v>
      </c>
      <c r="D103" s="14">
        <v>1</v>
      </c>
      <c r="E103" s="11" t="s">
        <v>12</v>
      </c>
      <c r="F103" s="15">
        <f t="shared" si="15"/>
        <v>9.7149999999999999</v>
      </c>
      <c r="G103" s="8">
        <f t="shared" si="18"/>
        <v>1</v>
      </c>
      <c r="H103" s="8">
        <v>4.5</v>
      </c>
      <c r="I103" s="15">
        <f t="shared" si="16"/>
        <v>63.147500000000001</v>
      </c>
      <c r="J103" s="12">
        <f t="shared" si="17"/>
        <v>23048.837500000001</v>
      </c>
      <c r="K103" s="13"/>
      <c r="L103" s="11">
        <v>1931</v>
      </c>
      <c r="M103" s="12">
        <f t="shared" si="19"/>
        <v>70095.394391812704</v>
      </c>
    </row>
    <row r="104" spans="1:13">
      <c r="A104" s="11">
        <v>1932</v>
      </c>
      <c r="B104" s="14">
        <v>4.0999999999999301E-2</v>
      </c>
      <c r="C104" s="14">
        <v>2.4500000000000001E-2</v>
      </c>
      <c r="D104" s="14">
        <v>1</v>
      </c>
      <c r="E104" s="11" t="s">
        <v>12</v>
      </c>
      <c r="F104" s="15">
        <f t="shared" si="15"/>
        <v>9.7249999999999996</v>
      </c>
      <c r="G104" s="8">
        <f t="shared" si="18"/>
        <v>1</v>
      </c>
      <c r="H104" s="8">
        <v>4.5</v>
      </c>
      <c r="I104" s="15">
        <f t="shared" si="16"/>
        <v>63.212499999999999</v>
      </c>
      <c r="J104" s="12">
        <f t="shared" si="17"/>
        <v>23072.5625</v>
      </c>
      <c r="K104" s="13"/>
      <c r="L104" s="11">
        <v>1932</v>
      </c>
      <c r="M104" s="12">
        <f t="shared" si="19"/>
        <v>46740.694900461829</v>
      </c>
    </row>
    <row r="105" spans="1:13">
      <c r="A105" s="11">
        <v>1933</v>
      </c>
      <c r="B105" s="14">
        <v>4.0999999999999301E-2</v>
      </c>
      <c r="C105" s="14">
        <v>2.47E-2</v>
      </c>
      <c r="D105" s="14">
        <v>1</v>
      </c>
      <c r="E105" s="11" t="s">
        <v>12</v>
      </c>
      <c r="F105" s="15">
        <f t="shared" si="15"/>
        <v>9.7349999999999994</v>
      </c>
      <c r="G105" s="8">
        <f t="shared" si="18"/>
        <v>1</v>
      </c>
      <c r="H105" s="8">
        <v>4.5</v>
      </c>
      <c r="I105" s="15">
        <f t="shared" si="16"/>
        <v>63.277499999999996</v>
      </c>
      <c r="J105" s="12">
        <f t="shared" si="17"/>
        <v>23096.287499999999</v>
      </c>
      <c r="K105" s="13"/>
      <c r="L105" s="11">
        <v>1933</v>
      </c>
      <c r="M105" s="12">
        <f t="shared" si="19"/>
        <v>23502.54095605906</v>
      </c>
    </row>
    <row r="106" spans="1:13">
      <c r="A106" s="11">
        <v>1934</v>
      </c>
      <c r="B106" s="14">
        <v>4.0999999999999301E-2</v>
      </c>
      <c r="C106" s="14">
        <v>2.4899999999999999E-2</v>
      </c>
      <c r="D106" s="14">
        <v>1</v>
      </c>
      <c r="E106" s="11" t="s">
        <v>12</v>
      </c>
      <c r="F106" s="15">
        <f t="shared" si="15"/>
        <v>9.745000000000001</v>
      </c>
      <c r="G106" s="8">
        <f t="shared" si="18"/>
        <v>1</v>
      </c>
      <c r="H106" s="8">
        <v>4.5</v>
      </c>
      <c r="I106" s="15">
        <f t="shared" si="16"/>
        <v>63.342500000000008</v>
      </c>
      <c r="J106" s="12">
        <f t="shared" si="17"/>
        <v>23120.012500000004</v>
      </c>
      <c r="K106" s="13"/>
      <c r="L106" s="11">
        <v>1934</v>
      </c>
      <c r="M106" s="12">
        <f t="shared" si="19"/>
        <v>380.23328532270097</v>
      </c>
    </row>
    <row r="107" spans="1:13">
      <c r="A107" s="11">
        <v>1935</v>
      </c>
      <c r="B107" s="14">
        <v>4.0999999999999301E-2</v>
      </c>
      <c r="C107" s="14">
        <v>2.5100000000000001E-2</v>
      </c>
      <c r="D107" s="14">
        <v>1</v>
      </c>
      <c r="E107" s="11" t="s">
        <v>12</v>
      </c>
      <c r="F107" s="15">
        <f t="shared" si="15"/>
        <v>9.754999999999999</v>
      </c>
      <c r="G107" s="8">
        <f t="shared" si="18"/>
        <v>1</v>
      </c>
      <c r="H107" s="8">
        <v>4.5</v>
      </c>
      <c r="I107" s="15">
        <f t="shared" si="16"/>
        <v>63.407499999999992</v>
      </c>
      <c r="J107" s="12">
        <f t="shared" si="17"/>
        <v>23143.737499999996</v>
      </c>
      <c r="K107" s="13"/>
      <c r="L107" s="11">
        <v>1935</v>
      </c>
      <c r="M107" s="12">
        <f t="shared" si="19"/>
        <v>0</v>
      </c>
    </row>
    <row r="108" spans="1:13">
      <c r="A108" s="11">
        <v>1936</v>
      </c>
      <c r="B108" s="14">
        <v>4.0999999999999301E-2</v>
      </c>
      <c r="C108" s="14">
        <v>2.53E-2</v>
      </c>
      <c r="D108" s="14">
        <v>1</v>
      </c>
      <c r="E108" s="11" t="s">
        <v>12</v>
      </c>
      <c r="F108" s="15">
        <f t="shared" si="15"/>
        <v>9.7650000000000006</v>
      </c>
      <c r="G108" s="8">
        <f t="shared" si="18"/>
        <v>1</v>
      </c>
      <c r="H108" s="8">
        <v>4.5</v>
      </c>
      <c r="I108" s="15">
        <f t="shared" si="16"/>
        <v>63.472500000000004</v>
      </c>
      <c r="J108" s="12">
        <f t="shared" si="17"/>
        <v>23167.462500000001</v>
      </c>
      <c r="K108" s="13"/>
      <c r="L108" s="11">
        <v>1936</v>
      </c>
      <c r="M108" s="12">
        <f t="shared" si="19"/>
        <v>0</v>
      </c>
    </row>
    <row r="109" spans="1:13">
      <c r="G109" s="16"/>
      <c r="I109" s="15"/>
    </row>
  </sheetData>
  <dataValidations count="1">
    <dataValidation type="list" allowBlank="1" showInputMessage="1" showErrorMessage="1" sqref="E2:E108" xr:uid="{00000000-0002-0000-0000-000000000000}">
      <formula1>"Great Power,Secondary Power,Westernized Nation,Non-western Nation"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8"/>
  <sheetViews>
    <sheetView topLeftCell="A22" zoomScale="120" zoomScaleNormal="120" workbookViewId="0">
      <selection activeCell="F34" sqref="F34"/>
    </sheetView>
  </sheetViews>
  <sheetFormatPr defaultColWidth="8.85546875" defaultRowHeight="15"/>
  <cols>
    <col min="1" max="1" width="6.7109375" style="7" customWidth="1"/>
    <col min="2" max="2" width="17.42578125" style="10" customWidth="1"/>
    <col min="3" max="3" width="12" style="7" customWidth="1"/>
    <col min="4" max="4" width="17" style="7" customWidth="1"/>
    <col min="5" max="5" width="13" style="7" customWidth="1"/>
    <col min="6" max="6" width="24.5703125" style="7" customWidth="1"/>
    <col min="7" max="7" width="8.85546875" style="7"/>
    <col min="8" max="8" width="7" style="7" customWidth="1"/>
    <col min="9" max="9" width="24.5703125" style="7" customWidth="1"/>
    <col min="10" max="16384" width="8.85546875" style="7"/>
  </cols>
  <sheetData>
    <row r="1" spans="1:9">
      <c r="A1" s="11" t="s">
        <v>0</v>
      </c>
      <c r="B1" s="13" t="s">
        <v>13</v>
      </c>
      <c r="D1" s="11" t="s">
        <v>14</v>
      </c>
      <c r="E1" s="11" t="s">
        <v>15</v>
      </c>
      <c r="F1" s="11" t="s">
        <v>16</v>
      </c>
      <c r="H1" s="11" t="s">
        <v>0</v>
      </c>
      <c r="I1" s="11" t="s">
        <v>17</v>
      </c>
    </row>
    <row r="2" spans="1:9">
      <c r="A2" s="11">
        <v>1830</v>
      </c>
      <c r="B2" s="13">
        <f t="shared" ref="B2:B11" si="0">$I$2*(1-(A2-1830)*2/300)</f>
        <v>244800</v>
      </c>
      <c r="D2" s="11" t="s">
        <v>18</v>
      </c>
      <c r="E2" s="12" t="s">
        <v>19</v>
      </c>
      <c r="F2" s="12">
        <v>90000</v>
      </c>
      <c r="H2" s="17">
        <v>1830</v>
      </c>
      <c r="I2" s="12">
        <f>IF(H23="Yes",SUM(F2,F3,F4),SUM(F3,F4))</f>
        <v>244800</v>
      </c>
    </row>
    <row r="3" spans="1:9">
      <c r="A3" s="11">
        <v>1831</v>
      </c>
      <c r="B3" s="13">
        <f t="shared" si="0"/>
        <v>243168</v>
      </c>
      <c r="D3" s="11" t="s">
        <v>20</v>
      </c>
      <c r="E3" s="12" t="s">
        <v>21</v>
      </c>
      <c r="F3" s="12">
        <v>158400</v>
      </c>
      <c r="H3" s="17">
        <v>1840</v>
      </c>
      <c r="I3" s="12">
        <f>SUM(F5,F6)</f>
        <v>32400</v>
      </c>
    </row>
    <row r="4" spans="1:9">
      <c r="A4" s="11">
        <v>1832</v>
      </c>
      <c r="B4" s="13">
        <f t="shared" si="0"/>
        <v>241536</v>
      </c>
      <c r="D4" s="11" t="s">
        <v>22</v>
      </c>
      <c r="E4" s="12" t="s">
        <v>23</v>
      </c>
      <c r="F4" s="12">
        <v>86400</v>
      </c>
      <c r="H4" s="17">
        <v>1848</v>
      </c>
      <c r="I4" s="12">
        <f>SUM(F7)</f>
        <v>10800</v>
      </c>
    </row>
    <row r="5" spans="1:9">
      <c r="A5" s="11">
        <v>1833</v>
      </c>
      <c r="B5" s="13">
        <f t="shared" si="0"/>
        <v>239904</v>
      </c>
      <c r="D5" s="11" t="s">
        <v>24</v>
      </c>
      <c r="E5" s="12" t="s">
        <v>25</v>
      </c>
      <c r="F5" s="12">
        <v>21600</v>
      </c>
      <c r="H5" s="17">
        <v>1850</v>
      </c>
      <c r="I5" s="12">
        <f>SUM(F8,F9)</f>
        <v>259200</v>
      </c>
    </row>
    <row r="6" spans="1:9">
      <c r="A6" s="11">
        <v>1834</v>
      </c>
      <c r="B6" s="13">
        <f t="shared" si="0"/>
        <v>238272</v>
      </c>
      <c r="D6" s="11" t="s">
        <v>26</v>
      </c>
      <c r="E6" s="12" t="s">
        <v>27</v>
      </c>
      <c r="F6" s="12">
        <v>10800</v>
      </c>
      <c r="H6" s="17">
        <v>1855</v>
      </c>
      <c r="I6" s="12">
        <f>SUM(F10)</f>
        <v>21600</v>
      </c>
    </row>
    <row r="7" spans="1:9">
      <c r="A7" s="11">
        <v>1835</v>
      </c>
      <c r="B7" s="13">
        <f t="shared" si="0"/>
        <v>236640</v>
      </c>
      <c r="D7" s="11" t="s">
        <v>28</v>
      </c>
      <c r="E7" s="12" t="s">
        <v>27</v>
      </c>
      <c r="F7" s="12">
        <v>10800</v>
      </c>
      <c r="H7" s="17">
        <v>1860</v>
      </c>
      <c r="I7" s="12">
        <f>SUM(F11)</f>
        <v>10800</v>
      </c>
    </row>
    <row r="8" spans="1:9">
      <c r="A8" s="11">
        <v>1836</v>
      </c>
      <c r="B8" s="13">
        <f t="shared" si="0"/>
        <v>235008</v>
      </c>
      <c r="D8" s="11" t="s">
        <v>29</v>
      </c>
      <c r="E8" s="12" t="s">
        <v>30</v>
      </c>
      <c r="F8" s="12">
        <v>129600</v>
      </c>
      <c r="H8" s="17">
        <v>1870</v>
      </c>
      <c r="I8" s="12">
        <f>SUM(F12,F13)</f>
        <v>331200</v>
      </c>
    </row>
    <row r="9" spans="1:9">
      <c r="A9" s="11">
        <v>1837</v>
      </c>
      <c r="B9" s="13">
        <f t="shared" si="0"/>
        <v>233376</v>
      </c>
      <c r="D9" s="11" t="s">
        <v>31</v>
      </c>
      <c r="E9" s="12" t="s">
        <v>32</v>
      </c>
      <c r="F9" s="12">
        <v>129600</v>
      </c>
      <c r="H9" s="17">
        <v>1872</v>
      </c>
      <c r="I9" s="12">
        <f>SUM(F14)</f>
        <v>14400</v>
      </c>
    </row>
    <row r="10" spans="1:9">
      <c r="A10" s="11">
        <v>1838</v>
      </c>
      <c r="B10" s="13">
        <f t="shared" si="0"/>
        <v>231744</v>
      </c>
      <c r="D10" s="11" t="s">
        <v>33</v>
      </c>
      <c r="E10" s="12" t="s">
        <v>34</v>
      </c>
      <c r="F10" s="12">
        <v>21600</v>
      </c>
      <c r="H10" s="17">
        <v>1875</v>
      </c>
      <c r="I10" s="12">
        <f>SUM(F15)</f>
        <v>14400</v>
      </c>
    </row>
    <row r="11" spans="1:9">
      <c r="A11" s="11">
        <v>1839</v>
      </c>
      <c r="B11" s="13">
        <f t="shared" si="0"/>
        <v>230112</v>
      </c>
      <c r="D11" s="11" t="s">
        <v>35</v>
      </c>
      <c r="E11" s="12" t="s">
        <v>27</v>
      </c>
      <c r="F11" s="12">
        <v>10800</v>
      </c>
      <c r="H11" s="17">
        <v>1880</v>
      </c>
      <c r="I11" s="12">
        <f>SUM(F16,F17)</f>
        <v>50400</v>
      </c>
    </row>
    <row r="12" spans="1:9">
      <c r="A12" s="11">
        <v>1840</v>
      </c>
      <c r="B12" s="13">
        <f t="shared" ref="B12:B19" si="1">$I$2*(1-(A12-1830)*2/300)+$I$3*(1-(A12-1840)*2/300)</f>
        <v>260880</v>
      </c>
      <c r="D12" s="11" t="s">
        <v>36</v>
      </c>
      <c r="E12" s="12" t="s">
        <v>37</v>
      </c>
      <c r="F12" s="12">
        <v>187200</v>
      </c>
      <c r="H12" s="17">
        <v>1890</v>
      </c>
      <c r="I12" s="12">
        <f>SUM(F18)</f>
        <v>54000</v>
      </c>
    </row>
    <row r="13" spans="1:9">
      <c r="A13" s="11">
        <v>1841</v>
      </c>
      <c r="B13" s="13">
        <f t="shared" si="1"/>
        <v>259032</v>
      </c>
      <c r="D13" s="11" t="s">
        <v>38</v>
      </c>
      <c r="E13" s="12" t="s">
        <v>39</v>
      </c>
      <c r="F13" s="12">
        <v>144000</v>
      </c>
      <c r="H13" s="17">
        <v>1895</v>
      </c>
      <c r="I13" s="12">
        <f>SUM(F19)</f>
        <v>18000</v>
      </c>
    </row>
    <row r="14" spans="1:9">
      <c r="A14" s="11">
        <v>1842</v>
      </c>
      <c r="B14" s="13">
        <f t="shared" si="1"/>
        <v>257184</v>
      </c>
      <c r="D14" s="11" t="s">
        <v>40</v>
      </c>
      <c r="E14" s="12" t="s">
        <v>41</v>
      </c>
      <c r="F14" s="12">
        <v>14400</v>
      </c>
      <c r="H14" s="17">
        <v>1898</v>
      </c>
      <c r="I14" s="12">
        <f>SUM(F20)</f>
        <v>18000</v>
      </c>
    </row>
    <row r="15" spans="1:9">
      <c r="A15" s="11">
        <v>1843</v>
      </c>
      <c r="B15" s="13">
        <f t="shared" si="1"/>
        <v>255336</v>
      </c>
      <c r="D15" s="11" t="s">
        <v>42</v>
      </c>
      <c r="E15" s="12" t="s">
        <v>41</v>
      </c>
      <c r="F15" s="12">
        <v>14400</v>
      </c>
      <c r="H15" s="17">
        <v>1900</v>
      </c>
      <c r="I15" s="12">
        <f>SUM(F21,F22)</f>
        <v>255600</v>
      </c>
    </row>
    <row r="16" spans="1:9">
      <c r="A16" s="11">
        <v>1844</v>
      </c>
      <c r="B16" s="13">
        <f t="shared" si="1"/>
        <v>253488</v>
      </c>
      <c r="D16" s="11" t="s">
        <v>43</v>
      </c>
      <c r="E16" s="12" t="s">
        <v>41</v>
      </c>
      <c r="F16" s="12">
        <v>14400</v>
      </c>
      <c r="H16" s="17">
        <v>1905</v>
      </c>
      <c r="I16" s="12">
        <f>SUM(F23)</f>
        <v>21600</v>
      </c>
    </row>
    <row r="17" spans="1:9">
      <c r="A17" s="11">
        <v>1845</v>
      </c>
      <c r="B17" s="13">
        <f t="shared" si="1"/>
        <v>251640</v>
      </c>
      <c r="D17" s="11" t="s">
        <v>44</v>
      </c>
      <c r="E17" s="12" t="s">
        <v>45</v>
      </c>
      <c r="F17" s="12">
        <v>36000</v>
      </c>
      <c r="H17" s="17">
        <v>1910</v>
      </c>
      <c r="I17" s="12">
        <f>SUM(F24)</f>
        <v>21600</v>
      </c>
    </row>
    <row r="18" spans="1:9">
      <c r="A18" s="11">
        <v>1846</v>
      </c>
      <c r="B18" s="13">
        <f t="shared" si="1"/>
        <v>249792</v>
      </c>
      <c r="D18" s="11" t="s">
        <v>46</v>
      </c>
      <c r="E18" s="12" t="s">
        <v>47</v>
      </c>
      <c r="F18" s="12">
        <v>54000</v>
      </c>
      <c r="H18" s="17">
        <v>1914</v>
      </c>
      <c r="I18" s="12">
        <f>SUM(F25)</f>
        <v>43200</v>
      </c>
    </row>
    <row r="19" spans="1:9">
      <c r="A19" s="11">
        <v>1847</v>
      </c>
      <c r="B19" s="13">
        <f t="shared" si="1"/>
        <v>247944</v>
      </c>
      <c r="D19" s="11" t="s">
        <v>48</v>
      </c>
      <c r="E19" s="11" t="s">
        <v>49</v>
      </c>
      <c r="F19" s="12">
        <v>18000</v>
      </c>
      <c r="H19" s="17">
        <v>1915</v>
      </c>
      <c r="I19" s="12">
        <f>SUM(F26)</f>
        <v>21600</v>
      </c>
    </row>
    <row r="20" spans="1:9">
      <c r="A20" s="11">
        <v>1848</v>
      </c>
      <c r="B20" s="13">
        <f>$I$2*(1-(A20-1830)*2/300)+$I$3*(1-(A20-1840)*2/300)+$I$4*(1-(A20-1848)*2/300)</f>
        <v>256896</v>
      </c>
      <c r="D20" s="11" t="s">
        <v>50</v>
      </c>
      <c r="E20" s="11" t="s">
        <v>49</v>
      </c>
      <c r="F20" s="12">
        <v>18000</v>
      </c>
      <c r="H20" s="17">
        <v>1919</v>
      </c>
      <c r="I20" s="12">
        <f>SUM(F27)</f>
        <v>194400</v>
      </c>
    </row>
    <row r="21" spans="1:9">
      <c r="A21" s="11">
        <v>1849</v>
      </c>
      <c r="B21" s="13">
        <f>$I$2*(1-(A21-1830)*2/300)+$I$3*(1-(A21-1840)*2/300)+$I$4*(1-(A21-1848)*2/300)</f>
        <v>254976</v>
      </c>
      <c r="D21" s="11" t="s">
        <v>51</v>
      </c>
      <c r="E21" s="12" t="s">
        <v>52</v>
      </c>
      <c r="F21" s="12">
        <v>18000</v>
      </c>
      <c r="H21" s="11" t="s">
        <v>53</v>
      </c>
      <c r="I21" s="12">
        <f>SUM(I2:I20)</f>
        <v>1638000</v>
      </c>
    </row>
    <row r="22" spans="1:9">
      <c r="A22" s="11">
        <v>1850</v>
      </c>
      <c r="B22" s="13">
        <f>$I$2*(1-(A22-1830)*2/300)+$I$3*(1-(A22-1840)*2/300)+$I$4*(1-(A22-1848)*2/300)+$I$5*(1-(A22-1850)*2/300)</f>
        <v>512256</v>
      </c>
      <c r="D22" s="11" t="s">
        <v>54</v>
      </c>
      <c r="E22" s="12" t="s">
        <v>55</v>
      </c>
      <c r="F22" s="12">
        <v>237600</v>
      </c>
    </row>
    <row r="23" spans="1:9">
      <c r="A23" s="11">
        <v>1851</v>
      </c>
      <c r="B23" s="13">
        <f>$I$2*(1-(A23-1830)*2/300)+$I$3*(1-(A23-1840)*2/300)+$I$4*(1-(A23-1848)*2/300)+$I$5*(1-(A23-1850)*2/300)</f>
        <v>508608</v>
      </c>
      <c r="D23" s="11" t="s">
        <v>56</v>
      </c>
      <c r="E23" s="12" t="s">
        <v>57</v>
      </c>
      <c r="F23" s="12">
        <v>21600</v>
      </c>
      <c r="H23" s="7" t="s">
        <v>58</v>
      </c>
      <c r="I23" s="7" t="s">
        <v>59</v>
      </c>
    </row>
    <row r="24" spans="1:9">
      <c r="A24" s="11">
        <v>1852</v>
      </c>
      <c r="B24" s="13">
        <f>$I$2*(1-(A24-1830)*2/300)+$I$3*(1-(A24-1840)*2/300)+$I$4*(1-(A24-1848)*2/300)+$I$5*(1-(A24-1850)*2/300)</f>
        <v>504960</v>
      </c>
      <c r="D24" s="11" t="s">
        <v>60</v>
      </c>
      <c r="E24" s="12" t="s">
        <v>57</v>
      </c>
      <c r="F24" s="12">
        <v>21600</v>
      </c>
    </row>
    <row r="25" spans="1:9">
      <c r="A25" s="11">
        <v>1853</v>
      </c>
      <c r="B25" s="13">
        <f>$I$2*(1-(A25-1830)*2/300)+$I$3*(1-(A25-1840)*2/300)+$I$4*(1-(A25-1848)*2/300)+$I$5*(1-(A25-1850)*2/300)</f>
        <v>501312</v>
      </c>
      <c r="D25" s="11" t="s">
        <v>61</v>
      </c>
      <c r="E25" s="12" t="s">
        <v>62</v>
      </c>
      <c r="F25" s="12">
        <v>43200</v>
      </c>
    </row>
    <row r="26" spans="1:9">
      <c r="A26" s="11">
        <v>1854</v>
      </c>
      <c r="B26" s="13">
        <f>$I$2*(1-(A26-1830)*2/300)+$I$3*(1-(A26-1840)*2/300)+$I$4*(1-(A26-1848)*2/300)+$I$5*(1-(A26-1850)*2/300)</f>
        <v>497664</v>
      </c>
      <c r="D26" s="11" t="s">
        <v>63</v>
      </c>
      <c r="E26" s="12" t="s">
        <v>57</v>
      </c>
      <c r="F26" s="12">
        <v>21600</v>
      </c>
    </row>
    <row r="27" spans="1:9">
      <c r="A27" s="11">
        <v>1855</v>
      </c>
      <c r="B27" s="13">
        <f>$I$2*(1-(A27-1830)*2/300)+$I$3*(1-(A27-1840)*2/300)+$I$4*(1-(A27-1848)*2/300)+$I$5*(1-(A27-1850)*2/300)+$I$6*(1-(A27-1855)*2/300)</f>
        <v>515616</v>
      </c>
      <c r="D27" s="11" t="s">
        <v>64</v>
      </c>
      <c r="E27" s="12" t="s">
        <v>65</v>
      </c>
      <c r="F27" s="12">
        <v>194400</v>
      </c>
    </row>
    <row r="28" spans="1:9">
      <c r="A28" s="11">
        <v>1856</v>
      </c>
      <c r="B28" s="13">
        <f>$I$2*(1-(A28-1830)*2/300)+$I$3*(1-(A28-1840)*2/300)+$I$4*(1-(A28-1848)*2/300)+$I$5*(1-(A28-1850)*2/300)+$I$6*(1-(A28-1855)*2/300)</f>
        <v>511824</v>
      </c>
    </row>
    <row r="29" spans="1:9">
      <c r="A29" s="11">
        <v>1857</v>
      </c>
      <c r="B29" s="13">
        <f>$I$2*(1-(A29-1830)*2/300)+$I$3*(1-(A29-1840)*2/300)+$I$4*(1-(A29-1848)*2/300)+$I$5*(1-(A29-1850)*2/300)+$I$6*(1-(A29-1855)*2/300)</f>
        <v>508032</v>
      </c>
    </row>
    <row r="30" spans="1:9">
      <c r="A30" s="11">
        <v>1858</v>
      </c>
      <c r="B30" s="13">
        <f>$I$2*(1-(A30-1830)*2/300)+$I$3*(1-(A30-1840)*2/300)+$I$4*(1-(A30-1848)*2/300)+$I$5*(1-(A30-1850)*2/300)+$I$6*(1-(A30-1855)*2/300)</f>
        <v>504240</v>
      </c>
    </row>
    <row r="31" spans="1:9">
      <c r="A31" s="11">
        <v>1859</v>
      </c>
      <c r="B31" s="13">
        <f>$I$2*(1-(A31-1830)*2/300)+$I$3*(1-(A31-1840)*2/300)+$I$4*(1-(A31-1848)*2/300)+$I$5*(1-(A31-1850)*2/300)+$I$6*(1-(A31-1855)*2/300)</f>
        <v>500448</v>
      </c>
    </row>
    <row r="32" spans="1:9">
      <c r="A32" s="11">
        <v>1860</v>
      </c>
      <c r="B32" s="13">
        <f t="shared" ref="B32:B41" si="2">$I$2*(1-(A32-1830)*2/300)+$I$3*(1-(A32-1840)*2/300)+$I$4*(1-(A32-1848)*2/300)+$I$5*(1-(A32-1850)*2/300)+$I$6*(1-(A32-1855)*2/300)+$I$2*(1-(A32-1860)*2/300)</f>
        <v>741456</v>
      </c>
    </row>
    <row r="33" spans="1:2">
      <c r="A33" s="11">
        <v>1861</v>
      </c>
      <c r="B33" s="13">
        <f t="shared" si="2"/>
        <v>736032</v>
      </c>
    </row>
    <row r="34" spans="1:2">
      <c r="A34" s="11">
        <v>1862</v>
      </c>
      <c r="B34" s="13">
        <f t="shared" si="2"/>
        <v>730608</v>
      </c>
    </row>
    <row r="35" spans="1:2">
      <c r="A35" s="11">
        <v>1863</v>
      </c>
      <c r="B35" s="13">
        <f t="shared" si="2"/>
        <v>725184</v>
      </c>
    </row>
    <row r="36" spans="1:2">
      <c r="A36" s="11">
        <v>1864</v>
      </c>
      <c r="B36" s="13">
        <f t="shared" si="2"/>
        <v>719760</v>
      </c>
    </row>
    <row r="37" spans="1:2">
      <c r="A37" s="11">
        <v>1865</v>
      </c>
      <c r="B37" s="13">
        <f t="shared" si="2"/>
        <v>714336</v>
      </c>
    </row>
    <row r="38" spans="1:2">
      <c r="A38" s="11">
        <v>1866</v>
      </c>
      <c r="B38" s="13">
        <f t="shared" si="2"/>
        <v>708912</v>
      </c>
    </row>
    <row r="39" spans="1:2">
      <c r="A39" s="11">
        <v>1867</v>
      </c>
      <c r="B39" s="13">
        <f t="shared" si="2"/>
        <v>703488</v>
      </c>
    </row>
    <row r="40" spans="1:2">
      <c r="A40" s="11">
        <v>1868</v>
      </c>
      <c r="B40" s="13">
        <f t="shared" si="2"/>
        <v>698064</v>
      </c>
    </row>
    <row r="41" spans="1:2">
      <c r="A41" s="11">
        <v>1869</v>
      </c>
      <c r="B41" s="13">
        <f t="shared" si="2"/>
        <v>692640</v>
      </c>
    </row>
    <row r="42" spans="1:2">
      <c r="A42" s="11">
        <v>1870</v>
      </c>
      <c r="B42" s="13">
        <f>$I$2*(1-(A42-1830)*2/300)+$I$3*(1-(A42-1840)*2/300)+$I$4*(1-(A42-1848)*2/300)+$I$5*(1-(A42-1850)*2/300)+$I$6*(1-(A42-1855)*2/300)+$I$7*(1-(A42-1860)*2/300)+$I$8*(1-(A42-1870)*2/300)</f>
        <v>800016</v>
      </c>
    </row>
    <row r="43" spans="1:2">
      <c r="A43" s="11">
        <v>1871</v>
      </c>
      <c r="B43" s="13">
        <f>$I$2*(1-(A43-1830)*2/300)+$I$3*(1-(A43-1840)*2/300)+$I$4*(1-(A43-1848)*2/300)+$I$5*(1-(A43-1850)*2/300)+$I$6*(1-(A43-1855)*2/300)+$I$7*(1-(A43-1860)*2/300)+$I$8*(1-(A43-1870)*2/300)</f>
        <v>793944</v>
      </c>
    </row>
    <row r="44" spans="1:2">
      <c r="A44" s="11">
        <v>1872</v>
      </c>
      <c r="B44" s="13">
        <f>$I$2*(1-(A44-1830)*2/300)+$I$3*(1-(A44-1840)*2/300)+$I$4*(1-(A44-1848)*2/300)+$I$5*(1-(A44-1850)*2/300)+$I$6*(1-(A44-1855)*2/300)+$I$7*(1-(A44-1860)*2/300)+$I$8*(1-(A44-1870)*2/300)+$I$9*(1-(A44-1872)*2/300)</f>
        <v>802272</v>
      </c>
    </row>
    <row r="45" spans="1:2">
      <c r="A45" s="11">
        <v>1873</v>
      </c>
      <c r="B45" s="13">
        <f>$I$2*(1-(A45-1830)*2/300)+$I$3*(1-(A45-1840)*2/300)+$I$4*(1-(A45-1848)*2/300)+$I$5*(1-(A45-1850)*2/300)+$I$6*(1-(A45-1855)*2/300)+$I$7*(1-(A45-1860)*2/300)+$I$8*(1-(A45-1870)*2/300)+$I$9*(1-(A45-1872)*2/300)</f>
        <v>796104</v>
      </c>
    </row>
    <row r="46" spans="1:2">
      <c r="A46" s="11">
        <v>1874</v>
      </c>
      <c r="B46" s="13">
        <f>$I$2*(1-(A46-1830)*2/300)+$I$3*(1-(A46-1840)*2/300)+$I$4*(1-(A46-1848)*2/300)+$I$5*(1-(A46-1850)*2/300)+$I$6*(1-(A46-1855)*2/300)+$I$7*(1-(A46-1860)*2/300)+$I$8*(1-(A46-1870)*2/300)+$I$9*(1-(A46-1872)*2/300)</f>
        <v>789936</v>
      </c>
    </row>
    <row r="47" spans="1:2">
      <c r="A47" s="11">
        <v>1875</v>
      </c>
      <c r="B47" s="13">
        <f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spans="1:2">
      <c r="A48" s="11">
        <v>1876</v>
      </c>
      <c r="B48" s="13">
        <f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spans="1:2">
      <c r="A49" s="11">
        <v>1877</v>
      </c>
      <c r="B49" s="13">
        <f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spans="1:2">
      <c r="A50" s="11">
        <v>1878</v>
      </c>
      <c r="B50" s="13">
        <f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spans="1:2">
      <c r="A51" s="11">
        <v>1879</v>
      </c>
      <c r="B51" s="13">
        <f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spans="1:2">
      <c r="A52" s="11">
        <v>1880</v>
      </c>
      <c r="B52" s="13">
        <f t="shared" ref="B52:B61" si="3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spans="1:2">
      <c r="A53" s="11">
        <v>1881</v>
      </c>
      <c r="B53" s="13">
        <f t="shared" si="3"/>
        <v>810648</v>
      </c>
    </row>
    <row r="54" spans="1:2">
      <c r="A54" s="11">
        <v>1882</v>
      </c>
      <c r="B54" s="13">
        <f t="shared" si="3"/>
        <v>804048</v>
      </c>
    </row>
    <row r="55" spans="1:2">
      <c r="A55" s="11">
        <v>1883</v>
      </c>
      <c r="B55" s="13">
        <f t="shared" si="3"/>
        <v>797448</v>
      </c>
    </row>
    <row r="56" spans="1:2">
      <c r="A56" s="11">
        <v>1884</v>
      </c>
      <c r="B56" s="13">
        <f t="shared" si="3"/>
        <v>790848</v>
      </c>
    </row>
    <row r="57" spans="1:2">
      <c r="A57" s="11">
        <v>1885</v>
      </c>
      <c r="B57" s="13">
        <f t="shared" si="3"/>
        <v>784248</v>
      </c>
    </row>
    <row r="58" spans="1:2">
      <c r="A58" s="11">
        <v>1886</v>
      </c>
      <c r="B58" s="13">
        <f t="shared" si="3"/>
        <v>777648</v>
      </c>
    </row>
    <row r="59" spans="1:2">
      <c r="A59" s="11">
        <v>1887</v>
      </c>
      <c r="B59" s="13">
        <f t="shared" si="3"/>
        <v>771048</v>
      </c>
    </row>
    <row r="60" spans="1:2">
      <c r="A60" s="11">
        <v>1888</v>
      </c>
      <c r="B60" s="13">
        <f t="shared" si="3"/>
        <v>764448</v>
      </c>
    </row>
    <row r="61" spans="1:2">
      <c r="A61" s="11">
        <v>1889</v>
      </c>
      <c r="B61" s="13">
        <f t="shared" si="3"/>
        <v>757848</v>
      </c>
    </row>
    <row r="62" spans="1:2">
      <c r="A62" s="11">
        <v>1890</v>
      </c>
      <c r="B62" s="13">
        <f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spans="1:2">
      <c r="A63" s="11">
        <v>1891</v>
      </c>
      <c r="B63" s="13">
        <f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spans="1:2">
      <c r="A64" s="11">
        <v>1892</v>
      </c>
      <c r="B64" s="13">
        <f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spans="1:2">
      <c r="A65" s="11">
        <v>1893</v>
      </c>
      <c r="B65" s="13">
        <f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spans="1:2">
      <c r="A66" s="11">
        <v>1894</v>
      </c>
      <c r="B66" s="13">
        <f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spans="1:2">
      <c r="A67" s="11">
        <v>1895</v>
      </c>
      <c r="B67" s="13">
        <f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spans="1:2">
      <c r="A68" s="11">
        <v>1896</v>
      </c>
      <c r="B68" s="13">
        <f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spans="1:2">
      <c r="A69" s="11">
        <v>1897</v>
      </c>
      <c r="B69" s="13">
        <f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spans="1:2">
      <c r="A70" s="11">
        <v>1898</v>
      </c>
      <c r="B70" s="13">
        <f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spans="1:2">
      <c r="A71" s="11">
        <v>1899</v>
      </c>
      <c r="B71" s="13">
        <f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spans="1:2">
      <c r="A72" s="11">
        <v>1900</v>
      </c>
      <c r="B72" s="13">
        <f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spans="1:2">
      <c r="A73" s="11">
        <v>1901</v>
      </c>
      <c r="B73" s="13">
        <f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spans="1:2">
      <c r="A74" s="11">
        <v>1902</v>
      </c>
      <c r="B74" s="13">
        <f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spans="1:2">
      <c r="A75" s="11">
        <v>1903</v>
      </c>
      <c r="B75" s="13">
        <f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spans="1:2">
      <c r="A76" s="11">
        <v>1904</v>
      </c>
      <c r="B76" s="13">
        <f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spans="1:2">
      <c r="A77" s="11">
        <v>1905</v>
      </c>
      <c r="B77" s="13">
        <f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spans="1:2">
      <c r="A78" s="11">
        <v>1906</v>
      </c>
      <c r="B78" s="13">
        <f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spans="1:2">
      <c r="A79" s="11">
        <v>1907</v>
      </c>
      <c r="B79" s="13">
        <f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spans="1:2">
      <c r="A80" s="11">
        <v>1908</v>
      </c>
      <c r="B80" s="13">
        <f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spans="1:2">
      <c r="A81" s="11">
        <v>1909</v>
      </c>
      <c r="B81" s="13">
        <f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spans="1:2">
      <c r="A82" s="11">
        <v>1910</v>
      </c>
      <c r="B82" s="13">
        <f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spans="1:2">
      <c r="A83" s="11">
        <v>1911</v>
      </c>
      <c r="B83" s="13">
        <f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spans="1:2">
      <c r="A84" s="11">
        <v>1912</v>
      </c>
      <c r="B84" s="13">
        <f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spans="1:2">
      <c r="A85" s="11">
        <v>1913</v>
      </c>
      <c r="B85" s="13">
        <f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spans="1:2">
      <c r="A86" s="11">
        <v>1914</v>
      </c>
      <c r="B86" s="13">
        <f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spans="1:2">
      <c r="A87" s="11">
        <v>1915</v>
      </c>
      <c r="B87" s="13">
        <f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spans="1:2">
      <c r="A88" s="11">
        <v>1916</v>
      </c>
      <c r="B88" s="13">
        <f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spans="1:2">
      <c r="A89" s="11">
        <v>1917</v>
      </c>
      <c r="B89" s="13">
        <f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spans="1:2">
      <c r="A90" s="11">
        <v>1918</v>
      </c>
      <c r="B90" s="13">
        <f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spans="1:2">
      <c r="A91" s="11">
        <v>1919</v>
      </c>
      <c r="B91" s="13">
        <f t="shared" ref="B91:B108" si="4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spans="1:2">
      <c r="A92" s="11">
        <v>1920</v>
      </c>
      <c r="B92" s="13">
        <f t="shared" si="4"/>
        <v>1143384</v>
      </c>
    </row>
    <row r="93" spans="1:2">
      <c r="A93" s="11">
        <v>1921</v>
      </c>
      <c r="B93" s="13">
        <f t="shared" si="4"/>
        <v>1132464</v>
      </c>
    </row>
    <row r="94" spans="1:2">
      <c r="A94" s="11">
        <v>1922</v>
      </c>
      <c r="B94" s="13">
        <f t="shared" si="4"/>
        <v>1121544</v>
      </c>
    </row>
    <row r="95" spans="1:2">
      <c r="A95" s="11">
        <v>1923</v>
      </c>
      <c r="B95" s="13">
        <f t="shared" si="4"/>
        <v>1110624</v>
      </c>
    </row>
    <row r="96" spans="1:2">
      <c r="A96" s="11">
        <v>1924</v>
      </c>
      <c r="B96" s="13">
        <f t="shared" si="4"/>
        <v>1099704</v>
      </c>
    </row>
    <row r="97" spans="1:2">
      <c r="A97" s="11">
        <v>1925</v>
      </c>
      <c r="B97" s="13">
        <f t="shared" si="4"/>
        <v>1088784</v>
      </c>
    </row>
    <row r="98" spans="1:2">
      <c r="A98" s="11">
        <v>1926</v>
      </c>
      <c r="B98" s="13">
        <f t="shared" si="4"/>
        <v>1077864</v>
      </c>
    </row>
    <row r="99" spans="1:2">
      <c r="A99" s="11">
        <v>1927</v>
      </c>
      <c r="B99" s="13">
        <f t="shared" si="4"/>
        <v>1066944</v>
      </c>
    </row>
    <row r="100" spans="1:2">
      <c r="A100" s="11">
        <v>1928</v>
      </c>
      <c r="B100" s="13">
        <f t="shared" si="4"/>
        <v>1056024</v>
      </c>
    </row>
    <row r="101" spans="1:2">
      <c r="A101" s="11">
        <v>1929</v>
      </c>
      <c r="B101" s="13">
        <f t="shared" si="4"/>
        <v>1045104</v>
      </c>
    </row>
    <row r="102" spans="1:2">
      <c r="A102" s="11">
        <v>1930</v>
      </c>
      <c r="B102" s="13">
        <f t="shared" si="4"/>
        <v>1034184</v>
      </c>
    </row>
    <row r="103" spans="1:2">
      <c r="A103" s="11">
        <v>1931</v>
      </c>
      <c r="B103" s="13">
        <f t="shared" si="4"/>
        <v>1023264</v>
      </c>
    </row>
    <row r="104" spans="1:2">
      <c r="A104" s="11">
        <v>1932</v>
      </c>
      <c r="B104" s="13">
        <f t="shared" si="4"/>
        <v>1012344</v>
      </c>
    </row>
    <row r="105" spans="1:2">
      <c r="A105" s="11">
        <v>1933</v>
      </c>
      <c r="B105" s="13">
        <f t="shared" si="4"/>
        <v>1001424</v>
      </c>
    </row>
    <row r="106" spans="1:2">
      <c r="A106" s="11">
        <v>1934</v>
      </c>
      <c r="B106" s="13">
        <f t="shared" si="4"/>
        <v>990504</v>
      </c>
    </row>
    <row r="107" spans="1:2">
      <c r="A107" s="11">
        <v>1935</v>
      </c>
      <c r="B107" s="13">
        <f t="shared" si="4"/>
        <v>979584</v>
      </c>
    </row>
    <row r="108" spans="1:2">
      <c r="A108" s="11">
        <v>1936</v>
      </c>
      <c r="B108" s="13">
        <f t="shared" si="4"/>
        <v>968664</v>
      </c>
    </row>
  </sheetData>
  <dataValidations count="1">
    <dataValidation type="list" operator="equal" allowBlank="1" showErrorMessage="1" sqref="H23" xr:uid="{00000000-0002-0000-0100-000000000000}">
      <formula1>"Yes,No"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7"/>
  <sheetViews>
    <sheetView topLeftCell="A97" zoomScale="120" zoomScaleNormal="120" workbookViewId="0">
      <selection activeCell="G51" sqref="G51"/>
    </sheetView>
  </sheetViews>
  <sheetFormatPr defaultColWidth="8.85546875" defaultRowHeight="15"/>
  <cols>
    <col min="1" max="1" width="7.5703125" style="7" customWidth="1"/>
    <col min="2" max="2" width="28" style="7" customWidth="1"/>
    <col min="3" max="3" width="10" style="7" customWidth="1"/>
    <col min="4" max="4" width="15.85546875" style="7" customWidth="1"/>
    <col min="5" max="5" width="10.5703125" style="7" customWidth="1"/>
    <col min="6" max="6" width="17.85546875" style="7" customWidth="1"/>
    <col min="7" max="7" width="12.42578125" style="7" customWidth="1"/>
    <col min="8" max="16384" width="8.85546875" style="7"/>
  </cols>
  <sheetData>
    <row r="1" spans="1:6">
      <c r="A1" s="11" t="s">
        <v>0</v>
      </c>
      <c r="B1" s="11" t="s">
        <v>66</v>
      </c>
      <c r="C1" s="11" t="s">
        <v>67</v>
      </c>
      <c r="D1" s="11" t="s">
        <v>1</v>
      </c>
      <c r="E1" s="11" t="s">
        <v>3</v>
      </c>
      <c r="F1" s="11" t="s">
        <v>68</v>
      </c>
    </row>
    <row r="2" spans="1:6">
      <c r="A2" s="11">
        <v>1830</v>
      </c>
      <c r="B2" s="18">
        <v>0.1</v>
      </c>
      <c r="C2" s="18">
        <v>-0.1</v>
      </c>
      <c r="D2" s="19">
        <v>0.01</v>
      </c>
      <c r="E2" s="20">
        <v>0.51200000000000001</v>
      </c>
      <c r="F2" s="19">
        <f t="shared" ref="F2:F12" si="0">(D2-0.005)*0.1/0.035*(1+B2+C2)*0.01*120</f>
        <v>1.7142857142857144E-2</v>
      </c>
    </row>
    <row r="3" spans="1:6">
      <c r="A3" s="11">
        <v>1840</v>
      </c>
      <c r="B3" s="18">
        <v>0.2</v>
      </c>
      <c r="C3" s="18">
        <v>-0.03</v>
      </c>
      <c r="D3" s="19">
        <v>0.02</v>
      </c>
      <c r="E3" s="20">
        <f t="shared" ref="E3:E12" si="1">MIN(1,E2+F2)</f>
        <v>0.52914285714285714</v>
      </c>
      <c r="F3" s="19">
        <f t="shared" si="0"/>
        <v>6.017142857142857E-2</v>
      </c>
    </row>
    <row r="4" spans="1:6">
      <c r="A4" s="11">
        <v>1850</v>
      </c>
      <c r="B4" s="18">
        <v>0.7</v>
      </c>
      <c r="C4" s="18">
        <v>0.02</v>
      </c>
      <c r="D4" s="19">
        <v>2.5000000000000001E-2</v>
      </c>
      <c r="E4" s="20">
        <f t="shared" si="1"/>
        <v>0.58931428571428568</v>
      </c>
      <c r="F4" s="19">
        <f t="shared" si="0"/>
        <v>0.11794285714285713</v>
      </c>
    </row>
    <row r="5" spans="1:6">
      <c r="A5" s="11">
        <v>1860</v>
      </c>
      <c r="B5" s="18">
        <v>0.7</v>
      </c>
      <c r="C5" s="18">
        <v>0.17</v>
      </c>
      <c r="D5" s="19">
        <v>0.03</v>
      </c>
      <c r="E5" s="20">
        <f t="shared" si="1"/>
        <v>0.70725714285714281</v>
      </c>
      <c r="F5" s="19">
        <f t="shared" si="0"/>
        <v>0.16028571428571425</v>
      </c>
    </row>
    <row r="6" spans="1:6">
      <c r="A6" s="11">
        <v>1870</v>
      </c>
      <c r="B6" s="18">
        <v>0.9</v>
      </c>
      <c r="C6" s="18">
        <v>0.32</v>
      </c>
      <c r="D6" s="19">
        <v>0.04</v>
      </c>
      <c r="E6" s="20">
        <f t="shared" si="1"/>
        <v>0.86754285714285706</v>
      </c>
      <c r="F6" s="19">
        <f t="shared" si="0"/>
        <v>0.26639999999999997</v>
      </c>
    </row>
    <row r="7" spans="1:6">
      <c r="A7" s="11">
        <v>1880</v>
      </c>
      <c r="B7" s="18">
        <v>0.9</v>
      </c>
      <c r="C7" s="18">
        <v>0.32</v>
      </c>
      <c r="D7" s="19">
        <v>0.04</v>
      </c>
      <c r="E7" s="20">
        <f t="shared" si="1"/>
        <v>1</v>
      </c>
      <c r="F7" s="19">
        <f t="shared" si="0"/>
        <v>0.26639999999999997</v>
      </c>
    </row>
    <row r="8" spans="1:6">
      <c r="A8" s="11">
        <v>1890</v>
      </c>
      <c r="B8" s="18">
        <v>1.1499999999999999</v>
      </c>
      <c r="C8" s="18">
        <v>0.32</v>
      </c>
      <c r="D8" s="19">
        <v>0.04</v>
      </c>
      <c r="E8" s="20">
        <f t="shared" si="1"/>
        <v>1</v>
      </c>
      <c r="F8" s="19">
        <f t="shared" si="0"/>
        <v>0.2964</v>
      </c>
    </row>
    <row r="9" spans="1:6">
      <c r="A9" s="11">
        <v>1900</v>
      </c>
      <c r="B9" s="18">
        <v>1.35</v>
      </c>
      <c r="C9" s="18">
        <v>0.32</v>
      </c>
      <c r="D9" s="19">
        <v>0.04</v>
      </c>
      <c r="E9" s="20">
        <f t="shared" si="1"/>
        <v>1</v>
      </c>
      <c r="F9" s="19">
        <f t="shared" si="0"/>
        <v>0.32040000000000002</v>
      </c>
    </row>
    <row r="10" spans="1:6">
      <c r="A10" s="11">
        <v>1910</v>
      </c>
      <c r="B10" s="18">
        <v>1.35</v>
      </c>
      <c r="C10" s="18">
        <v>0.32</v>
      </c>
      <c r="D10" s="19">
        <v>0.04</v>
      </c>
      <c r="E10" s="20">
        <f t="shared" si="1"/>
        <v>1</v>
      </c>
      <c r="F10" s="19">
        <f t="shared" si="0"/>
        <v>0.32040000000000002</v>
      </c>
    </row>
    <row r="11" spans="1:6">
      <c r="A11" s="11">
        <v>1920</v>
      </c>
      <c r="B11" s="18">
        <v>1.35</v>
      </c>
      <c r="C11" s="18">
        <v>0.32</v>
      </c>
      <c r="D11" s="19">
        <v>0.04</v>
      </c>
      <c r="E11" s="20">
        <f t="shared" si="1"/>
        <v>1</v>
      </c>
      <c r="F11" s="19">
        <f t="shared" si="0"/>
        <v>0.32040000000000002</v>
      </c>
    </row>
    <row r="12" spans="1:6">
      <c r="A12" s="11">
        <v>1930</v>
      </c>
      <c r="B12" s="18">
        <v>1.35</v>
      </c>
      <c r="C12" s="18">
        <v>0.32</v>
      </c>
      <c r="D12" s="19">
        <v>0.04</v>
      </c>
      <c r="E12" s="20">
        <f t="shared" si="1"/>
        <v>1</v>
      </c>
      <c r="F12" s="19">
        <f t="shared" si="0"/>
        <v>0.32040000000000002</v>
      </c>
    </row>
    <row r="13" spans="1:6">
      <c r="A13" s="11"/>
      <c r="B13" s="18"/>
      <c r="C13" s="18"/>
      <c r="D13" s="19"/>
      <c r="E13" s="20"/>
      <c r="F13" s="19"/>
    </row>
    <row r="14" spans="1:6">
      <c r="A14" s="11" t="s">
        <v>69</v>
      </c>
      <c r="B14" s="18">
        <v>0</v>
      </c>
      <c r="C14" s="18">
        <v>0</v>
      </c>
      <c r="D14" s="19">
        <v>0.04</v>
      </c>
      <c r="E14" s="20">
        <v>0.01</v>
      </c>
      <c r="F14" s="19">
        <f>(D14-0.005)*0.1/0.035*(1+B14+C14)*0.01*120</f>
        <v>0.12</v>
      </c>
    </row>
    <row r="15" spans="1:6">
      <c r="A15" s="11" t="s">
        <v>69</v>
      </c>
      <c r="B15" s="18">
        <v>0</v>
      </c>
      <c r="C15" s="18">
        <v>0</v>
      </c>
      <c r="D15" s="19">
        <v>0.04</v>
      </c>
      <c r="E15" s="20">
        <f>SUM(E14,F14)</f>
        <v>0.13</v>
      </c>
      <c r="F15" s="19">
        <f>(D15-0.005)*0.1/0.035*(1+B15+C15)*0.01*120</f>
        <v>0.12</v>
      </c>
    </row>
    <row r="16" spans="1:6">
      <c r="D16" s="16"/>
      <c r="E16" s="21"/>
    </row>
    <row r="17" spans="1:6">
      <c r="A17" s="11" t="s">
        <v>69</v>
      </c>
      <c r="B17" s="18">
        <v>1</v>
      </c>
      <c r="C17" s="18">
        <v>0</v>
      </c>
      <c r="D17" s="19">
        <v>0.01</v>
      </c>
      <c r="E17" s="20">
        <v>0.01</v>
      </c>
      <c r="F17" s="19">
        <f>(D17-0.005)*0.1/0.035*(1+B17+C17)*0.01*120</f>
        <v>3.4285714285714287E-2</v>
      </c>
    </row>
    <row r="18" spans="1:6">
      <c r="A18" s="11" t="s">
        <v>69</v>
      </c>
      <c r="B18" s="18">
        <v>1</v>
      </c>
      <c r="C18" s="18">
        <v>0</v>
      </c>
      <c r="D18" s="19">
        <v>0.04</v>
      </c>
      <c r="E18" s="20">
        <f>SUM(E17,F17)</f>
        <v>4.4285714285714289E-2</v>
      </c>
      <c r="F18" s="19">
        <f>(D18-0.005)*0.1/0.035*(1+B18+C18)*0.01*120</f>
        <v>0.24</v>
      </c>
    </row>
    <row r="20" spans="1:6">
      <c r="A20" s="11" t="s">
        <v>0</v>
      </c>
      <c r="B20" s="11" t="s">
        <v>66</v>
      </c>
      <c r="C20" s="11" t="s">
        <v>67</v>
      </c>
      <c r="D20" s="11" t="s">
        <v>1</v>
      </c>
      <c r="E20" s="11" t="s">
        <v>3</v>
      </c>
      <c r="F20" s="11" t="s">
        <v>68</v>
      </c>
    </row>
    <row r="21" spans="1:6">
      <c r="A21" s="11">
        <v>1830</v>
      </c>
      <c r="B21" s="18">
        <v>0.1</v>
      </c>
      <c r="C21" s="18">
        <v>-0.1</v>
      </c>
      <c r="D21" s="19">
        <v>0.01</v>
      </c>
      <c r="E21" s="20">
        <v>0.1</v>
      </c>
      <c r="F21" s="19">
        <f t="shared" ref="F21:F52" si="2">(D21-0.005)*0.1/0.035*(1+B21+C21)*0.01*12</f>
        <v>1.7142857142857144E-3</v>
      </c>
    </row>
    <row r="22" spans="1:6">
      <c r="A22" s="11">
        <v>1831</v>
      </c>
      <c r="B22" s="18">
        <v>0.1</v>
      </c>
      <c r="C22" s="18">
        <v>-0.1</v>
      </c>
      <c r="D22" s="19">
        <v>1.0500000000000001E-2</v>
      </c>
      <c r="E22" s="20">
        <f t="shared" ref="E22:E53" si="3">MIN(1,E21+F21)</f>
        <v>0.10171428571428572</v>
      </c>
      <c r="F22" s="19">
        <f t="shared" si="2"/>
        <v>1.8857142857142859E-3</v>
      </c>
    </row>
    <row r="23" spans="1:6">
      <c r="A23" s="11">
        <v>1832</v>
      </c>
      <c r="B23" s="18">
        <v>0.1</v>
      </c>
      <c r="C23" s="18">
        <v>-0.1</v>
      </c>
      <c r="D23" s="19">
        <v>1.0999999999999999E-2</v>
      </c>
      <c r="E23" s="20">
        <f t="shared" si="3"/>
        <v>0.1036</v>
      </c>
      <c r="F23" s="19">
        <f t="shared" si="2"/>
        <v>2.0571428571428568E-3</v>
      </c>
    </row>
    <row r="24" spans="1:6">
      <c r="A24" s="11">
        <v>1833</v>
      </c>
      <c r="B24" s="18">
        <v>0.1</v>
      </c>
      <c r="C24" s="18">
        <v>-0.1</v>
      </c>
      <c r="D24" s="19">
        <v>1.15E-2</v>
      </c>
      <c r="E24" s="20">
        <f t="shared" si="3"/>
        <v>0.10565714285714285</v>
      </c>
      <c r="F24" s="19">
        <f t="shared" si="2"/>
        <v>2.2285714285714283E-3</v>
      </c>
    </row>
    <row r="25" spans="1:6">
      <c r="A25" s="11">
        <v>1834</v>
      </c>
      <c r="B25" s="18">
        <v>0.1</v>
      </c>
      <c r="C25" s="18">
        <v>-0.1</v>
      </c>
      <c r="D25" s="19">
        <v>1.2E-2</v>
      </c>
      <c r="E25" s="20">
        <f t="shared" si="3"/>
        <v>0.10788571428571428</v>
      </c>
      <c r="F25" s="19">
        <f t="shared" si="2"/>
        <v>2.4000000000000002E-3</v>
      </c>
    </row>
    <row r="26" spans="1:6">
      <c r="A26" s="11">
        <v>1835</v>
      </c>
      <c r="B26" s="18">
        <v>0.1</v>
      </c>
      <c r="C26" s="18">
        <v>-0.1</v>
      </c>
      <c r="D26" s="19">
        <v>1.2500000000000001E-2</v>
      </c>
      <c r="E26" s="20">
        <f t="shared" si="3"/>
        <v>0.11028571428571428</v>
      </c>
      <c r="F26" s="19">
        <f t="shared" si="2"/>
        <v>2.5714285714285717E-3</v>
      </c>
    </row>
    <row r="27" spans="1:6">
      <c r="A27" s="11">
        <v>1836</v>
      </c>
      <c r="B27" s="18">
        <v>0.1</v>
      </c>
      <c r="C27" s="18">
        <v>-0.1</v>
      </c>
      <c r="D27" s="19">
        <v>1.2999999999999999E-2</v>
      </c>
      <c r="E27" s="20">
        <f t="shared" si="3"/>
        <v>0.11285714285714285</v>
      </c>
      <c r="F27" s="19">
        <f t="shared" si="2"/>
        <v>2.7428571428571428E-3</v>
      </c>
    </row>
    <row r="28" spans="1:6">
      <c r="A28" s="11">
        <v>1837</v>
      </c>
      <c r="B28" s="18">
        <v>0.1</v>
      </c>
      <c r="C28" s="18">
        <v>-0.1</v>
      </c>
      <c r="D28" s="19">
        <v>1.35E-2</v>
      </c>
      <c r="E28" s="20">
        <f t="shared" si="3"/>
        <v>0.11559999999999999</v>
      </c>
      <c r="F28" s="19">
        <f t="shared" si="2"/>
        <v>2.9142857142857143E-3</v>
      </c>
    </row>
    <row r="29" spans="1:6">
      <c r="A29" s="11">
        <v>1838</v>
      </c>
      <c r="B29" s="18">
        <v>0.1</v>
      </c>
      <c r="C29" s="18">
        <v>-0.1</v>
      </c>
      <c r="D29" s="19">
        <v>1.4E-2</v>
      </c>
      <c r="E29" s="20">
        <f t="shared" si="3"/>
        <v>0.11851428571428571</v>
      </c>
      <c r="F29" s="19">
        <f t="shared" si="2"/>
        <v>3.0857142857142858E-3</v>
      </c>
    </row>
    <row r="30" spans="1:6">
      <c r="A30" s="11">
        <v>1839</v>
      </c>
      <c r="B30" s="18">
        <v>0.1</v>
      </c>
      <c r="C30" s="18">
        <v>-0.1</v>
      </c>
      <c r="D30" s="19">
        <v>1.4500000000000001E-2</v>
      </c>
      <c r="E30" s="20">
        <f t="shared" si="3"/>
        <v>0.1216</v>
      </c>
      <c r="F30" s="19">
        <f t="shared" si="2"/>
        <v>3.2571428571428573E-3</v>
      </c>
    </row>
    <row r="31" spans="1:6">
      <c r="A31" s="11">
        <v>1840</v>
      </c>
      <c r="B31" s="18">
        <v>0.1</v>
      </c>
      <c r="C31" s="18">
        <v>-0.1</v>
      </c>
      <c r="D31" s="19">
        <v>1.4999999999999999E-2</v>
      </c>
      <c r="E31" s="20">
        <f t="shared" si="3"/>
        <v>0.12485714285714286</v>
      </c>
      <c r="F31" s="19">
        <f t="shared" si="2"/>
        <v>3.4285714285714275E-3</v>
      </c>
    </row>
    <row r="32" spans="1:6">
      <c r="A32" s="11">
        <v>1841</v>
      </c>
      <c r="B32" s="18">
        <v>0.1</v>
      </c>
      <c r="C32" s="18">
        <v>-0.1</v>
      </c>
      <c r="D32" s="19">
        <v>1.55E-2</v>
      </c>
      <c r="E32" s="20">
        <f t="shared" si="3"/>
        <v>0.12828571428571428</v>
      </c>
      <c r="F32" s="19">
        <f t="shared" si="2"/>
        <v>3.5999999999999999E-3</v>
      </c>
    </row>
    <row r="33" spans="1:6">
      <c r="A33" s="11">
        <v>1842</v>
      </c>
      <c r="B33" s="18">
        <v>0.1</v>
      </c>
      <c r="C33" s="18">
        <v>-0.1</v>
      </c>
      <c r="D33" s="19">
        <v>1.6E-2</v>
      </c>
      <c r="E33" s="20">
        <f t="shared" si="3"/>
        <v>0.13188571428571427</v>
      </c>
      <c r="F33" s="19">
        <f t="shared" si="2"/>
        <v>3.7714285714285718E-3</v>
      </c>
    </row>
    <row r="34" spans="1:6">
      <c r="A34" s="11">
        <v>1843</v>
      </c>
      <c r="B34" s="18">
        <v>0.1</v>
      </c>
      <c r="C34" s="18">
        <v>-0.03</v>
      </c>
      <c r="D34" s="19">
        <v>1.6500000000000001E-2</v>
      </c>
      <c r="E34" s="20">
        <f t="shared" si="3"/>
        <v>0.13565714285714284</v>
      </c>
      <c r="F34" s="19">
        <f t="shared" si="2"/>
        <v>4.2188571428571431E-3</v>
      </c>
    </row>
    <row r="35" spans="1:6">
      <c r="A35" s="11">
        <v>1844</v>
      </c>
      <c r="B35" s="18">
        <v>0.2</v>
      </c>
      <c r="C35" s="18">
        <v>-0.03</v>
      </c>
      <c r="D35" s="19">
        <v>1.7000000000000001E-2</v>
      </c>
      <c r="E35" s="20">
        <f t="shared" si="3"/>
        <v>0.13987599999999997</v>
      </c>
      <c r="F35" s="19">
        <f t="shared" si="2"/>
        <v>4.8137142857142858E-3</v>
      </c>
    </row>
    <row r="36" spans="1:6">
      <c r="A36" s="11">
        <v>1845</v>
      </c>
      <c r="B36" s="18">
        <v>0.2</v>
      </c>
      <c r="C36" s="18">
        <v>-0.03</v>
      </c>
      <c r="D36" s="19">
        <v>1.7500000000000002E-2</v>
      </c>
      <c r="E36" s="20">
        <f t="shared" si="3"/>
        <v>0.14468971428571425</v>
      </c>
      <c r="F36" s="19">
        <f t="shared" si="2"/>
        <v>5.0142857142857142E-3</v>
      </c>
    </row>
    <row r="37" spans="1:6">
      <c r="A37" s="11">
        <v>1846</v>
      </c>
      <c r="B37" s="18">
        <v>0.2</v>
      </c>
      <c r="C37" s="18">
        <v>-0.03</v>
      </c>
      <c r="D37" s="19">
        <v>1.7999999999999999E-2</v>
      </c>
      <c r="E37" s="20">
        <f t="shared" si="3"/>
        <v>0.14970399999999998</v>
      </c>
      <c r="F37" s="19">
        <f t="shared" si="2"/>
        <v>5.2148571428571417E-3</v>
      </c>
    </row>
    <row r="38" spans="1:6">
      <c r="A38" s="11">
        <v>1847</v>
      </c>
      <c r="B38" s="18">
        <v>0.2</v>
      </c>
      <c r="C38" s="18">
        <v>-0.03</v>
      </c>
      <c r="D38" s="19">
        <v>1.8499999999999999E-2</v>
      </c>
      <c r="E38" s="20">
        <f t="shared" si="3"/>
        <v>0.15491885714285711</v>
      </c>
      <c r="F38" s="19">
        <f t="shared" si="2"/>
        <v>5.4154285714285693E-3</v>
      </c>
    </row>
    <row r="39" spans="1:6">
      <c r="A39" s="11">
        <v>1848</v>
      </c>
      <c r="B39" s="18">
        <v>0.2</v>
      </c>
      <c r="C39" s="18">
        <v>-0.03</v>
      </c>
      <c r="D39" s="19">
        <v>1.9E-2</v>
      </c>
      <c r="E39" s="20">
        <f t="shared" si="3"/>
        <v>0.16033428571428568</v>
      </c>
      <c r="F39" s="19">
        <f t="shared" si="2"/>
        <v>5.6159999999999986E-3</v>
      </c>
    </row>
    <row r="40" spans="1:6">
      <c r="A40" s="11">
        <v>1849</v>
      </c>
      <c r="B40" s="18">
        <v>0.2</v>
      </c>
      <c r="C40" s="18">
        <v>-0.03</v>
      </c>
      <c r="D40" s="19">
        <v>1.95E-2</v>
      </c>
      <c r="E40" s="20">
        <f t="shared" si="3"/>
        <v>0.16595028571428569</v>
      </c>
      <c r="F40" s="19">
        <f t="shared" si="2"/>
        <v>5.8165714285714262E-3</v>
      </c>
    </row>
    <row r="41" spans="1:6">
      <c r="A41" s="11">
        <v>1850</v>
      </c>
      <c r="B41" s="18">
        <v>0.2</v>
      </c>
      <c r="C41" s="18">
        <v>-0.03</v>
      </c>
      <c r="D41" s="19">
        <v>0.02</v>
      </c>
      <c r="E41" s="20">
        <f t="shared" si="3"/>
        <v>0.17176685714285711</v>
      </c>
      <c r="F41" s="19">
        <f t="shared" si="2"/>
        <v>6.0171428571428563E-3</v>
      </c>
    </row>
    <row r="42" spans="1:6">
      <c r="A42" s="11">
        <v>1851</v>
      </c>
      <c r="B42" s="18">
        <v>0.3</v>
      </c>
      <c r="C42" s="18">
        <v>-0.03</v>
      </c>
      <c r="D42" s="19">
        <v>2.0500000000000001E-2</v>
      </c>
      <c r="E42" s="20">
        <f t="shared" si="3"/>
        <v>0.17778399999999997</v>
      </c>
      <c r="F42" s="19">
        <f t="shared" si="2"/>
        <v>6.7491428571428581E-3</v>
      </c>
    </row>
    <row r="43" spans="1:6">
      <c r="A43" s="11">
        <v>1852</v>
      </c>
      <c r="B43" s="18">
        <v>0.3</v>
      </c>
      <c r="C43" s="18">
        <v>-0.03</v>
      </c>
      <c r="D43" s="19">
        <v>2.1000000000000001E-2</v>
      </c>
      <c r="E43" s="20">
        <f t="shared" si="3"/>
        <v>0.18453314285714284</v>
      </c>
      <c r="F43" s="19">
        <f t="shared" si="2"/>
        <v>6.9668571428571427E-3</v>
      </c>
    </row>
    <row r="44" spans="1:6">
      <c r="A44" s="11">
        <v>1853</v>
      </c>
      <c r="B44" s="18">
        <v>0.4</v>
      </c>
      <c r="C44" s="18">
        <v>-0.03</v>
      </c>
      <c r="D44" s="19">
        <v>2.1499999999999998E-2</v>
      </c>
      <c r="E44" s="20">
        <f t="shared" si="3"/>
        <v>0.19149999999999998</v>
      </c>
      <c r="F44" s="19">
        <f t="shared" si="2"/>
        <v>7.7502857142857113E-3</v>
      </c>
    </row>
    <row r="45" spans="1:6">
      <c r="A45" s="11">
        <v>1854</v>
      </c>
      <c r="B45" s="18">
        <v>0.4</v>
      </c>
      <c r="C45" s="18">
        <v>-0.03</v>
      </c>
      <c r="D45" s="19">
        <v>2.1999999999999999E-2</v>
      </c>
      <c r="E45" s="20">
        <f t="shared" si="3"/>
        <v>0.19925028571428569</v>
      </c>
      <c r="F45" s="19">
        <f t="shared" si="2"/>
        <v>7.9851428571428556E-3</v>
      </c>
    </row>
    <row r="46" spans="1:6">
      <c r="A46" s="11">
        <v>1855</v>
      </c>
      <c r="B46" s="18">
        <v>0.4</v>
      </c>
      <c r="C46" s="18">
        <v>0.02</v>
      </c>
      <c r="D46" s="19">
        <v>2.2499999999999999E-2</v>
      </c>
      <c r="E46" s="20">
        <f t="shared" si="3"/>
        <v>0.20723542857142854</v>
      </c>
      <c r="F46" s="19">
        <f t="shared" si="2"/>
        <v>8.5199999999999981E-3</v>
      </c>
    </row>
    <row r="47" spans="1:6">
      <c r="A47" s="11">
        <v>1856</v>
      </c>
      <c r="B47" s="18">
        <v>0.7</v>
      </c>
      <c r="C47" s="18">
        <v>0.02</v>
      </c>
      <c r="D47" s="19">
        <v>2.3E-2</v>
      </c>
      <c r="E47" s="20">
        <f t="shared" si="3"/>
        <v>0.21575542857142854</v>
      </c>
      <c r="F47" s="19">
        <f t="shared" si="2"/>
        <v>1.0614857142857141E-2</v>
      </c>
    </row>
    <row r="48" spans="1:6">
      <c r="A48" s="11">
        <v>1857</v>
      </c>
      <c r="B48" s="18">
        <v>0.7</v>
      </c>
      <c r="C48" s="18">
        <v>0.02</v>
      </c>
      <c r="D48" s="19">
        <v>2.35E-2</v>
      </c>
      <c r="E48" s="20">
        <f t="shared" si="3"/>
        <v>0.22637028571428569</v>
      </c>
      <c r="F48" s="19">
        <f t="shared" si="2"/>
        <v>1.0909714285714286E-2</v>
      </c>
    </row>
    <row r="49" spans="1:6">
      <c r="A49" s="11">
        <v>1858</v>
      </c>
      <c r="B49" s="18">
        <v>0.7</v>
      </c>
      <c r="C49" s="18">
        <v>0.02</v>
      </c>
      <c r="D49" s="19">
        <v>2.4E-2</v>
      </c>
      <c r="E49" s="20">
        <f t="shared" si="3"/>
        <v>0.23727999999999999</v>
      </c>
      <c r="F49" s="19">
        <f t="shared" si="2"/>
        <v>1.1204571428571427E-2</v>
      </c>
    </row>
    <row r="50" spans="1:6">
      <c r="A50" s="11">
        <v>1859</v>
      </c>
      <c r="B50" s="18">
        <v>0.7</v>
      </c>
      <c r="C50" s="18">
        <v>0.02</v>
      </c>
      <c r="D50" s="19">
        <v>2.4500000000000001E-2</v>
      </c>
      <c r="E50" s="20">
        <f t="shared" si="3"/>
        <v>0.24848457142857142</v>
      </c>
      <c r="F50" s="19">
        <f t="shared" si="2"/>
        <v>1.149942857142857E-2</v>
      </c>
    </row>
    <row r="51" spans="1:6">
      <c r="A51" s="11">
        <v>1860</v>
      </c>
      <c r="B51" s="18">
        <v>0.7</v>
      </c>
      <c r="C51" s="18">
        <v>0.02</v>
      </c>
      <c r="D51" s="19">
        <v>2.5000000000000001E-2</v>
      </c>
      <c r="E51" s="20">
        <f t="shared" si="3"/>
        <v>0.25998399999999999</v>
      </c>
      <c r="F51" s="19">
        <f t="shared" si="2"/>
        <v>1.1794285714285712E-2</v>
      </c>
    </row>
    <row r="52" spans="1:6">
      <c r="A52" s="11">
        <v>1861</v>
      </c>
      <c r="B52" s="18">
        <v>0.7</v>
      </c>
      <c r="C52" s="18">
        <v>0.02</v>
      </c>
      <c r="D52" s="19">
        <v>2.5499999999999998E-2</v>
      </c>
      <c r="E52" s="20">
        <f t="shared" si="3"/>
        <v>0.27177828571428569</v>
      </c>
      <c r="F52" s="19">
        <f t="shared" si="2"/>
        <v>1.2089142857142854E-2</v>
      </c>
    </row>
    <row r="53" spans="1:6">
      <c r="A53" s="11">
        <v>1862</v>
      </c>
      <c r="B53" s="18">
        <v>0.7</v>
      </c>
      <c r="C53" s="18">
        <v>0.02</v>
      </c>
      <c r="D53" s="19">
        <v>2.5999999999999999E-2</v>
      </c>
      <c r="E53" s="20">
        <f t="shared" si="3"/>
        <v>0.28386742857142855</v>
      </c>
      <c r="F53" s="19">
        <f t="shared" ref="F53:F84" si="4">(D53-0.005)*0.1/0.035*(1+B53+C53)*0.01*12</f>
        <v>1.2383999999999999E-2</v>
      </c>
    </row>
    <row r="54" spans="1:6">
      <c r="A54" s="11">
        <v>1863</v>
      </c>
      <c r="B54" s="18">
        <v>0.7</v>
      </c>
      <c r="C54" s="18">
        <v>0.12</v>
      </c>
      <c r="D54" s="19">
        <v>2.6499999999999999E-2</v>
      </c>
      <c r="E54" s="20">
        <f t="shared" ref="E54:E85" si="5">MIN(1,E53+F53)</f>
        <v>0.29625142857142855</v>
      </c>
      <c r="F54" s="19">
        <f t="shared" si="4"/>
        <v>1.3415999999999997E-2</v>
      </c>
    </row>
    <row r="55" spans="1:6">
      <c r="A55" s="11">
        <v>1864</v>
      </c>
      <c r="B55" s="18">
        <v>0.7</v>
      </c>
      <c r="C55" s="18">
        <v>0.12</v>
      </c>
      <c r="D55" s="19">
        <v>2.7E-2</v>
      </c>
      <c r="E55" s="20">
        <f t="shared" si="5"/>
        <v>0.30966742857142854</v>
      </c>
      <c r="F55" s="19">
        <f t="shared" si="4"/>
        <v>1.3728000000000001E-2</v>
      </c>
    </row>
    <row r="56" spans="1:6">
      <c r="A56" s="11">
        <v>1865</v>
      </c>
      <c r="B56" s="18">
        <v>0.7</v>
      </c>
      <c r="C56" s="18">
        <v>0.12</v>
      </c>
      <c r="D56" s="19">
        <v>2.75E-2</v>
      </c>
      <c r="E56" s="20">
        <f t="shared" si="5"/>
        <v>0.32339542857142856</v>
      </c>
      <c r="F56" s="19">
        <f t="shared" si="4"/>
        <v>1.4039999999999997E-2</v>
      </c>
    </row>
    <row r="57" spans="1:6">
      <c r="A57" s="11">
        <v>1866</v>
      </c>
      <c r="B57" s="18">
        <v>0.7</v>
      </c>
      <c r="C57" s="18">
        <v>0.12</v>
      </c>
      <c r="D57" s="19">
        <v>2.8000000000000001E-2</v>
      </c>
      <c r="E57" s="20">
        <f t="shared" si="5"/>
        <v>0.33743542857142855</v>
      </c>
      <c r="F57" s="19">
        <f t="shared" si="4"/>
        <v>1.4351999999999997E-2</v>
      </c>
    </row>
    <row r="58" spans="1:6">
      <c r="A58" s="11">
        <v>1867</v>
      </c>
      <c r="B58" s="18">
        <v>0.7</v>
      </c>
      <c r="C58" s="18">
        <v>0.12</v>
      </c>
      <c r="D58" s="19">
        <v>2.8500000000000001E-2</v>
      </c>
      <c r="E58" s="20">
        <f t="shared" si="5"/>
        <v>0.35178742857142853</v>
      </c>
      <c r="F58" s="19">
        <f t="shared" si="4"/>
        <v>1.4664E-2</v>
      </c>
    </row>
    <row r="59" spans="1:6">
      <c r="A59" s="11">
        <v>1868</v>
      </c>
      <c r="B59" s="18">
        <v>0.7</v>
      </c>
      <c r="C59" s="18">
        <v>0.12</v>
      </c>
      <c r="D59" s="19">
        <v>2.9000000000000001E-2</v>
      </c>
      <c r="E59" s="20">
        <f t="shared" si="5"/>
        <v>0.36645142857142854</v>
      </c>
      <c r="F59" s="19">
        <f t="shared" si="4"/>
        <v>1.4976E-2</v>
      </c>
    </row>
    <row r="60" spans="1:6">
      <c r="A60" s="11">
        <v>1869</v>
      </c>
      <c r="B60" s="18">
        <v>0.7</v>
      </c>
      <c r="C60" s="18">
        <v>0.12</v>
      </c>
      <c r="D60" s="19">
        <v>2.9499999999999998E-2</v>
      </c>
      <c r="E60" s="20">
        <f t="shared" si="5"/>
        <v>0.38142742857142853</v>
      </c>
      <c r="F60" s="19">
        <f t="shared" si="4"/>
        <v>1.5288E-2</v>
      </c>
    </row>
    <row r="61" spans="1:6">
      <c r="A61" s="11">
        <v>1870</v>
      </c>
      <c r="B61" s="18">
        <v>0.7</v>
      </c>
      <c r="C61" s="18">
        <v>0.17</v>
      </c>
      <c r="D61" s="19">
        <v>0.03</v>
      </c>
      <c r="E61" s="20">
        <f t="shared" si="5"/>
        <v>0.39671542857142855</v>
      </c>
      <c r="F61" s="19">
        <f t="shared" si="4"/>
        <v>1.6028571428571427E-2</v>
      </c>
    </row>
    <row r="62" spans="1:6">
      <c r="A62" s="11">
        <v>1871</v>
      </c>
      <c r="B62" s="18">
        <v>0.7</v>
      </c>
      <c r="C62" s="18">
        <v>0.17</v>
      </c>
      <c r="D62" s="19">
        <v>3.0499999999999999E-2</v>
      </c>
      <c r="E62" s="20">
        <f t="shared" si="5"/>
        <v>0.412744</v>
      </c>
      <c r="F62" s="19">
        <f t="shared" si="4"/>
        <v>1.6349142857142857E-2</v>
      </c>
    </row>
    <row r="63" spans="1:6">
      <c r="A63" s="11">
        <v>1872</v>
      </c>
      <c r="B63" s="18">
        <v>0.7</v>
      </c>
      <c r="C63" s="18">
        <v>0.17</v>
      </c>
      <c r="D63" s="19">
        <v>3.1E-2</v>
      </c>
      <c r="E63" s="20">
        <f t="shared" si="5"/>
        <v>0.42909314285714284</v>
      </c>
      <c r="F63" s="19">
        <f t="shared" si="4"/>
        <v>1.6669714285714281E-2</v>
      </c>
    </row>
    <row r="64" spans="1:6">
      <c r="A64" s="11">
        <v>1873</v>
      </c>
      <c r="B64" s="18">
        <v>0.7</v>
      </c>
      <c r="C64" s="18">
        <v>0.17</v>
      </c>
      <c r="D64" s="19">
        <v>3.15E-2</v>
      </c>
      <c r="E64" s="20">
        <f t="shared" si="5"/>
        <v>0.44576285714285713</v>
      </c>
      <c r="F64" s="19">
        <f t="shared" si="4"/>
        <v>1.6990285714285711E-2</v>
      </c>
    </row>
    <row r="65" spans="1:6">
      <c r="A65" s="11">
        <v>1874</v>
      </c>
      <c r="B65" s="18">
        <v>0.7</v>
      </c>
      <c r="C65" s="18">
        <v>0.17</v>
      </c>
      <c r="D65" s="19">
        <v>3.2000000000000001E-2</v>
      </c>
      <c r="E65" s="20">
        <f t="shared" si="5"/>
        <v>0.46275314285714286</v>
      </c>
      <c r="F65" s="19">
        <f t="shared" si="4"/>
        <v>1.7310857142857138E-2</v>
      </c>
    </row>
    <row r="66" spans="1:6">
      <c r="A66" s="11">
        <v>1875</v>
      </c>
      <c r="B66" s="18">
        <v>0.7</v>
      </c>
      <c r="C66" s="18">
        <v>0.17</v>
      </c>
      <c r="D66" s="19">
        <v>3.2500000000000001E-2</v>
      </c>
      <c r="E66" s="20">
        <f t="shared" si="5"/>
        <v>0.48006399999999999</v>
      </c>
      <c r="F66" s="19">
        <f t="shared" si="4"/>
        <v>1.7631428571428569E-2</v>
      </c>
    </row>
    <row r="67" spans="1:6">
      <c r="A67" s="11">
        <v>1876</v>
      </c>
      <c r="B67" s="18">
        <v>0.7</v>
      </c>
      <c r="C67" s="18">
        <v>0.17</v>
      </c>
      <c r="D67" s="19">
        <v>3.3000000000000002E-2</v>
      </c>
      <c r="E67" s="20">
        <f t="shared" si="5"/>
        <v>0.49769542857142857</v>
      </c>
      <c r="F67" s="19">
        <f t="shared" si="4"/>
        <v>1.7951999999999999E-2</v>
      </c>
    </row>
    <row r="68" spans="1:6">
      <c r="A68" s="11">
        <v>1877</v>
      </c>
      <c r="B68" s="18">
        <v>0.7</v>
      </c>
      <c r="C68" s="18">
        <v>0.17</v>
      </c>
      <c r="D68" s="19">
        <v>3.3500000000000002E-2</v>
      </c>
      <c r="E68" s="20">
        <f t="shared" si="5"/>
        <v>0.51564742857142853</v>
      </c>
      <c r="F68" s="19">
        <f t="shared" si="4"/>
        <v>1.827257142857143E-2</v>
      </c>
    </row>
    <row r="69" spans="1:6">
      <c r="A69" s="11">
        <v>1878</v>
      </c>
      <c r="B69" s="18">
        <v>0.7</v>
      </c>
      <c r="C69" s="18">
        <v>0.17</v>
      </c>
      <c r="D69" s="19">
        <v>3.4000000000000002E-2</v>
      </c>
      <c r="E69" s="20">
        <f t="shared" si="5"/>
        <v>0.53391999999999995</v>
      </c>
      <c r="F69" s="19">
        <f t="shared" si="4"/>
        <v>1.8593142857142857E-2</v>
      </c>
    </row>
    <row r="70" spans="1:6">
      <c r="A70" s="11">
        <v>1879</v>
      </c>
      <c r="B70" s="18">
        <v>0.7</v>
      </c>
      <c r="C70" s="18">
        <v>0.17</v>
      </c>
      <c r="D70" s="19">
        <v>3.4500000000000003E-2</v>
      </c>
      <c r="E70" s="20">
        <f t="shared" si="5"/>
        <v>0.55251314285714281</v>
      </c>
      <c r="F70" s="19">
        <f t="shared" si="4"/>
        <v>1.8913714285714284E-2</v>
      </c>
    </row>
    <row r="71" spans="1:6">
      <c r="A71" s="11">
        <v>1880</v>
      </c>
      <c r="B71" s="18">
        <v>0.7</v>
      </c>
      <c r="C71" s="18">
        <v>0.17</v>
      </c>
      <c r="D71" s="19">
        <v>3.5000000000000003E-2</v>
      </c>
      <c r="E71" s="20">
        <f t="shared" si="5"/>
        <v>0.57142685714285713</v>
      </c>
      <c r="F71" s="19">
        <f t="shared" si="4"/>
        <v>1.9234285714285714E-2</v>
      </c>
    </row>
    <row r="72" spans="1:6">
      <c r="A72" s="11">
        <v>1881</v>
      </c>
      <c r="B72" s="18">
        <v>0.7</v>
      </c>
      <c r="C72" s="18">
        <v>0.17</v>
      </c>
      <c r="D72" s="19">
        <v>3.5499999999999997E-2</v>
      </c>
      <c r="E72" s="20">
        <f t="shared" si="5"/>
        <v>0.59066114285714288</v>
      </c>
      <c r="F72" s="19">
        <f t="shared" si="4"/>
        <v>1.9554857142857141E-2</v>
      </c>
    </row>
    <row r="73" spans="1:6">
      <c r="A73" s="11">
        <v>1882</v>
      </c>
      <c r="B73" s="18">
        <v>0.7</v>
      </c>
      <c r="C73" s="18">
        <v>0.17</v>
      </c>
      <c r="D73" s="19">
        <v>3.5999999999999997E-2</v>
      </c>
      <c r="E73" s="20">
        <f t="shared" si="5"/>
        <v>0.61021599999999998</v>
      </c>
      <c r="F73" s="19">
        <f t="shared" si="4"/>
        <v>1.9875428571428568E-2</v>
      </c>
    </row>
    <row r="74" spans="1:6">
      <c r="A74" s="11">
        <v>1883</v>
      </c>
      <c r="B74" s="18">
        <v>0.7</v>
      </c>
      <c r="C74" s="18">
        <v>0.32</v>
      </c>
      <c r="D74" s="19">
        <v>3.6499999999999998E-2</v>
      </c>
      <c r="E74" s="20">
        <f t="shared" si="5"/>
        <v>0.63009142857142852</v>
      </c>
      <c r="F74" s="19">
        <f t="shared" si="4"/>
        <v>2.1815999999999999E-2</v>
      </c>
    </row>
    <row r="75" spans="1:6">
      <c r="A75" s="11">
        <v>1884</v>
      </c>
      <c r="B75" s="18">
        <v>0.7</v>
      </c>
      <c r="C75" s="18">
        <v>0.32</v>
      </c>
      <c r="D75" s="19">
        <v>3.6999999999999998E-2</v>
      </c>
      <c r="E75" s="20">
        <f t="shared" si="5"/>
        <v>0.65190742857142847</v>
      </c>
      <c r="F75" s="19">
        <f t="shared" si="4"/>
        <v>2.2162285714285714E-2</v>
      </c>
    </row>
    <row r="76" spans="1:6">
      <c r="A76" s="11">
        <v>1885</v>
      </c>
      <c r="B76" s="18">
        <v>0.7</v>
      </c>
      <c r="C76" s="18">
        <v>0.32</v>
      </c>
      <c r="D76" s="19">
        <v>3.7499999999999999E-2</v>
      </c>
      <c r="E76" s="20">
        <f t="shared" si="5"/>
        <v>0.67406971428571416</v>
      </c>
      <c r="F76" s="19">
        <f t="shared" si="4"/>
        <v>2.250857142857143E-2</v>
      </c>
    </row>
    <row r="77" spans="1:6">
      <c r="A77" s="11">
        <v>1886</v>
      </c>
      <c r="B77" s="18">
        <v>0.7</v>
      </c>
      <c r="C77" s="18">
        <v>0.32</v>
      </c>
      <c r="D77" s="19">
        <v>3.7999999999999999E-2</v>
      </c>
      <c r="E77" s="20">
        <f t="shared" si="5"/>
        <v>0.69657828571428559</v>
      </c>
      <c r="F77" s="19">
        <f t="shared" si="4"/>
        <v>2.2854857142857146E-2</v>
      </c>
    </row>
    <row r="78" spans="1:6">
      <c r="A78" s="11">
        <v>1887</v>
      </c>
      <c r="B78" s="18">
        <v>0.7</v>
      </c>
      <c r="C78" s="18">
        <v>0.32</v>
      </c>
      <c r="D78" s="19">
        <v>3.85E-2</v>
      </c>
      <c r="E78" s="20">
        <f t="shared" si="5"/>
        <v>0.71943314285714277</v>
      </c>
      <c r="F78" s="19">
        <f t="shared" si="4"/>
        <v>2.3201142857142861E-2</v>
      </c>
    </row>
    <row r="79" spans="1:6">
      <c r="A79" s="11">
        <v>1888</v>
      </c>
      <c r="B79" s="18">
        <v>0.7</v>
      </c>
      <c r="C79" s="18">
        <v>0.32</v>
      </c>
      <c r="D79" s="19">
        <v>3.9E-2</v>
      </c>
      <c r="E79" s="20">
        <f t="shared" si="5"/>
        <v>0.74263428571428558</v>
      </c>
      <c r="F79" s="19">
        <f t="shared" si="4"/>
        <v>2.354742857142857E-2</v>
      </c>
    </row>
    <row r="80" spans="1:6">
      <c r="A80" s="11">
        <v>1889</v>
      </c>
      <c r="B80" s="18">
        <v>0.7</v>
      </c>
      <c r="C80" s="18">
        <v>0.32</v>
      </c>
      <c r="D80" s="19">
        <v>3.95E-2</v>
      </c>
      <c r="E80" s="20">
        <f t="shared" si="5"/>
        <v>0.76618171428571413</v>
      </c>
      <c r="F80" s="19">
        <f t="shared" si="4"/>
        <v>2.3893714285714285E-2</v>
      </c>
    </row>
    <row r="81" spans="1:6">
      <c r="A81" s="11">
        <v>1890</v>
      </c>
      <c r="B81" s="18">
        <v>0.7</v>
      </c>
      <c r="C81" s="18">
        <v>0.32</v>
      </c>
      <c r="D81" s="19">
        <v>0.04</v>
      </c>
      <c r="E81" s="20">
        <f t="shared" si="5"/>
        <v>0.79007542857142843</v>
      </c>
      <c r="F81" s="19">
        <f t="shared" si="4"/>
        <v>2.4240000000000001E-2</v>
      </c>
    </row>
    <row r="82" spans="1:6">
      <c r="A82" s="11">
        <v>1891</v>
      </c>
      <c r="B82" s="18">
        <v>0.7</v>
      </c>
      <c r="C82" s="18">
        <v>0.32</v>
      </c>
      <c r="D82" s="19">
        <v>0.04</v>
      </c>
      <c r="E82" s="20">
        <f t="shared" si="5"/>
        <v>0.81431542857142847</v>
      </c>
      <c r="F82" s="19">
        <f t="shared" si="4"/>
        <v>2.4240000000000001E-2</v>
      </c>
    </row>
    <row r="83" spans="1:6">
      <c r="A83" s="11">
        <v>1892</v>
      </c>
      <c r="B83" s="18">
        <v>0.7</v>
      </c>
      <c r="C83" s="18">
        <v>0.32</v>
      </c>
      <c r="D83" s="19">
        <v>0.04</v>
      </c>
      <c r="E83" s="20">
        <f t="shared" si="5"/>
        <v>0.83855542857142851</v>
      </c>
      <c r="F83" s="19">
        <f t="shared" si="4"/>
        <v>2.4240000000000001E-2</v>
      </c>
    </row>
    <row r="84" spans="1:6">
      <c r="A84" s="11">
        <v>1893</v>
      </c>
      <c r="B84" s="18">
        <v>0.7</v>
      </c>
      <c r="C84" s="18">
        <v>0.32</v>
      </c>
      <c r="D84" s="19">
        <v>0.04</v>
      </c>
      <c r="E84" s="20">
        <f t="shared" si="5"/>
        <v>0.86279542857142855</v>
      </c>
      <c r="F84" s="19">
        <f t="shared" si="4"/>
        <v>2.4240000000000001E-2</v>
      </c>
    </row>
    <row r="85" spans="1:6">
      <c r="A85" s="11">
        <v>1894</v>
      </c>
      <c r="B85" s="18">
        <v>0.7</v>
      </c>
      <c r="C85" s="18">
        <v>0.32</v>
      </c>
      <c r="D85" s="19">
        <v>0.04</v>
      </c>
      <c r="E85" s="20">
        <f t="shared" si="5"/>
        <v>0.88703542857142859</v>
      </c>
      <c r="F85" s="19">
        <f t="shared" ref="F85:F116" si="6">(D85-0.005)*0.1/0.035*(1+B85+C85)*0.01*12</f>
        <v>2.4240000000000001E-2</v>
      </c>
    </row>
    <row r="86" spans="1:6">
      <c r="A86" s="11">
        <v>1895</v>
      </c>
      <c r="B86" s="18">
        <v>0.7</v>
      </c>
      <c r="C86" s="18">
        <v>0.32</v>
      </c>
      <c r="D86" s="19">
        <v>0.04</v>
      </c>
      <c r="E86" s="20">
        <f t="shared" ref="E86:E117" si="7">MIN(1,E85+F85)</f>
        <v>0.91127542857142863</v>
      </c>
      <c r="F86" s="19">
        <f t="shared" si="6"/>
        <v>2.4240000000000001E-2</v>
      </c>
    </row>
    <row r="87" spans="1:6">
      <c r="A87" s="11">
        <v>1896</v>
      </c>
      <c r="B87" s="18">
        <v>0.7</v>
      </c>
      <c r="C87" s="18">
        <v>0.32</v>
      </c>
      <c r="D87" s="19">
        <v>0.04</v>
      </c>
      <c r="E87" s="20">
        <f t="shared" si="7"/>
        <v>0.93551542857142866</v>
      </c>
      <c r="F87" s="19">
        <f t="shared" si="6"/>
        <v>2.4240000000000001E-2</v>
      </c>
    </row>
    <row r="88" spans="1:6">
      <c r="A88" s="11">
        <v>1897</v>
      </c>
      <c r="B88" s="18">
        <v>0.7</v>
      </c>
      <c r="C88" s="18">
        <v>0.32</v>
      </c>
      <c r="D88" s="19">
        <v>0.04</v>
      </c>
      <c r="E88" s="20">
        <f t="shared" si="7"/>
        <v>0.9597554285714287</v>
      </c>
      <c r="F88" s="19">
        <f t="shared" si="6"/>
        <v>2.4240000000000001E-2</v>
      </c>
    </row>
    <row r="89" spans="1:6">
      <c r="A89" s="11">
        <v>1898</v>
      </c>
      <c r="B89" s="18">
        <v>0.7</v>
      </c>
      <c r="C89" s="18">
        <v>0.32</v>
      </c>
      <c r="D89" s="19">
        <v>0.04</v>
      </c>
      <c r="E89" s="20">
        <f t="shared" si="7"/>
        <v>0.98399542857142874</v>
      </c>
      <c r="F89" s="19">
        <f t="shared" si="6"/>
        <v>2.4240000000000001E-2</v>
      </c>
    </row>
    <row r="90" spans="1:6">
      <c r="A90" s="11">
        <v>1899</v>
      </c>
      <c r="B90" s="18">
        <v>0.7</v>
      </c>
      <c r="C90" s="18">
        <v>0.32</v>
      </c>
      <c r="D90" s="19">
        <v>0.04</v>
      </c>
      <c r="E90" s="20">
        <f t="shared" si="7"/>
        <v>1</v>
      </c>
      <c r="F90" s="19">
        <f t="shared" si="6"/>
        <v>2.4240000000000001E-2</v>
      </c>
    </row>
    <row r="91" spans="1:6">
      <c r="A91" s="11">
        <v>1900</v>
      </c>
      <c r="B91" s="18">
        <v>0.7</v>
      </c>
      <c r="C91" s="18">
        <v>0.32</v>
      </c>
      <c r="D91" s="19">
        <v>0.04</v>
      </c>
      <c r="E91" s="20">
        <f t="shared" si="7"/>
        <v>1</v>
      </c>
      <c r="F91" s="19">
        <f t="shared" si="6"/>
        <v>2.4240000000000001E-2</v>
      </c>
    </row>
    <row r="92" spans="1:6">
      <c r="A92" s="11">
        <v>1901</v>
      </c>
      <c r="B92" s="18">
        <v>0.7</v>
      </c>
      <c r="C92" s="18">
        <v>0.32</v>
      </c>
      <c r="D92" s="19">
        <v>0.04</v>
      </c>
      <c r="E92" s="20">
        <f t="shared" si="7"/>
        <v>1</v>
      </c>
      <c r="F92" s="19">
        <f t="shared" si="6"/>
        <v>2.4240000000000001E-2</v>
      </c>
    </row>
    <row r="93" spans="1:6">
      <c r="A93" s="11">
        <v>1902</v>
      </c>
      <c r="B93" s="18">
        <v>1.35</v>
      </c>
      <c r="C93" s="18">
        <v>0.32</v>
      </c>
      <c r="D93" s="19">
        <v>0.04</v>
      </c>
      <c r="E93" s="20">
        <f t="shared" si="7"/>
        <v>1</v>
      </c>
      <c r="F93" s="19">
        <f t="shared" si="6"/>
        <v>3.2039999999999999E-2</v>
      </c>
    </row>
    <row r="94" spans="1:6">
      <c r="A94" s="11">
        <v>1903</v>
      </c>
      <c r="B94" s="18">
        <v>1.35</v>
      </c>
      <c r="C94" s="18">
        <v>0.32</v>
      </c>
      <c r="D94" s="19">
        <v>0.04</v>
      </c>
      <c r="E94" s="20">
        <f t="shared" si="7"/>
        <v>1</v>
      </c>
      <c r="F94" s="19">
        <f t="shared" si="6"/>
        <v>3.2039999999999999E-2</v>
      </c>
    </row>
    <row r="95" spans="1:6">
      <c r="A95" s="11">
        <v>1904</v>
      </c>
      <c r="B95" s="18">
        <v>1.35</v>
      </c>
      <c r="C95" s="18">
        <v>0.32</v>
      </c>
      <c r="D95" s="19">
        <v>0.04</v>
      </c>
      <c r="E95" s="20">
        <f t="shared" si="7"/>
        <v>1</v>
      </c>
      <c r="F95" s="19">
        <f t="shared" si="6"/>
        <v>3.2039999999999999E-2</v>
      </c>
    </row>
    <row r="96" spans="1:6">
      <c r="A96" s="11">
        <v>1905</v>
      </c>
      <c r="B96" s="18">
        <v>1.35</v>
      </c>
      <c r="C96" s="18">
        <v>0.32</v>
      </c>
      <c r="D96" s="19">
        <v>0.04</v>
      </c>
      <c r="E96" s="20">
        <f t="shared" si="7"/>
        <v>1</v>
      </c>
      <c r="F96" s="19">
        <f t="shared" si="6"/>
        <v>3.2039999999999999E-2</v>
      </c>
    </row>
    <row r="97" spans="1:6">
      <c r="A97" s="11">
        <v>1906</v>
      </c>
      <c r="B97" s="18">
        <v>1.35</v>
      </c>
      <c r="C97" s="18">
        <v>0.32</v>
      </c>
      <c r="D97" s="19">
        <v>0.04</v>
      </c>
      <c r="E97" s="20">
        <f t="shared" si="7"/>
        <v>1</v>
      </c>
      <c r="F97" s="19">
        <f t="shared" si="6"/>
        <v>3.2039999999999999E-2</v>
      </c>
    </row>
    <row r="98" spans="1:6">
      <c r="A98" s="11">
        <v>1907</v>
      </c>
      <c r="B98" s="18">
        <v>1.35</v>
      </c>
      <c r="C98" s="18">
        <v>0.32</v>
      </c>
      <c r="D98" s="19">
        <v>0.04</v>
      </c>
      <c r="E98" s="20">
        <f t="shared" si="7"/>
        <v>1</v>
      </c>
      <c r="F98" s="19">
        <f t="shared" si="6"/>
        <v>3.2039999999999999E-2</v>
      </c>
    </row>
    <row r="99" spans="1:6">
      <c r="A99" s="11">
        <v>1908</v>
      </c>
      <c r="B99" s="18">
        <v>1.35</v>
      </c>
      <c r="C99" s="18">
        <v>0.32</v>
      </c>
      <c r="D99" s="19">
        <v>0.04</v>
      </c>
      <c r="E99" s="20">
        <f t="shared" si="7"/>
        <v>1</v>
      </c>
      <c r="F99" s="19">
        <f t="shared" si="6"/>
        <v>3.2039999999999999E-2</v>
      </c>
    </row>
    <row r="100" spans="1:6">
      <c r="A100" s="11">
        <v>1909</v>
      </c>
      <c r="B100" s="18">
        <v>1.35</v>
      </c>
      <c r="C100" s="18">
        <v>0.32</v>
      </c>
      <c r="D100" s="19">
        <v>0.04</v>
      </c>
      <c r="E100" s="20">
        <f t="shared" si="7"/>
        <v>1</v>
      </c>
      <c r="F100" s="19">
        <f t="shared" si="6"/>
        <v>3.2039999999999999E-2</v>
      </c>
    </row>
    <row r="101" spans="1:6">
      <c r="A101" s="11">
        <v>1910</v>
      </c>
      <c r="B101" s="18">
        <v>1.35</v>
      </c>
      <c r="C101" s="18">
        <v>0.32</v>
      </c>
      <c r="D101" s="19">
        <v>0.04</v>
      </c>
      <c r="E101" s="20">
        <f t="shared" si="7"/>
        <v>1</v>
      </c>
      <c r="F101" s="19">
        <f t="shared" si="6"/>
        <v>3.2039999999999999E-2</v>
      </c>
    </row>
    <row r="102" spans="1:6">
      <c r="A102" s="11">
        <v>1911</v>
      </c>
      <c r="B102" s="18">
        <v>1.35</v>
      </c>
      <c r="C102" s="18">
        <v>0.32</v>
      </c>
      <c r="D102" s="19">
        <v>0.04</v>
      </c>
      <c r="E102" s="20">
        <f t="shared" si="7"/>
        <v>1</v>
      </c>
      <c r="F102" s="19">
        <f t="shared" si="6"/>
        <v>3.2039999999999999E-2</v>
      </c>
    </row>
    <row r="103" spans="1:6">
      <c r="A103" s="11">
        <v>1912</v>
      </c>
      <c r="B103" s="18">
        <v>1.35</v>
      </c>
      <c r="C103" s="18">
        <v>0.32</v>
      </c>
      <c r="D103" s="19">
        <v>0.04</v>
      </c>
      <c r="E103" s="20">
        <f t="shared" si="7"/>
        <v>1</v>
      </c>
      <c r="F103" s="19">
        <f t="shared" si="6"/>
        <v>3.2039999999999999E-2</v>
      </c>
    </row>
    <row r="104" spans="1:6">
      <c r="A104" s="11">
        <v>1913</v>
      </c>
      <c r="B104" s="18">
        <v>1.35</v>
      </c>
      <c r="C104" s="18">
        <v>0.32</v>
      </c>
      <c r="D104" s="19">
        <v>0.04</v>
      </c>
      <c r="E104" s="20">
        <f t="shared" si="7"/>
        <v>1</v>
      </c>
      <c r="F104" s="19">
        <f t="shared" si="6"/>
        <v>3.2039999999999999E-2</v>
      </c>
    </row>
    <row r="105" spans="1:6">
      <c r="A105" s="11">
        <v>1914</v>
      </c>
      <c r="B105" s="18">
        <v>1.35</v>
      </c>
      <c r="C105" s="18">
        <v>0.32</v>
      </c>
      <c r="D105" s="19">
        <v>0.04</v>
      </c>
      <c r="E105" s="20">
        <f t="shared" si="7"/>
        <v>1</v>
      </c>
      <c r="F105" s="19">
        <f t="shared" si="6"/>
        <v>3.2039999999999999E-2</v>
      </c>
    </row>
    <row r="106" spans="1:6">
      <c r="A106" s="11">
        <v>1915</v>
      </c>
      <c r="B106" s="18">
        <v>1.35</v>
      </c>
      <c r="C106" s="18">
        <v>0.32</v>
      </c>
      <c r="D106" s="19">
        <v>0.04</v>
      </c>
      <c r="E106" s="20">
        <f t="shared" si="7"/>
        <v>1</v>
      </c>
      <c r="F106" s="19">
        <f t="shared" si="6"/>
        <v>3.2039999999999999E-2</v>
      </c>
    </row>
    <row r="107" spans="1:6">
      <c r="A107" s="11">
        <v>1916</v>
      </c>
      <c r="B107" s="18">
        <v>1.35</v>
      </c>
      <c r="C107" s="18">
        <v>0.32</v>
      </c>
      <c r="D107" s="19">
        <v>0.04</v>
      </c>
      <c r="E107" s="20">
        <f t="shared" si="7"/>
        <v>1</v>
      </c>
      <c r="F107" s="19">
        <f t="shared" si="6"/>
        <v>3.2039999999999999E-2</v>
      </c>
    </row>
    <row r="108" spans="1:6">
      <c r="A108" s="11">
        <v>1917</v>
      </c>
      <c r="B108" s="18">
        <v>1.35</v>
      </c>
      <c r="C108" s="18">
        <v>0.32</v>
      </c>
      <c r="D108" s="19">
        <v>0.04</v>
      </c>
      <c r="E108" s="20">
        <f t="shared" si="7"/>
        <v>1</v>
      </c>
      <c r="F108" s="19">
        <f t="shared" si="6"/>
        <v>3.2039999999999999E-2</v>
      </c>
    </row>
    <row r="109" spans="1:6">
      <c r="A109" s="11">
        <v>1918</v>
      </c>
      <c r="B109" s="18">
        <v>1.35</v>
      </c>
      <c r="C109" s="18">
        <v>0.32</v>
      </c>
      <c r="D109" s="19">
        <v>0.04</v>
      </c>
      <c r="E109" s="20">
        <f t="shared" si="7"/>
        <v>1</v>
      </c>
      <c r="F109" s="19">
        <f t="shared" si="6"/>
        <v>3.2039999999999999E-2</v>
      </c>
    </row>
    <row r="110" spans="1:6">
      <c r="A110" s="11">
        <v>1919</v>
      </c>
      <c r="B110" s="18">
        <v>1.35</v>
      </c>
      <c r="C110" s="18">
        <v>0.32</v>
      </c>
      <c r="D110" s="19">
        <v>0.04</v>
      </c>
      <c r="E110" s="20">
        <f t="shared" si="7"/>
        <v>1</v>
      </c>
      <c r="F110" s="19">
        <f t="shared" si="6"/>
        <v>3.2039999999999999E-2</v>
      </c>
    </row>
    <row r="111" spans="1:6">
      <c r="A111" s="11">
        <v>1920</v>
      </c>
      <c r="B111" s="18">
        <v>1.35</v>
      </c>
      <c r="C111" s="18">
        <v>0.32</v>
      </c>
      <c r="D111" s="19">
        <v>0.04</v>
      </c>
      <c r="E111" s="20">
        <f t="shared" si="7"/>
        <v>1</v>
      </c>
      <c r="F111" s="19">
        <f t="shared" si="6"/>
        <v>3.2039999999999999E-2</v>
      </c>
    </row>
    <row r="112" spans="1:6">
      <c r="A112" s="11">
        <v>1921</v>
      </c>
      <c r="B112" s="18">
        <v>1.35</v>
      </c>
      <c r="C112" s="18">
        <v>0.32</v>
      </c>
      <c r="D112" s="19">
        <v>0.04</v>
      </c>
      <c r="E112" s="20">
        <f t="shared" si="7"/>
        <v>1</v>
      </c>
      <c r="F112" s="19">
        <f t="shared" si="6"/>
        <v>3.2039999999999999E-2</v>
      </c>
    </row>
    <row r="113" spans="1:6">
      <c r="A113" s="11">
        <v>1922</v>
      </c>
      <c r="B113" s="18">
        <v>1.35</v>
      </c>
      <c r="C113" s="18">
        <v>0.32</v>
      </c>
      <c r="D113" s="19">
        <v>0.04</v>
      </c>
      <c r="E113" s="20">
        <f t="shared" si="7"/>
        <v>1</v>
      </c>
      <c r="F113" s="19">
        <f t="shared" si="6"/>
        <v>3.2039999999999999E-2</v>
      </c>
    </row>
    <row r="114" spans="1:6">
      <c r="A114" s="11">
        <v>1923</v>
      </c>
      <c r="B114" s="18">
        <v>1.35</v>
      </c>
      <c r="C114" s="18">
        <v>0.32</v>
      </c>
      <c r="D114" s="19">
        <v>0.04</v>
      </c>
      <c r="E114" s="20">
        <f t="shared" si="7"/>
        <v>1</v>
      </c>
      <c r="F114" s="19">
        <f t="shared" si="6"/>
        <v>3.2039999999999999E-2</v>
      </c>
    </row>
    <row r="115" spans="1:6">
      <c r="A115" s="11">
        <v>1924</v>
      </c>
      <c r="B115" s="18">
        <v>1.35</v>
      </c>
      <c r="C115" s="18">
        <v>0.32</v>
      </c>
      <c r="D115" s="19">
        <v>0.04</v>
      </c>
      <c r="E115" s="20">
        <f t="shared" si="7"/>
        <v>1</v>
      </c>
      <c r="F115" s="19">
        <f t="shared" si="6"/>
        <v>3.2039999999999999E-2</v>
      </c>
    </row>
    <row r="116" spans="1:6">
      <c r="A116" s="11">
        <v>1925</v>
      </c>
      <c r="B116" s="18">
        <v>1.35</v>
      </c>
      <c r="C116" s="18">
        <v>0.32</v>
      </c>
      <c r="D116" s="19">
        <v>0.04</v>
      </c>
      <c r="E116" s="20">
        <f t="shared" si="7"/>
        <v>1</v>
      </c>
      <c r="F116" s="19">
        <f t="shared" si="6"/>
        <v>3.2039999999999999E-2</v>
      </c>
    </row>
    <row r="117" spans="1:6">
      <c r="A117" s="11">
        <v>1926</v>
      </c>
      <c r="B117" s="18">
        <v>1.35</v>
      </c>
      <c r="C117" s="18">
        <v>0.32</v>
      </c>
      <c r="D117" s="19">
        <v>0.04</v>
      </c>
      <c r="E117" s="20">
        <f t="shared" si="7"/>
        <v>1</v>
      </c>
      <c r="F117" s="19">
        <f t="shared" ref="F117:F127" si="8">(D117-0.005)*0.1/0.035*(1+B117+C117)*0.01*12</f>
        <v>3.2039999999999999E-2</v>
      </c>
    </row>
    <row r="118" spans="1:6">
      <c r="A118" s="11">
        <v>1927</v>
      </c>
      <c r="B118" s="18">
        <v>1.35</v>
      </c>
      <c r="C118" s="18">
        <v>0.32</v>
      </c>
      <c r="D118" s="19">
        <v>0.04</v>
      </c>
      <c r="E118" s="20">
        <f t="shared" ref="E118:E127" si="9">MIN(1,E117+F117)</f>
        <v>1</v>
      </c>
      <c r="F118" s="19">
        <f t="shared" si="8"/>
        <v>3.2039999999999999E-2</v>
      </c>
    </row>
    <row r="119" spans="1:6">
      <c r="A119" s="11">
        <v>1928</v>
      </c>
      <c r="B119" s="18">
        <v>1.35</v>
      </c>
      <c r="C119" s="18">
        <v>0.32</v>
      </c>
      <c r="D119" s="19">
        <v>0.04</v>
      </c>
      <c r="E119" s="20">
        <f t="shared" si="9"/>
        <v>1</v>
      </c>
      <c r="F119" s="19">
        <f t="shared" si="8"/>
        <v>3.2039999999999999E-2</v>
      </c>
    </row>
    <row r="120" spans="1:6">
      <c r="A120" s="11">
        <v>1929</v>
      </c>
      <c r="B120" s="18">
        <v>1.35</v>
      </c>
      <c r="C120" s="18">
        <v>0.32</v>
      </c>
      <c r="D120" s="19">
        <v>0.04</v>
      </c>
      <c r="E120" s="20">
        <f t="shared" si="9"/>
        <v>1</v>
      </c>
      <c r="F120" s="19">
        <f t="shared" si="8"/>
        <v>3.2039999999999999E-2</v>
      </c>
    </row>
    <row r="121" spans="1:6">
      <c r="A121" s="11">
        <v>1930</v>
      </c>
      <c r="B121" s="18">
        <v>1.35</v>
      </c>
      <c r="C121" s="18">
        <v>0.32</v>
      </c>
      <c r="D121" s="19">
        <v>0.04</v>
      </c>
      <c r="E121" s="20">
        <f t="shared" si="9"/>
        <v>1</v>
      </c>
      <c r="F121" s="19">
        <f t="shared" si="8"/>
        <v>3.2039999999999999E-2</v>
      </c>
    </row>
    <row r="122" spans="1:6">
      <c r="A122" s="11">
        <v>1931</v>
      </c>
      <c r="B122" s="18">
        <v>1.35</v>
      </c>
      <c r="C122" s="18">
        <v>0.32</v>
      </c>
      <c r="D122" s="19">
        <v>0.04</v>
      </c>
      <c r="E122" s="20">
        <f t="shared" si="9"/>
        <v>1</v>
      </c>
      <c r="F122" s="19">
        <f t="shared" si="8"/>
        <v>3.2039999999999999E-2</v>
      </c>
    </row>
    <row r="123" spans="1:6">
      <c r="A123" s="11">
        <v>1932</v>
      </c>
      <c r="B123" s="18">
        <v>1.35</v>
      </c>
      <c r="C123" s="18">
        <v>0.32</v>
      </c>
      <c r="D123" s="19">
        <v>0.04</v>
      </c>
      <c r="E123" s="20">
        <f t="shared" si="9"/>
        <v>1</v>
      </c>
      <c r="F123" s="19">
        <f t="shared" si="8"/>
        <v>3.2039999999999999E-2</v>
      </c>
    </row>
    <row r="124" spans="1:6">
      <c r="A124" s="11">
        <v>1933</v>
      </c>
      <c r="B124" s="18">
        <v>1.35</v>
      </c>
      <c r="C124" s="18">
        <v>0.32</v>
      </c>
      <c r="D124" s="19">
        <v>0.04</v>
      </c>
      <c r="E124" s="20">
        <f t="shared" si="9"/>
        <v>1</v>
      </c>
      <c r="F124" s="19">
        <f t="shared" si="8"/>
        <v>3.2039999999999999E-2</v>
      </c>
    </row>
    <row r="125" spans="1:6">
      <c r="A125" s="11">
        <v>1934</v>
      </c>
      <c r="B125" s="18">
        <v>1.35</v>
      </c>
      <c r="C125" s="18">
        <v>0.32</v>
      </c>
      <c r="D125" s="19">
        <v>0.04</v>
      </c>
      <c r="E125" s="20">
        <f t="shared" si="9"/>
        <v>1</v>
      </c>
      <c r="F125" s="19">
        <f t="shared" si="8"/>
        <v>3.2039999999999999E-2</v>
      </c>
    </row>
    <row r="126" spans="1:6">
      <c r="A126" s="11">
        <v>1935</v>
      </c>
      <c r="B126" s="18">
        <v>1.35</v>
      </c>
      <c r="C126" s="18">
        <v>0.32</v>
      </c>
      <c r="D126" s="19">
        <v>0.04</v>
      </c>
      <c r="E126" s="20">
        <f t="shared" si="9"/>
        <v>1</v>
      </c>
      <c r="F126" s="19">
        <f t="shared" si="8"/>
        <v>3.2039999999999999E-2</v>
      </c>
    </row>
    <row r="127" spans="1:6">
      <c r="A127" s="11">
        <v>1936</v>
      </c>
      <c r="B127" s="18">
        <v>1.35</v>
      </c>
      <c r="C127" s="18">
        <v>0.32</v>
      </c>
      <c r="D127" s="19">
        <v>0.04</v>
      </c>
      <c r="E127" s="20">
        <f t="shared" si="9"/>
        <v>1</v>
      </c>
      <c r="F127" s="19">
        <f t="shared" si="8"/>
        <v>3.2039999999999999E-2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7"/>
  <sheetViews>
    <sheetView topLeftCell="I1" zoomScale="120" zoomScaleNormal="120" workbookViewId="0">
      <selection activeCell="K13" sqref="K13"/>
    </sheetView>
  </sheetViews>
  <sheetFormatPr defaultColWidth="8.85546875" defaultRowHeight="15"/>
  <cols>
    <col min="1" max="1" width="6.5703125" style="7" customWidth="1"/>
    <col min="2" max="2" width="9.7109375" style="7" customWidth="1"/>
    <col min="3" max="3" width="14.42578125" style="7" customWidth="1"/>
    <col min="4" max="4" width="14.5703125" style="7" customWidth="1"/>
    <col min="5" max="5" width="17.5703125" style="7" customWidth="1"/>
    <col min="6" max="6" width="17.7109375" style="7" customWidth="1"/>
    <col min="7" max="7" width="10.5703125" style="7" customWidth="1"/>
    <col min="8" max="8" width="28.5703125" style="7" customWidth="1"/>
    <col min="9" max="9" width="20.7109375" style="7" customWidth="1"/>
    <col min="10" max="10" width="19.42578125" style="7" customWidth="1"/>
    <col min="11" max="11" width="15.5703125" style="7" customWidth="1"/>
    <col min="12" max="12" width="20.42578125" style="7" customWidth="1"/>
    <col min="13" max="13" width="18.140625" style="7" customWidth="1"/>
    <col min="14" max="14" width="18.42578125" style="7" customWidth="1"/>
    <col min="15" max="15" width="15.5703125" style="7" customWidth="1"/>
    <col min="16" max="16" width="18.42578125" style="7" customWidth="1"/>
    <col min="17" max="17" width="13" style="7" customWidth="1"/>
    <col min="18" max="18" width="14.42578125" style="7" customWidth="1"/>
    <col min="19" max="19" width="13.85546875" style="7" customWidth="1"/>
    <col min="20" max="20" width="9.85546875" style="7" customWidth="1"/>
    <col min="21" max="21" width="13.85546875" style="7" customWidth="1"/>
    <col min="22" max="22" width="9.85546875" style="7" customWidth="1"/>
    <col min="23" max="23" width="13.85546875" style="7" customWidth="1"/>
    <col min="24" max="24" width="9.85546875" style="7" customWidth="1"/>
    <col min="25" max="25" width="13.85546875" style="7" customWidth="1"/>
    <col min="26" max="26" width="8.140625" style="7" customWidth="1"/>
    <col min="27" max="16384" width="8.85546875" style="7"/>
  </cols>
  <sheetData>
    <row r="1" spans="1:26">
      <c r="A1" s="22" t="s">
        <v>0</v>
      </c>
      <c r="B1" s="22" t="s">
        <v>70</v>
      </c>
      <c r="C1" s="22" t="s">
        <v>71</v>
      </c>
      <c r="D1" s="22" t="s">
        <v>72</v>
      </c>
      <c r="E1" s="22" t="s">
        <v>73</v>
      </c>
      <c r="F1" s="22" t="s">
        <v>74</v>
      </c>
      <c r="G1" s="22" t="s">
        <v>3</v>
      </c>
      <c r="H1" s="22" t="s">
        <v>75</v>
      </c>
      <c r="I1" s="22" t="s">
        <v>76</v>
      </c>
      <c r="J1" s="22" t="s">
        <v>77</v>
      </c>
      <c r="K1" s="22" t="s">
        <v>78</v>
      </c>
      <c r="L1" s="22" t="s">
        <v>79</v>
      </c>
      <c r="M1" s="22" t="s">
        <v>80</v>
      </c>
      <c r="N1" s="11" t="s">
        <v>81</v>
      </c>
      <c r="O1" s="11" t="s">
        <v>82</v>
      </c>
      <c r="P1" s="11" t="s">
        <v>83</v>
      </c>
      <c r="Q1" s="11" t="s">
        <v>84</v>
      </c>
      <c r="R1" s="11" t="s">
        <v>85</v>
      </c>
      <c r="V1" s="5" t="s">
        <v>86</v>
      </c>
      <c r="W1" s="5"/>
      <c r="X1" s="5"/>
    </row>
    <row r="2" spans="1:26">
      <c r="A2" s="11">
        <v>1830</v>
      </c>
      <c r="B2" s="12">
        <v>100000</v>
      </c>
      <c r="C2" s="12">
        <v>0</v>
      </c>
      <c r="D2" s="23">
        <v>0</v>
      </c>
      <c r="E2" s="24">
        <f t="shared" ref="E2:E22" si="0">C2/B2</f>
        <v>0</v>
      </c>
      <c r="F2" s="24">
        <f t="shared" ref="F2:F22" si="1">D2/B2</f>
        <v>0</v>
      </c>
      <c r="G2" s="8">
        <v>0.01</v>
      </c>
      <c r="H2" s="14">
        <f t="shared" ref="H2:H22" si="2">MIN((D2/B2)/(0.01+(J2*0.001))+I2,1)</f>
        <v>0.4</v>
      </c>
      <c r="I2" s="18">
        <v>0.4</v>
      </c>
      <c r="J2" s="23">
        <v>0</v>
      </c>
      <c r="K2" s="12">
        <f>B2/500/4*(0.3-IF($N$2="Yes",0.1,0)+VLOOKUP(G2,$V$3:$W$11,2,1))*H2*12</f>
        <v>72</v>
      </c>
      <c r="L2" s="14">
        <f t="shared" ref="L2:L22" si="3">(VLOOKUP(G2,$T$15:$U$21,2,1)+VLOOKUP($O$2,$T$26:$U$36,2,1)-0.12)*IF(E2&gt;0.041,0,1)</f>
        <v>0.13999999999999996</v>
      </c>
      <c r="M2" s="14">
        <f t="shared" ref="M2:M22" si="4">VLOOKUP(G2,$X$15:$Y$22,2,1)+VLOOKUP($P$2,$X$26:$Y$37,2,1)*IF(F2&gt;0.04,0,1)</f>
        <v>0.02</v>
      </c>
      <c r="N2" s="11" t="s">
        <v>58</v>
      </c>
      <c r="O2" s="8">
        <v>1</v>
      </c>
      <c r="P2" s="8">
        <v>0.1</v>
      </c>
      <c r="Q2" s="23">
        <v>35</v>
      </c>
      <c r="R2" s="14">
        <v>0</v>
      </c>
      <c r="V2" s="11" t="s">
        <v>3</v>
      </c>
      <c r="W2" s="11" t="s">
        <v>87</v>
      </c>
      <c r="X2" s="11" t="s">
        <v>88</v>
      </c>
    </row>
    <row r="3" spans="1:26">
      <c r="A3" s="11">
        <v>1831</v>
      </c>
      <c r="B3" s="12">
        <f t="shared" ref="B3:B22" si="5">B2*(1+MAX(($Q$2-30)*0.0001+0.0001+$R$2,0))-K2</f>
        <v>99988</v>
      </c>
      <c r="C3" s="12">
        <f t="shared" ref="C3:C22" si="6">C2*(1+MAX(($Q$2-30)*0.0001+0.0001+$R$2,0))+K2*IF(M2=0,1,L2/M2)</f>
        <v>503.99999999999983</v>
      </c>
      <c r="D3" s="23">
        <f t="shared" ref="D3:D22" si="7">D2*(1+MAX(($Q$2-30)*0.0001+0.0001+$R$2,0))+K2*IF(L2=0,1,M2/L2)</f>
        <v>10.285714285714288</v>
      </c>
      <c r="E3" s="24">
        <f t="shared" si="0"/>
        <v>5.0406048725847082E-3</v>
      </c>
      <c r="F3" s="24">
        <f t="shared" si="1"/>
        <v>1.0286948719560636E-4</v>
      </c>
      <c r="G3" s="8">
        <v>0.01</v>
      </c>
      <c r="H3" s="14">
        <f t="shared" si="2"/>
        <v>0.41028694871956067</v>
      </c>
      <c r="I3" s="18">
        <v>0.4</v>
      </c>
      <c r="J3" s="23">
        <v>0</v>
      </c>
      <c r="K3" s="12">
        <f t="shared" ref="K3:K22" si="8">B3/500/4*(0.3-IF($N$2="Yes",0.1,0)+VLOOKUP(G3,$V$3:$W$11,2,TRUE()))*H3*12</f>
        <v>73.842788571428571</v>
      </c>
      <c r="L3" s="14">
        <f t="shared" si="3"/>
        <v>0.13999999999999996</v>
      </c>
      <c r="M3" s="14">
        <f t="shared" si="4"/>
        <v>0.02</v>
      </c>
      <c r="V3" s="25">
        <v>0</v>
      </c>
      <c r="W3" s="25">
        <f>SUM(X3)</f>
        <v>0</v>
      </c>
      <c r="X3" s="24">
        <v>0</v>
      </c>
    </row>
    <row r="4" spans="1:26">
      <c r="A4" s="11">
        <v>1832</v>
      </c>
      <c r="B4" s="12">
        <f t="shared" si="5"/>
        <v>99974.150011428559</v>
      </c>
      <c r="C4" s="12">
        <f t="shared" si="6"/>
        <v>1021.2019199999996</v>
      </c>
      <c r="D4" s="23">
        <f t="shared" si="7"/>
        <v>20.840855510204086</v>
      </c>
      <c r="E4" s="24">
        <f t="shared" si="0"/>
        <v>1.0214659688362049E-2</v>
      </c>
      <c r="F4" s="24">
        <f t="shared" si="1"/>
        <v>2.0846244261963379E-4</v>
      </c>
      <c r="G4" s="8">
        <v>0.01</v>
      </c>
      <c r="H4" s="14">
        <f t="shared" si="2"/>
        <v>0.42084624426196338</v>
      </c>
      <c r="I4" s="18">
        <v>0.4</v>
      </c>
      <c r="J4" s="23">
        <v>0</v>
      </c>
      <c r="K4" s="12">
        <f t="shared" si="8"/>
        <v>75.732742000065286</v>
      </c>
      <c r="L4" s="14">
        <f t="shared" si="3"/>
        <v>0.13999999999999996</v>
      </c>
      <c r="M4" s="14">
        <f t="shared" si="4"/>
        <v>0.02</v>
      </c>
      <c r="V4" s="26">
        <v>0.1</v>
      </c>
      <c r="W4" s="25">
        <f>SUM(X3:X4)</f>
        <v>3.2000000000000001E-2</v>
      </c>
      <c r="X4" s="14">
        <v>3.2000000000000001E-2</v>
      </c>
    </row>
    <row r="5" spans="1:26">
      <c r="A5" s="11">
        <v>1833</v>
      </c>
      <c r="B5" s="12">
        <f t="shared" si="5"/>
        <v>99958.40175943535</v>
      </c>
      <c r="C5" s="12">
        <f t="shared" si="6"/>
        <v>1551.9438351524564</v>
      </c>
      <c r="D5" s="23">
        <f t="shared" si="7"/>
        <v>31.672323166376682</v>
      </c>
      <c r="E5" s="24">
        <f t="shared" si="0"/>
        <v>1.5525896851446648E-2</v>
      </c>
      <c r="F5" s="24">
        <f t="shared" si="1"/>
        <v>3.1685503778462569E-4</v>
      </c>
      <c r="G5" s="8">
        <v>0.01</v>
      </c>
      <c r="H5" s="14">
        <f t="shared" si="2"/>
        <v>0.4316855037784626</v>
      </c>
      <c r="I5" s="18">
        <v>0.4</v>
      </c>
      <c r="J5" s="23">
        <v>0</v>
      </c>
      <c r="K5" s="12">
        <f t="shared" si="8"/>
        <v>77.671067436741254</v>
      </c>
      <c r="L5" s="14">
        <f t="shared" si="3"/>
        <v>0.13999999999999996</v>
      </c>
      <c r="M5" s="14">
        <f t="shared" si="4"/>
        <v>0.02</v>
      </c>
      <c r="V5" s="26">
        <v>0.2</v>
      </c>
      <c r="W5" s="20">
        <f>SUM(X3:X5)</f>
        <v>5.5E-2</v>
      </c>
      <c r="X5" s="14">
        <v>2.3E-2</v>
      </c>
    </row>
    <row r="6" spans="1:26">
      <c r="A6" s="11">
        <v>1834</v>
      </c>
      <c r="B6" s="12">
        <f t="shared" si="5"/>
        <v>99940.705733054274</v>
      </c>
      <c r="C6" s="12">
        <f t="shared" si="6"/>
        <v>2096.5724735107365</v>
      </c>
      <c r="D6" s="23">
        <f t="shared" si="7"/>
        <v>42.787193336953834</v>
      </c>
      <c r="E6" s="24">
        <f t="shared" si="0"/>
        <v>2.0978163583422832E-2</v>
      </c>
      <c r="F6" s="24">
        <f t="shared" si="1"/>
        <v>4.2812578741679275E-4</v>
      </c>
      <c r="G6" s="8">
        <v>0.01</v>
      </c>
      <c r="H6" s="14">
        <f t="shared" si="2"/>
        <v>0.44281257874167929</v>
      </c>
      <c r="I6" s="18">
        <v>0.4</v>
      </c>
      <c r="J6" s="23">
        <v>0</v>
      </c>
      <c r="K6" s="12">
        <f t="shared" si="8"/>
        <v>79.659002928450761</v>
      </c>
      <c r="L6" s="14">
        <f t="shared" si="3"/>
        <v>0.13999999999999996</v>
      </c>
      <c r="M6" s="14">
        <f t="shared" si="4"/>
        <v>0.02</v>
      </c>
      <c r="V6" s="26">
        <v>0.3</v>
      </c>
      <c r="W6" s="20">
        <f>SUM(X3:X6)</f>
        <v>7.5999999999999998E-2</v>
      </c>
      <c r="X6" s="14">
        <v>2.1000000000000001E-2</v>
      </c>
    </row>
    <row r="7" spans="1:26">
      <c r="A7" s="11">
        <v>1835</v>
      </c>
      <c r="B7" s="12">
        <f t="shared" si="5"/>
        <v>99921.011153565647</v>
      </c>
      <c r="C7" s="12">
        <f t="shared" si="6"/>
        <v>2655.4434374939979</v>
      </c>
      <c r="D7" s="23">
        <f t="shared" si="7"/>
        <v>54.192723214163266</v>
      </c>
      <c r="E7" s="24">
        <f t="shared" si="0"/>
        <v>2.6575425997370318E-2</v>
      </c>
      <c r="F7" s="24">
        <f t="shared" si="1"/>
        <v>5.4235563259939464E-4</v>
      </c>
      <c r="G7" s="8">
        <v>0.01</v>
      </c>
      <c r="H7" s="14">
        <f t="shared" si="2"/>
        <v>0.45423556325993947</v>
      </c>
      <c r="I7" s="18">
        <v>0.4</v>
      </c>
      <c r="J7" s="23">
        <v>0</v>
      </c>
      <c r="K7" s="12">
        <f t="shared" si="8"/>
        <v>81.697818209116647</v>
      </c>
      <c r="L7" s="14">
        <f t="shared" si="3"/>
        <v>0.13999999999999996</v>
      </c>
      <c r="M7" s="14">
        <f t="shared" si="4"/>
        <v>0.02</v>
      </c>
      <c r="V7" s="26">
        <v>0.4</v>
      </c>
      <c r="W7" s="20">
        <f>SUM(X3:X7)</f>
        <v>9.6000000000000002E-2</v>
      </c>
      <c r="X7" s="14">
        <v>0.02</v>
      </c>
    </row>
    <row r="8" spans="1:26">
      <c r="A8" s="11">
        <v>1836</v>
      </c>
      <c r="B8" s="12">
        <f t="shared" si="5"/>
        <v>99899.265942048674</v>
      </c>
      <c r="C8" s="12">
        <f t="shared" si="6"/>
        <v>3228.9214310203106</v>
      </c>
      <c r="D8" s="23">
        <f t="shared" si="7"/>
        <v>65.896355735108429</v>
      </c>
      <c r="E8" s="24">
        <f t="shared" si="0"/>
        <v>3.2321773344094445E-2</v>
      </c>
      <c r="F8" s="24">
        <f t="shared" si="1"/>
        <v>6.5962802743049927E-4</v>
      </c>
      <c r="G8" s="8">
        <v>0.01</v>
      </c>
      <c r="H8" s="14">
        <f t="shared" si="2"/>
        <v>0.46596280274304996</v>
      </c>
      <c r="I8" s="18">
        <v>0.4</v>
      </c>
      <c r="J8" s="23">
        <v>0</v>
      </c>
      <c r="K8" s="12">
        <f t="shared" si="8"/>
        <v>83.788815510594574</v>
      </c>
      <c r="L8" s="14">
        <f t="shared" si="3"/>
        <v>0.13999999999999996</v>
      </c>
      <c r="M8" s="14">
        <f t="shared" si="4"/>
        <v>0.02</v>
      </c>
      <c r="V8" s="26">
        <v>0.51</v>
      </c>
      <c r="W8" s="20">
        <f>SUM(X3:X8)</f>
        <v>0.11700000000000001</v>
      </c>
      <c r="X8" s="14">
        <v>2.1000000000000001E-2</v>
      </c>
    </row>
    <row r="9" spans="1:26">
      <c r="A9" s="11">
        <v>1837</v>
      </c>
      <c r="B9" s="12">
        <f t="shared" si="5"/>
        <v>99875.416686103301</v>
      </c>
      <c r="C9" s="12">
        <f t="shared" si="6"/>
        <v>3817.3804924530846</v>
      </c>
      <c r="D9" s="23">
        <f t="shared" si="7"/>
        <v>77.905724335777293</v>
      </c>
      <c r="E9" s="24">
        <f t="shared" si="0"/>
        <v>3.8221422439224086E-2</v>
      </c>
      <c r="F9" s="24">
        <f t="shared" si="1"/>
        <v>7.800290293719207E-4</v>
      </c>
      <c r="G9" s="8">
        <v>0.01</v>
      </c>
      <c r="H9" s="14">
        <f t="shared" si="2"/>
        <v>0.47800290293719211</v>
      </c>
      <c r="I9" s="18">
        <v>0.4</v>
      </c>
      <c r="J9" s="23">
        <v>0</v>
      </c>
      <c r="K9" s="12">
        <f t="shared" si="8"/>
        <v>85.933330394434293</v>
      </c>
      <c r="L9" s="14">
        <f t="shared" si="3"/>
        <v>0.13999999999999996</v>
      </c>
      <c r="M9" s="14">
        <f t="shared" si="4"/>
        <v>0.02</v>
      </c>
      <c r="V9" s="26">
        <v>0.62</v>
      </c>
      <c r="W9" s="20">
        <f>SUM(X3:X9)</f>
        <v>0.13900000000000001</v>
      </c>
      <c r="X9" s="14">
        <v>2.1999999999999999E-2</v>
      </c>
    </row>
    <row r="10" spans="1:26">
      <c r="A10" s="11">
        <v>1838</v>
      </c>
      <c r="B10" s="12">
        <f t="shared" si="5"/>
        <v>99849.408605720528</v>
      </c>
      <c r="C10" s="12">
        <f t="shared" si="6"/>
        <v>4421.2042335095957</v>
      </c>
      <c r="D10" s="23">
        <f t="shared" si="7"/>
        <v>90.228657826726518</v>
      </c>
      <c r="E10" s="24">
        <f t="shared" si="0"/>
        <v>4.4278722280347065E-2</v>
      </c>
      <c r="F10" s="24">
        <f t="shared" si="1"/>
        <v>9.036473934764715E-4</v>
      </c>
      <c r="G10" s="8">
        <v>0.01</v>
      </c>
      <c r="H10" s="14">
        <f t="shared" si="2"/>
        <v>0.49036473934764718</v>
      </c>
      <c r="I10" s="18">
        <v>0.4</v>
      </c>
      <c r="J10" s="23">
        <v>0</v>
      </c>
      <c r="K10" s="12">
        <f t="shared" si="8"/>
        <v>88.132732604929558</v>
      </c>
      <c r="L10" s="14">
        <f t="shared" si="3"/>
        <v>0</v>
      </c>
      <c r="M10" s="14">
        <f t="shared" si="4"/>
        <v>0.02</v>
      </c>
      <c r="V10" s="26">
        <v>0.75</v>
      </c>
      <c r="W10" s="20">
        <f>SUM(X3:X10)</f>
        <v>0.16200000000000001</v>
      </c>
      <c r="X10" s="14">
        <v>2.3E-2</v>
      </c>
    </row>
    <row r="11" spans="1:26">
      <c r="A11" s="11">
        <v>1839</v>
      </c>
      <c r="B11" s="12">
        <f t="shared" si="5"/>
        <v>99821.185518279017</v>
      </c>
      <c r="C11" s="12">
        <f t="shared" si="6"/>
        <v>4423.8569560497008</v>
      </c>
      <c r="D11" s="23">
        <f t="shared" si="7"/>
        <v>178.41552762635212</v>
      </c>
      <c r="E11" s="24">
        <f t="shared" si="0"/>
        <v>4.4317816233905724E-2</v>
      </c>
      <c r="F11" s="24">
        <f t="shared" si="1"/>
        <v>1.7873513192615919E-3</v>
      </c>
      <c r="G11" s="8">
        <v>0.01</v>
      </c>
      <c r="H11" s="14">
        <f t="shared" si="2"/>
        <v>0.57873513192615922</v>
      </c>
      <c r="I11" s="18">
        <v>0.4</v>
      </c>
      <c r="J11" s="23">
        <v>0</v>
      </c>
      <c r="K11" s="12">
        <f t="shared" si="8"/>
        <v>103.98604854590428</v>
      </c>
      <c r="L11" s="14">
        <f t="shared" si="3"/>
        <v>0</v>
      </c>
      <c r="M11" s="14">
        <f t="shared" si="4"/>
        <v>0.02</v>
      </c>
      <c r="V11" s="26">
        <v>0.9</v>
      </c>
      <c r="W11" s="20">
        <f>SUM(X3:X11)</f>
        <v>0.186</v>
      </c>
      <c r="X11" s="14">
        <v>2.4E-2</v>
      </c>
    </row>
    <row r="12" spans="1:26">
      <c r="A12" s="11">
        <v>1840</v>
      </c>
      <c r="B12" s="12">
        <f t="shared" si="5"/>
        <v>99777.092181044078</v>
      </c>
      <c r="C12" s="12">
        <f t="shared" si="6"/>
        <v>4426.51127022333</v>
      </c>
      <c r="D12" s="23">
        <f t="shared" si="7"/>
        <v>282.50862548883219</v>
      </c>
      <c r="E12" s="24">
        <f t="shared" si="0"/>
        <v>4.4364003534914508E-2</v>
      </c>
      <c r="F12" s="24">
        <f t="shared" si="1"/>
        <v>2.8313976616619013E-3</v>
      </c>
      <c r="G12" s="8">
        <v>0.01</v>
      </c>
      <c r="H12" s="14">
        <f t="shared" si="2"/>
        <v>0.68313976616619021</v>
      </c>
      <c r="I12" s="18">
        <v>0.4</v>
      </c>
      <c r="J12" s="23">
        <v>0</v>
      </c>
      <c r="K12" s="12">
        <f t="shared" si="8"/>
        <v>122.69105895834154</v>
      </c>
      <c r="L12" s="14">
        <f t="shared" si="3"/>
        <v>0</v>
      </c>
      <c r="M12" s="14">
        <f t="shared" si="4"/>
        <v>0.02</v>
      </c>
    </row>
    <row r="13" spans="1:26">
      <c r="A13" s="11">
        <v>1841</v>
      </c>
      <c r="B13" s="12">
        <f t="shared" si="5"/>
        <v>99714.267377394353</v>
      </c>
      <c r="C13" s="12">
        <f t="shared" si="6"/>
        <v>4429.1671769854638</v>
      </c>
      <c r="D13" s="23">
        <f t="shared" si="7"/>
        <v>405.36918962246705</v>
      </c>
      <c r="E13" s="24">
        <f t="shared" si="0"/>
        <v>4.4418590172478914E-2</v>
      </c>
      <c r="F13" s="24">
        <f t="shared" si="1"/>
        <v>4.0653078068381412E-3</v>
      </c>
      <c r="G13" s="8">
        <v>0.01</v>
      </c>
      <c r="H13" s="14">
        <f t="shared" si="2"/>
        <v>0.80653078068381412</v>
      </c>
      <c r="I13" s="18">
        <v>0.4</v>
      </c>
      <c r="J13" s="23">
        <v>0</v>
      </c>
      <c r="K13" s="12">
        <f t="shared" si="8"/>
        <v>144.76072664376801</v>
      </c>
      <c r="L13" s="14">
        <f t="shared" si="3"/>
        <v>0</v>
      </c>
      <c r="M13" s="14">
        <f t="shared" si="4"/>
        <v>0.02</v>
      </c>
      <c r="T13" s="5" t="s">
        <v>89</v>
      </c>
      <c r="U13" s="5"/>
      <c r="V13" s="5"/>
      <c r="X13" s="5" t="s">
        <v>90</v>
      </c>
      <c r="Y13" s="5"/>
      <c r="Z13" s="5"/>
    </row>
    <row r="14" spans="1:26">
      <c r="A14" s="11">
        <v>1842</v>
      </c>
      <c r="B14" s="12">
        <f t="shared" si="5"/>
        <v>99629.335211177007</v>
      </c>
      <c r="C14" s="12">
        <f t="shared" si="6"/>
        <v>4431.8246772916546</v>
      </c>
      <c r="D14" s="23">
        <f t="shared" si="7"/>
        <v>550.37313778000851</v>
      </c>
      <c r="E14" s="24">
        <f t="shared" si="0"/>
        <v>4.4483130073063724E-2</v>
      </c>
      <c r="F14" s="24">
        <f t="shared" si="1"/>
        <v>5.5242076704960733E-3</v>
      </c>
      <c r="G14" s="8">
        <v>0.01</v>
      </c>
      <c r="H14" s="14">
        <f t="shared" si="2"/>
        <v>0.95242076704960732</v>
      </c>
      <c r="I14" s="18">
        <v>0.4</v>
      </c>
      <c r="J14" s="23">
        <v>0</v>
      </c>
      <c r="K14" s="12">
        <f t="shared" si="8"/>
        <v>170.80028615244896</v>
      </c>
      <c r="L14" s="14">
        <f t="shared" si="3"/>
        <v>0</v>
      </c>
      <c r="M14" s="14">
        <f t="shared" si="4"/>
        <v>0.02</v>
      </c>
      <c r="T14" s="11" t="s">
        <v>3</v>
      </c>
      <c r="U14" s="11" t="s">
        <v>87</v>
      </c>
      <c r="V14" s="11" t="s">
        <v>88</v>
      </c>
      <c r="X14" s="11" t="s">
        <v>3</v>
      </c>
      <c r="Y14" s="11" t="s">
        <v>87</v>
      </c>
      <c r="Z14" s="11" t="s">
        <v>88</v>
      </c>
    </row>
    <row r="15" spans="1:26">
      <c r="A15" s="11">
        <v>1843</v>
      </c>
      <c r="B15" s="12">
        <f t="shared" si="5"/>
        <v>99518.312526151261</v>
      </c>
      <c r="C15" s="12">
        <f t="shared" si="6"/>
        <v>4434.4837720980295</v>
      </c>
      <c r="D15" s="23">
        <f t="shared" si="7"/>
        <v>721.50364781512542</v>
      </c>
      <c r="E15" s="24">
        <f t="shared" si="0"/>
        <v>4.4559475131099542E-2</v>
      </c>
      <c r="F15" s="24">
        <f t="shared" si="1"/>
        <v>7.2499586206863174E-3</v>
      </c>
      <c r="G15" s="8">
        <v>0.01</v>
      </c>
      <c r="H15" s="14">
        <f t="shared" si="2"/>
        <v>1</v>
      </c>
      <c r="I15" s="18">
        <v>0.4</v>
      </c>
      <c r="J15" s="23">
        <v>0</v>
      </c>
      <c r="K15" s="12">
        <f t="shared" si="8"/>
        <v>179.13296254707225</v>
      </c>
      <c r="L15" s="14">
        <f t="shared" si="3"/>
        <v>0</v>
      </c>
      <c r="M15" s="14">
        <f t="shared" si="4"/>
        <v>0.02</v>
      </c>
      <c r="T15" s="25">
        <v>0</v>
      </c>
      <c r="U15" s="24">
        <f>SUM(V15)</f>
        <v>0</v>
      </c>
      <c r="V15" s="24">
        <v>0</v>
      </c>
      <c r="X15" s="25">
        <v>0</v>
      </c>
      <c r="Y15" s="24">
        <f>SUM(Z15)</f>
        <v>0</v>
      </c>
      <c r="Z15" s="24">
        <v>0</v>
      </c>
    </row>
    <row r="16" spans="1:26">
      <c r="A16" s="11">
        <v>1844</v>
      </c>
      <c r="B16" s="12">
        <f t="shared" si="5"/>
        <v>99398.890551119883</v>
      </c>
      <c r="C16" s="12">
        <f t="shared" si="6"/>
        <v>4437.1444623612879</v>
      </c>
      <c r="D16" s="23">
        <f t="shared" si="7"/>
        <v>901.06951255088666</v>
      </c>
      <c r="E16" s="24">
        <f t="shared" si="0"/>
        <v>4.4639778550438727E-2</v>
      </c>
      <c r="F16" s="24">
        <f t="shared" si="1"/>
        <v>9.0651868200427796E-3</v>
      </c>
      <c r="G16" s="8">
        <v>0.01</v>
      </c>
      <c r="H16" s="14">
        <f t="shared" si="2"/>
        <v>1</v>
      </c>
      <c r="I16" s="18">
        <v>0.4</v>
      </c>
      <c r="J16" s="23">
        <v>0</v>
      </c>
      <c r="K16" s="12">
        <f t="shared" si="8"/>
        <v>178.91800299201577</v>
      </c>
      <c r="L16" s="14">
        <f t="shared" si="3"/>
        <v>0</v>
      </c>
      <c r="M16" s="14">
        <f t="shared" si="4"/>
        <v>0.02</v>
      </c>
      <c r="T16" s="26">
        <v>0.3</v>
      </c>
      <c r="U16" s="19">
        <f>SUM(V15:V16)</f>
        <v>5.0000000000000001E-3</v>
      </c>
      <c r="V16" s="14">
        <v>5.0000000000000001E-3</v>
      </c>
      <c r="X16" s="26">
        <v>0.4</v>
      </c>
      <c r="Y16" s="19">
        <f>SUM(Z15:Z16)</f>
        <v>2.5000000000000001E-3</v>
      </c>
      <c r="Z16" s="14">
        <v>2.5000000000000001E-3</v>
      </c>
    </row>
    <row r="17" spans="1:26">
      <c r="A17" s="11">
        <v>1845</v>
      </c>
      <c r="B17" s="12">
        <f t="shared" si="5"/>
        <v>99279.611882458543</v>
      </c>
      <c r="C17" s="12">
        <f t="shared" si="6"/>
        <v>4439.8067490387048</v>
      </c>
      <c r="D17" s="23">
        <f t="shared" si="7"/>
        <v>1080.5281572504327</v>
      </c>
      <c r="E17" s="24">
        <f t="shared" si="0"/>
        <v>4.4720226689596507E-2</v>
      </c>
      <c r="F17" s="24">
        <f t="shared" si="1"/>
        <v>1.0883686355761715E-2</v>
      </c>
      <c r="G17" s="8">
        <v>0.01</v>
      </c>
      <c r="H17" s="14">
        <f t="shared" si="2"/>
        <v>1</v>
      </c>
      <c r="I17" s="18">
        <v>0.4</v>
      </c>
      <c r="J17" s="23">
        <v>0</v>
      </c>
      <c r="K17" s="12">
        <f t="shared" si="8"/>
        <v>178.70330138842536</v>
      </c>
      <c r="L17" s="14">
        <f t="shared" si="3"/>
        <v>0</v>
      </c>
      <c r="M17" s="14">
        <f t="shared" si="4"/>
        <v>0.02</v>
      </c>
      <c r="T17" s="26">
        <v>0.4</v>
      </c>
      <c r="U17" s="19">
        <f>SUM(V15:V17)</f>
        <v>7.4999999999999997E-3</v>
      </c>
      <c r="V17" s="14">
        <v>2.5000000000000001E-3</v>
      </c>
      <c r="X17" s="26">
        <v>0.5</v>
      </c>
      <c r="Y17" s="19">
        <f>SUM(Z15:Z17)</f>
        <v>5.0000000000000001E-3</v>
      </c>
      <c r="Z17" s="14">
        <v>2.5000000000000001E-3</v>
      </c>
    </row>
    <row r="18" spans="1:26">
      <c r="A18" s="11">
        <v>1846</v>
      </c>
      <c r="B18" s="12">
        <f t="shared" si="5"/>
        <v>99160.476348199591</v>
      </c>
      <c r="C18" s="12">
        <f t="shared" si="6"/>
        <v>4442.4706330881281</v>
      </c>
      <c r="D18" s="23">
        <f t="shared" si="7"/>
        <v>1259.8797755332084</v>
      </c>
      <c r="E18" s="24">
        <f t="shared" si="0"/>
        <v>4.4800819809381519E-2</v>
      </c>
      <c r="F18" s="24">
        <f t="shared" si="1"/>
        <v>1.2705463123323161E-2</v>
      </c>
      <c r="G18" s="8">
        <v>0.01</v>
      </c>
      <c r="H18" s="14">
        <f t="shared" si="2"/>
        <v>1</v>
      </c>
      <c r="I18" s="18">
        <v>0.4</v>
      </c>
      <c r="J18" s="23">
        <v>0</v>
      </c>
      <c r="K18" s="12">
        <f t="shared" si="8"/>
        <v>178.48885742675924</v>
      </c>
      <c r="L18" s="14">
        <f t="shared" si="3"/>
        <v>0</v>
      </c>
      <c r="M18" s="14">
        <f t="shared" si="4"/>
        <v>0.02</v>
      </c>
      <c r="T18" s="26">
        <v>0.5</v>
      </c>
      <c r="U18" s="19">
        <f>SUM(V15:V18)</f>
        <v>0.01</v>
      </c>
      <c r="V18" s="14">
        <v>2.5000000000000001E-3</v>
      </c>
      <c r="X18" s="26">
        <v>0.6</v>
      </c>
      <c r="Y18" s="19">
        <f>SUM(Z15:Z18)</f>
        <v>0.01</v>
      </c>
      <c r="Z18" s="14">
        <v>5.0000000000000001E-3</v>
      </c>
    </row>
    <row r="19" spans="1:26">
      <c r="A19" s="11">
        <v>1847</v>
      </c>
      <c r="B19" s="12">
        <f t="shared" si="5"/>
        <v>99041.48377658175</v>
      </c>
      <c r="C19" s="12">
        <f t="shared" si="6"/>
        <v>4445.1361154679807</v>
      </c>
      <c r="D19" s="23">
        <f t="shared" si="7"/>
        <v>1439.1245608252875</v>
      </c>
      <c r="E19" s="24">
        <f t="shared" si="0"/>
        <v>4.4881558171072436E-2</v>
      </c>
      <c r="F19" s="24">
        <f t="shared" si="1"/>
        <v>1.4530523028831753E-2</v>
      </c>
      <c r="G19" s="8">
        <v>0.01</v>
      </c>
      <c r="H19" s="14">
        <f t="shared" si="2"/>
        <v>1</v>
      </c>
      <c r="I19" s="18">
        <v>0.4</v>
      </c>
      <c r="J19" s="23">
        <v>0</v>
      </c>
      <c r="K19" s="12">
        <f t="shared" si="8"/>
        <v>178.27467079784716</v>
      </c>
      <c r="L19" s="14">
        <f t="shared" si="3"/>
        <v>0</v>
      </c>
      <c r="M19" s="14">
        <f t="shared" si="4"/>
        <v>0.02</v>
      </c>
      <c r="T19" s="26">
        <v>0.6</v>
      </c>
      <c r="U19" s="19">
        <f>SUM(V15:V19)</f>
        <v>1.2500000000000001E-2</v>
      </c>
      <c r="V19" s="14">
        <v>2.5000000000000001E-3</v>
      </c>
      <c r="X19" s="26">
        <v>0.7</v>
      </c>
      <c r="Y19" s="19">
        <f>SUM(Z15:Z19)</f>
        <v>1.4999999999999999E-2</v>
      </c>
      <c r="Z19" s="14">
        <v>5.0000000000000001E-3</v>
      </c>
    </row>
    <row r="20" spans="1:26">
      <c r="A20" s="11">
        <v>1848</v>
      </c>
      <c r="B20" s="12">
        <f t="shared" si="5"/>
        <v>98922.633996049844</v>
      </c>
      <c r="C20" s="12">
        <f t="shared" si="6"/>
        <v>4447.8031971372611</v>
      </c>
      <c r="D20" s="23">
        <f t="shared" si="7"/>
        <v>1618.2627063596299</v>
      </c>
      <c r="E20" s="24">
        <f t="shared" si="0"/>
        <v>4.4962442036418783E-2</v>
      </c>
      <c r="F20" s="24">
        <f t="shared" si="1"/>
        <v>1.6358871989035895E-2</v>
      </c>
      <c r="G20" s="8">
        <v>0.01</v>
      </c>
      <c r="H20" s="14">
        <f t="shared" si="2"/>
        <v>1</v>
      </c>
      <c r="I20" s="18">
        <v>0.4</v>
      </c>
      <c r="J20" s="23">
        <v>0</v>
      </c>
      <c r="K20" s="12">
        <f t="shared" si="8"/>
        <v>178.06074119288968</v>
      </c>
      <c r="L20" s="14">
        <f t="shared" si="3"/>
        <v>0</v>
      </c>
      <c r="M20" s="14">
        <f t="shared" si="4"/>
        <v>0.02</v>
      </c>
      <c r="T20" s="26">
        <v>0.7</v>
      </c>
      <c r="U20" s="19">
        <f>SUM(V15:V20)</f>
        <v>1.5000000000000001E-2</v>
      </c>
      <c r="V20" s="14">
        <v>2.5000000000000001E-3</v>
      </c>
      <c r="X20" s="26">
        <v>0.8</v>
      </c>
      <c r="Y20" s="19">
        <f>SUM(Z15:Z20)</f>
        <v>2.5000000000000001E-2</v>
      </c>
      <c r="Z20" s="14">
        <v>0.01</v>
      </c>
    </row>
    <row r="21" spans="1:26">
      <c r="A21" s="11">
        <v>1849</v>
      </c>
      <c r="B21" s="12">
        <f t="shared" si="5"/>
        <v>98803.926835254577</v>
      </c>
      <c r="C21" s="12">
        <f t="shared" si="6"/>
        <v>4450.4718790555435</v>
      </c>
      <c r="D21" s="23">
        <f t="shared" si="7"/>
        <v>1797.2944051763352</v>
      </c>
      <c r="E21" s="24">
        <f t="shared" si="0"/>
        <v>4.5043471667641805E-2</v>
      </c>
      <c r="F21" s="24">
        <f t="shared" si="1"/>
        <v>1.8190515931346934E-2</v>
      </c>
      <c r="G21" s="8">
        <v>0.01</v>
      </c>
      <c r="H21" s="14">
        <f t="shared" si="2"/>
        <v>1</v>
      </c>
      <c r="I21" s="18">
        <v>0.4</v>
      </c>
      <c r="J21" s="23">
        <v>0</v>
      </c>
      <c r="K21" s="12">
        <f t="shared" si="8"/>
        <v>177.84706830345823</v>
      </c>
      <c r="L21" s="14">
        <f t="shared" si="3"/>
        <v>0</v>
      </c>
      <c r="M21" s="14">
        <f t="shared" si="4"/>
        <v>0.02</v>
      </c>
      <c r="T21" s="26">
        <v>0.8</v>
      </c>
      <c r="U21" s="19">
        <f>SUM(V15:V21)</f>
        <v>1.7500000000000002E-2</v>
      </c>
      <c r="V21" s="14">
        <v>2.5000000000000001E-3</v>
      </c>
      <c r="X21" s="26">
        <v>0.9</v>
      </c>
      <c r="Y21" s="19">
        <f>SUM(Z15:Z21)</f>
        <v>3.5000000000000003E-2</v>
      </c>
      <c r="Z21" s="14">
        <v>0.01</v>
      </c>
    </row>
    <row r="22" spans="1:26">
      <c r="A22" s="11">
        <v>1850</v>
      </c>
      <c r="B22" s="12">
        <f t="shared" si="5"/>
        <v>98685.362123052269</v>
      </c>
      <c r="C22" s="12">
        <f t="shared" si="6"/>
        <v>4453.1421621829768</v>
      </c>
      <c r="D22" s="23">
        <f t="shared" si="7"/>
        <v>1976.2198501228991</v>
      </c>
      <c r="E22" s="24">
        <f t="shared" si="0"/>
        <v>4.5124647327435312E-2</v>
      </c>
      <c r="F22" s="24">
        <f t="shared" si="1"/>
        <v>2.002546079385837E-2</v>
      </c>
      <c r="G22" s="8">
        <v>0.01</v>
      </c>
      <c r="H22" s="14">
        <f t="shared" si="2"/>
        <v>1</v>
      </c>
      <c r="I22" s="18">
        <v>0.4</v>
      </c>
      <c r="J22" s="23">
        <v>0</v>
      </c>
      <c r="K22" s="12">
        <f t="shared" si="8"/>
        <v>177.63365182149408</v>
      </c>
      <c r="L22" s="14">
        <f t="shared" si="3"/>
        <v>0</v>
      </c>
      <c r="M22" s="14">
        <f t="shared" si="4"/>
        <v>0.02</v>
      </c>
      <c r="T22" s="26"/>
      <c r="U22" s="20"/>
      <c r="V22" s="26"/>
      <c r="X22" s="26">
        <v>1</v>
      </c>
      <c r="Y22" s="19">
        <f>SUM(Z15:Z22)</f>
        <v>5.5000000000000007E-2</v>
      </c>
      <c r="Z22" s="14">
        <v>0.02</v>
      </c>
    </row>
    <row r="24" spans="1:26">
      <c r="T24" s="5" t="s">
        <v>91</v>
      </c>
      <c r="U24" s="5"/>
      <c r="V24" s="5"/>
      <c r="X24" s="5" t="s">
        <v>92</v>
      </c>
      <c r="Y24" s="5"/>
      <c r="Z24" s="5"/>
    </row>
    <row r="25" spans="1:26">
      <c r="T25" s="11" t="s">
        <v>93</v>
      </c>
      <c r="U25" s="11" t="s">
        <v>87</v>
      </c>
      <c r="V25" s="11" t="s">
        <v>88</v>
      </c>
      <c r="X25" s="11" t="s">
        <v>93</v>
      </c>
      <c r="Y25" s="11" t="s">
        <v>87</v>
      </c>
      <c r="Z25" s="11" t="s">
        <v>88</v>
      </c>
    </row>
    <row r="26" spans="1:26">
      <c r="T26" s="25">
        <v>0</v>
      </c>
      <c r="U26" s="24">
        <f>SUM(V26)</f>
        <v>0</v>
      </c>
      <c r="V26" s="24">
        <v>0</v>
      </c>
      <c r="X26" s="25">
        <v>0</v>
      </c>
      <c r="Y26" s="24">
        <f>SUM(Z26)</f>
        <v>0</v>
      </c>
      <c r="Z26" s="24">
        <v>0</v>
      </c>
    </row>
    <row r="27" spans="1:26">
      <c r="T27" s="26">
        <v>0.1</v>
      </c>
      <c r="U27" s="19">
        <f>SUM(V26:V27)</f>
        <v>0.02</v>
      </c>
      <c r="V27" s="14">
        <v>0.02</v>
      </c>
      <c r="X27" s="26">
        <v>0.1</v>
      </c>
      <c r="Y27" s="19">
        <f>SUM(Z26:Z27)</f>
        <v>0.02</v>
      </c>
      <c r="Z27" s="14">
        <v>0.02</v>
      </c>
    </row>
    <row r="28" spans="1:26">
      <c r="T28" s="26">
        <v>0.2</v>
      </c>
      <c r="U28" s="19">
        <f>SUM(V26:V28)</f>
        <v>0.04</v>
      </c>
      <c r="V28" s="14">
        <v>0.02</v>
      </c>
      <c r="X28" s="26">
        <v>0.2</v>
      </c>
      <c r="Y28" s="19">
        <f>SUM(Z26:Z28)</f>
        <v>0.04</v>
      </c>
      <c r="Z28" s="14">
        <v>0.02</v>
      </c>
    </row>
    <row r="29" spans="1:26">
      <c r="T29" s="26">
        <v>0.3</v>
      </c>
      <c r="U29" s="19">
        <f>SUM(V26:V29)</f>
        <v>0.06</v>
      </c>
      <c r="V29" s="14">
        <v>0.02</v>
      </c>
      <c r="X29" s="26">
        <v>0.3</v>
      </c>
      <c r="Y29" s="19">
        <f>SUM(Z26:Z29)</f>
        <v>0.06</v>
      </c>
      <c r="Z29" s="14">
        <v>0.02</v>
      </c>
    </row>
    <row r="30" spans="1:26">
      <c r="T30" s="26">
        <v>0.4</v>
      </c>
      <c r="U30" s="19">
        <f>SUM(V26:V30)</f>
        <v>8.199999999999999E-2</v>
      </c>
      <c r="V30" s="14">
        <v>2.1999999999999999E-2</v>
      </c>
      <c r="X30" s="26">
        <v>0.4</v>
      </c>
      <c r="Y30" s="19">
        <f>SUM(Z26:Z30)</f>
        <v>0.08</v>
      </c>
      <c r="Z30" s="14">
        <v>0.02</v>
      </c>
    </row>
    <row r="31" spans="1:26">
      <c r="T31" s="26">
        <v>0.5</v>
      </c>
      <c r="U31" s="19">
        <f>SUM(V26:V31)</f>
        <v>0.10499999999999998</v>
      </c>
      <c r="V31" s="14">
        <v>2.3E-2</v>
      </c>
      <c r="X31" s="26">
        <v>0.5</v>
      </c>
      <c r="Y31" s="19">
        <f>SUM(Z26:Z31)</f>
        <v>0.1</v>
      </c>
      <c r="Z31" s="14">
        <v>0.02</v>
      </c>
    </row>
    <row r="32" spans="1:26">
      <c r="T32" s="26">
        <v>0.6</v>
      </c>
      <c r="U32" s="19">
        <f>SUM(V26:V32)</f>
        <v>0.12999999999999998</v>
      </c>
      <c r="V32" s="14">
        <v>2.5000000000000001E-2</v>
      </c>
      <c r="X32" s="26">
        <v>0.6</v>
      </c>
      <c r="Y32" s="19">
        <f>SUM(Z26:Z32)</f>
        <v>0.12000000000000001</v>
      </c>
      <c r="Z32" s="14">
        <v>0.02</v>
      </c>
    </row>
    <row r="33" spans="20:26">
      <c r="T33" s="26">
        <v>0.75</v>
      </c>
      <c r="U33" s="19">
        <f>SUM(V26:V33)</f>
        <v>0.19999999999999998</v>
      </c>
      <c r="V33" s="14">
        <v>7.0000000000000007E-2</v>
      </c>
      <c r="X33" s="26">
        <v>0.7</v>
      </c>
      <c r="Y33" s="19">
        <f>SUM(Z26:Z33)</f>
        <v>0.14000000000000001</v>
      </c>
      <c r="Z33" s="14">
        <v>0.02</v>
      </c>
    </row>
    <row r="34" spans="20:26">
      <c r="T34" s="26">
        <v>0.8</v>
      </c>
      <c r="U34" s="19">
        <f>SUM(V26:V34)</f>
        <v>0.21999999999999997</v>
      </c>
      <c r="V34" s="14">
        <v>0.02</v>
      </c>
      <c r="X34" s="26">
        <v>0.75</v>
      </c>
      <c r="Y34" s="19">
        <f>SUM(Z26:Z34)</f>
        <v>0.2</v>
      </c>
      <c r="Z34" s="14">
        <v>0.06</v>
      </c>
    </row>
    <row r="35" spans="20:26">
      <c r="T35" s="26">
        <v>0.9</v>
      </c>
      <c r="U35" s="19">
        <f>SUM(V26:V35)</f>
        <v>0.23999999999999996</v>
      </c>
      <c r="V35" s="14">
        <v>0.02</v>
      </c>
      <c r="X35" s="26">
        <v>0.8</v>
      </c>
      <c r="Y35" s="19">
        <f>SUM(Z26:Z35)</f>
        <v>0.22</v>
      </c>
      <c r="Z35" s="14">
        <v>0.02</v>
      </c>
    </row>
    <row r="36" spans="20:26">
      <c r="T36" s="26">
        <v>1</v>
      </c>
      <c r="U36" s="19">
        <f>SUM(V26:V36)</f>
        <v>0.25999999999999995</v>
      </c>
      <c r="V36" s="14">
        <v>0.02</v>
      </c>
      <c r="X36" s="26">
        <v>0.9</v>
      </c>
      <c r="Y36" s="19">
        <f>SUM(Z26:Z36)</f>
        <v>0.24</v>
      </c>
      <c r="Z36" s="14">
        <v>0.02</v>
      </c>
    </row>
    <row r="37" spans="20:26">
      <c r="X37" s="26">
        <v>1</v>
      </c>
      <c r="Y37" s="19">
        <f>SUM(Z27:Z37)</f>
        <v>0.26</v>
      </c>
      <c r="Z37" s="14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type="list" allowBlank="1" showInputMessage="1" showErrorMessage="1" sqref="N2" xr:uid="{00000000-0002-0000-0300-000000000000}">
      <formula1>"No,Yes"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4"/>
  <sheetViews>
    <sheetView zoomScale="120" zoomScaleNormal="120" workbookViewId="0">
      <selection activeCell="B2" sqref="B2"/>
    </sheetView>
  </sheetViews>
  <sheetFormatPr defaultColWidth="13.42578125" defaultRowHeight="15"/>
  <cols>
    <col min="1" max="1" width="23.5703125" customWidth="1"/>
    <col min="2" max="2" width="10.42578125" customWidth="1"/>
    <col min="3" max="3" width="22.28515625" customWidth="1"/>
    <col min="4" max="4" width="12.140625" customWidth="1"/>
    <col min="5" max="5" width="18.28515625" customWidth="1"/>
    <col min="6" max="7" width="16.28515625" customWidth="1"/>
    <col min="8" max="8" width="11.7109375" customWidth="1"/>
    <col min="9" max="9" width="14.42578125" customWidth="1"/>
    <col min="11" max="11" width="20.140625" customWidth="1"/>
    <col min="12" max="12" width="14.5703125" customWidth="1"/>
    <col min="13" max="13" width="19.28515625" customWidth="1"/>
    <col min="14" max="14" width="16.42578125" customWidth="1"/>
  </cols>
  <sheetData>
    <row r="1" spans="1:15">
      <c r="A1" s="11" t="s">
        <v>94</v>
      </c>
      <c r="B1" s="27" t="s">
        <v>70</v>
      </c>
      <c r="C1" s="11" t="s">
        <v>95</v>
      </c>
      <c r="D1" s="11" t="s">
        <v>96</v>
      </c>
      <c r="E1" s="11" t="s">
        <v>97</v>
      </c>
      <c r="F1" s="11" t="s">
        <v>98</v>
      </c>
      <c r="G1" s="11" t="s">
        <v>84</v>
      </c>
      <c r="H1" s="11" t="s">
        <v>99</v>
      </c>
      <c r="I1" s="11" t="s">
        <v>100</v>
      </c>
      <c r="K1" s="11" t="s">
        <v>101</v>
      </c>
      <c r="L1" s="11" t="s">
        <v>102</v>
      </c>
      <c r="M1" s="11" t="s">
        <v>103</v>
      </c>
      <c r="N1" s="11" t="s">
        <v>104</v>
      </c>
      <c r="O1" s="11" t="s">
        <v>0</v>
      </c>
    </row>
    <row r="2" spans="1:15">
      <c r="A2" s="28" t="s">
        <v>105</v>
      </c>
      <c r="B2" s="27">
        <f>249000</f>
        <v>249000</v>
      </c>
      <c r="C2" s="11">
        <v>1</v>
      </c>
      <c r="D2" s="18">
        <v>0</v>
      </c>
      <c r="E2" s="11">
        <v>-1</v>
      </c>
      <c r="F2" s="11">
        <v>2</v>
      </c>
      <c r="G2" s="11">
        <v>32</v>
      </c>
      <c r="H2" s="29">
        <f>B2/40000*'Goods values'!$B$3*(1+D2+$L$2+MAX(($K$2+E2)*0.16,0))</f>
        <v>43.325999999999993</v>
      </c>
      <c r="I2" s="30">
        <f>H2*'Goods values'!$C$3*3*MAX($M$2-(C2*0.075),0)*$N$2+H2</f>
        <v>133.40075399999998</v>
      </c>
      <c r="K2" s="11">
        <v>3</v>
      </c>
      <c r="L2" s="18">
        <v>1</v>
      </c>
      <c r="M2" s="18">
        <v>0.35</v>
      </c>
      <c r="N2" s="18">
        <v>0.14000000000000001</v>
      </c>
      <c r="O2" s="11">
        <v>1830</v>
      </c>
    </row>
    <row r="3" spans="1:15">
      <c r="A3" s="28" t="s">
        <v>106</v>
      </c>
      <c r="B3" s="27">
        <v>188250</v>
      </c>
      <c r="C3" s="11">
        <v>1</v>
      </c>
      <c r="D3" s="18">
        <v>0</v>
      </c>
      <c r="E3" s="11">
        <v>-1</v>
      </c>
      <c r="F3" s="11">
        <v>6</v>
      </c>
      <c r="G3" s="11">
        <v>32</v>
      </c>
      <c r="H3" s="29">
        <f>B3/40000*'Goods values'!$B$3*(1+D3+$L$2+MAX(($K$2+E3)*0.16,0))</f>
        <v>32.755499999999998</v>
      </c>
      <c r="I3" s="30">
        <f>H3*'Goods values'!$C$3*3*MAX($M$2-(C3*0.075),0)*$N$2+H3</f>
        <v>100.85418449999999</v>
      </c>
      <c r="J3" s="18"/>
      <c r="K3" s="18"/>
      <c r="L3" s="15"/>
    </row>
    <row r="4" spans="1:15">
      <c r="A4" s="28" t="s">
        <v>107</v>
      </c>
      <c r="B4" s="27">
        <v>78300</v>
      </c>
      <c r="C4" s="11">
        <v>1</v>
      </c>
      <c r="D4" s="18">
        <v>0</v>
      </c>
      <c r="E4" s="11">
        <v>-1</v>
      </c>
      <c r="F4" s="11">
        <v>2</v>
      </c>
      <c r="G4" s="11">
        <v>32</v>
      </c>
      <c r="H4" s="29">
        <f>B4/40000*'Goods values'!$B$3*(1+D4+$L$2+MAX(($K$2+E4)*0.16,0))</f>
        <v>13.6242</v>
      </c>
      <c r="I4" s="30">
        <f>H4*'Goods values'!$C$3*3*MAX($M$2-(C4*0.075),0)*$N$2+H4</f>
        <v>41.948911800000005</v>
      </c>
      <c r="J4" s="18"/>
      <c r="K4" s="18"/>
      <c r="L4" s="15"/>
    </row>
    <row r="5" spans="1:15">
      <c r="A5" s="28" t="s">
        <v>108</v>
      </c>
      <c r="B5" s="27">
        <v>83125</v>
      </c>
      <c r="C5" s="11">
        <v>1</v>
      </c>
      <c r="D5" s="18">
        <v>0</v>
      </c>
      <c r="E5" s="11">
        <v>-2</v>
      </c>
      <c r="F5" s="11">
        <v>6</v>
      </c>
      <c r="G5" s="11">
        <v>32</v>
      </c>
      <c r="H5" s="29">
        <f>B5/40000*'Goods values'!$B$3*(1+D5+$L$2+MAX(($K$2+E5)*0.16,0))</f>
        <v>13.46625</v>
      </c>
      <c r="I5" s="30">
        <f>H5*'Goods values'!$C$3*3*MAX($M$2-(C5*0.075),0)*$N$2+H5</f>
        <v>41.46258375</v>
      </c>
      <c r="J5" s="18"/>
      <c r="K5" s="18"/>
    </row>
    <row r="6" spans="1:15">
      <c r="A6" s="28" t="s">
        <v>109</v>
      </c>
      <c r="B6" s="27">
        <f>53731+10486</f>
        <v>64217</v>
      </c>
      <c r="C6" s="11">
        <v>1</v>
      </c>
      <c r="D6" s="18">
        <v>0</v>
      </c>
      <c r="E6" s="11">
        <v>-2</v>
      </c>
      <c r="F6" s="11">
        <v>6</v>
      </c>
      <c r="G6" s="11">
        <v>30</v>
      </c>
      <c r="H6" s="29">
        <f>B6/40000*'Goods values'!$B$3*(1+D6+$L$2+MAX(($K$2+E6)*0.16,0))</f>
        <v>10.403154000000001</v>
      </c>
      <c r="I6" s="30">
        <f>H6*'Goods values'!$C$3*3*MAX($M$2-(C6*0.075),0)*$N$2+H6</f>
        <v>32.031311166000009</v>
      </c>
      <c r="J6" s="18"/>
      <c r="K6" s="18"/>
    </row>
    <row r="7" spans="1:15">
      <c r="A7" s="28" t="s">
        <v>110</v>
      </c>
      <c r="B7" s="27">
        <f>23725+19000</f>
        <v>42725</v>
      </c>
      <c r="C7" s="11">
        <v>1</v>
      </c>
      <c r="D7" s="18">
        <v>0</v>
      </c>
      <c r="E7" s="11">
        <v>-2</v>
      </c>
      <c r="F7" s="11">
        <v>6</v>
      </c>
      <c r="G7" s="11">
        <v>40</v>
      </c>
      <c r="H7" s="29">
        <f>B7/40000*'Goods values'!$B$3*(1+D7+$L$2+MAX(($K$2+E7)*0.16,0))</f>
        <v>6.9214500000000001</v>
      </c>
      <c r="I7" s="30">
        <f>H7*'Goods values'!$C$3*3*MAX($M$2-(C7*0.075),0)*$N$2+H7</f>
        <v>21.311144550000002</v>
      </c>
      <c r="J7" s="18"/>
      <c r="K7" s="18"/>
      <c r="L7" s="15"/>
    </row>
    <row r="8" spans="1:15">
      <c r="A8" s="28" t="s">
        <v>111</v>
      </c>
      <c r="B8" s="27">
        <v>34540</v>
      </c>
      <c r="C8" s="11">
        <v>1</v>
      </c>
      <c r="D8" s="18">
        <v>0</v>
      </c>
      <c r="E8" s="11">
        <v>0</v>
      </c>
      <c r="F8" s="11">
        <v>6</v>
      </c>
      <c r="G8" s="11">
        <v>32</v>
      </c>
      <c r="H8" s="29">
        <f>B8/40000*'Goods values'!$B$3*(1+D8+$L$2+MAX(($K$2+E8)*0.16,0))</f>
        <v>6.4244399999999997</v>
      </c>
      <c r="I8" s="30">
        <f>H8*'Goods values'!$C$3*3*MAX($M$2-(C8*0.075),0)*$N$2+H8</f>
        <v>19.78085076</v>
      </c>
      <c r="J8" s="18"/>
      <c r="K8" s="18"/>
      <c r="L8" s="15"/>
    </row>
    <row r="9" spans="1:15">
      <c r="A9" s="28" t="s">
        <v>112</v>
      </c>
      <c r="B9" s="27">
        <v>25000</v>
      </c>
      <c r="C9" s="11">
        <v>1</v>
      </c>
      <c r="D9" s="18">
        <v>0</v>
      </c>
      <c r="E9" s="11">
        <v>-1</v>
      </c>
      <c r="F9" s="11">
        <v>3</v>
      </c>
      <c r="G9" s="11">
        <v>32</v>
      </c>
      <c r="H9" s="29">
        <f>B9/40000*'Goods values'!$B$3*(1+D9+$L$2+MAX(($K$2+E9)*0.16,0))</f>
        <v>4.3499999999999996</v>
      </c>
      <c r="I9" s="30">
        <f>H9*'Goods values'!$C$3*3*MAX($M$2-(C9*0.075),0)*$N$2+H9</f>
        <v>13.393649999999997</v>
      </c>
      <c r="J9" s="18"/>
      <c r="K9" s="18"/>
      <c r="L9" s="15"/>
    </row>
    <row r="10" spans="1:15">
      <c r="A10" s="28" t="s">
        <v>113</v>
      </c>
      <c r="B10" s="27">
        <v>22231</v>
      </c>
      <c r="C10" s="11">
        <v>1</v>
      </c>
      <c r="D10" s="18">
        <v>0</v>
      </c>
      <c r="E10" s="11">
        <v>0</v>
      </c>
      <c r="F10" s="11">
        <v>6</v>
      </c>
      <c r="G10" s="11">
        <v>32</v>
      </c>
      <c r="H10" s="29">
        <f>B10/40000*'Goods values'!$B$3*(1+D10+$L$2+MAX(($K$2+E10)*0.16,0))</f>
        <v>4.1349659999999995</v>
      </c>
      <c r="I10" s="30">
        <f>H10*'Goods values'!$C$3*3*MAX($M$2-(C10*0.075),0)*$N$2+H10</f>
        <v>12.731560313999999</v>
      </c>
      <c r="J10" s="18"/>
      <c r="K10" s="18"/>
      <c r="L10" s="15"/>
    </row>
    <row r="11" spans="1:15">
      <c r="A11" s="28" t="s">
        <v>114</v>
      </c>
      <c r="B11" s="27">
        <f>14800+5500</f>
        <v>20300</v>
      </c>
      <c r="C11" s="11">
        <v>1</v>
      </c>
      <c r="D11" s="18">
        <v>0</v>
      </c>
      <c r="E11" s="11">
        <v>-1</v>
      </c>
      <c r="F11" s="11">
        <v>6</v>
      </c>
      <c r="G11" s="11">
        <v>35</v>
      </c>
      <c r="H11" s="29">
        <f>B11/40000*'Goods values'!$B$3*(1+D11+$L$2+MAX(($K$2+E11)*0.16,0))</f>
        <v>3.5321999999999996</v>
      </c>
      <c r="I11" s="30">
        <f>H11*'Goods values'!$C$3*3*MAX($M$2-(C11*0.075),0)*$N$2+H11</f>
        <v>10.875643799999999</v>
      </c>
      <c r="J11" s="18"/>
      <c r="K11" s="18"/>
      <c r="L11" s="15"/>
    </row>
    <row r="12" spans="1:15">
      <c r="A12" s="28" t="s">
        <v>115</v>
      </c>
      <c r="B12" s="27">
        <f>18400+1750</f>
        <v>20150</v>
      </c>
      <c r="C12" s="11">
        <v>1</v>
      </c>
      <c r="D12" s="18">
        <v>0</v>
      </c>
      <c r="E12" s="11">
        <v>-2</v>
      </c>
      <c r="F12" s="11">
        <v>6</v>
      </c>
      <c r="G12" s="11">
        <v>30</v>
      </c>
      <c r="H12" s="29">
        <f>B12/40000*'Goods values'!$B$3*(1+D12+$L$2+MAX(($K$2+E12)*0.16,0))</f>
        <v>3.2643</v>
      </c>
      <c r="I12" s="30">
        <f>H12*'Goods values'!$C$3*3*MAX($M$2-(C12*0.075),0)*$N$2+H12</f>
        <v>10.0507797</v>
      </c>
      <c r="J12" s="18"/>
      <c r="K12" s="18"/>
      <c r="L12" s="15"/>
    </row>
    <row r="13" spans="1:15">
      <c r="A13" s="28" t="s">
        <v>116</v>
      </c>
      <c r="B13" s="27">
        <v>12150</v>
      </c>
      <c r="C13" s="11">
        <v>1</v>
      </c>
      <c r="D13" s="18">
        <v>0</v>
      </c>
      <c r="E13" s="11">
        <v>-2</v>
      </c>
      <c r="F13" s="11">
        <v>2</v>
      </c>
      <c r="G13" s="11">
        <v>32</v>
      </c>
      <c r="H13" s="29">
        <f>B13/40000*'Goods values'!$B$3*(1+D13+$L$2+MAX(($K$2+E13)*0.16,0))</f>
        <v>1.9683000000000004</v>
      </c>
      <c r="I13" s="30">
        <f>H13*'Goods values'!$C$3*3*MAX($M$2-(C13*0.075),0)*$N$2+H13</f>
        <v>6.0603957000000008</v>
      </c>
      <c r="J13" s="18"/>
      <c r="K13" s="18"/>
      <c r="L13" s="15"/>
    </row>
    <row r="14" spans="1:15">
      <c r="A14" s="28" t="s">
        <v>117</v>
      </c>
      <c r="B14" s="27">
        <f>6580+450</f>
        <v>7030</v>
      </c>
      <c r="C14" s="11">
        <v>1</v>
      </c>
      <c r="D14" s="18">
        <v>0.25</v>
      </c>
      <c r="E14" s="11">
        <v>0</v>
      </c>
      <c r="F14" s="11">
        <v>3</v>
      </c>
      <c r="G14" s="11">
        <v>35</v>
      </c>
      <c r="H14" s="29">
        <f>B14/40000*'Goods values'!$B$3*(1+D14+$L$2+MAX(($K$2+E14)*0.16,0))</f>
        <v>1.4393925000000001</v>
      </c>
      <c r="I14" s="30">
        <f>H14*'Goods values'!$C$3*3*MAX($M$2-(C14*0.075),0)*$N$2+H14</f>
        <v>4.4318895075000002</v>
      </c>
      <c r="J14" s="18"/>
      <c r="K14" s="18"/>
      <c r="L14" s="15"/>
    </row>
    <row r="15" spans="1:15">
      <c r="A15" s="28" t="s">
        <v>118</v>
      </c>
      <c r="B15" s="27">
        <v>7562</v>
      </c>
      <c r="C15" s="11">
        <v>1</v>
      </c>
      <c r="D15" s="18">
        <v>0</v>
      </c>
      <c r="E15" s="11">
        <v>-2</v>
      </c>
      <c r="F15" s="11">
        <v>6</v>
      </c>
      <c r="G15" s="11">
        <v>20</v>
      </c>
      <c r="H15" s="29">
        <f>B15/40000*'Goods values'!$B$3*(1+D15+$L$2+MAX(($K$2+E15)*0.16,0))</f>
        <v>1.2250440000000002</v>
      </c>
      <c r="I15" s="30">
        <f>H15*'Goods values'!$C$3*3*MAX($M$2-(C15*0.075),0)*$N$2+H15</f>
        <v>3.7719104760000004</v>
      </c>
      <c r="J15" s="18"/>
      <c r="K15" s="18"/>
      <c r="L15" s="15"/>
    </row>
    <row r="16" spans="1:15">
      <c r="A16" s="28" t="s">
        <v>119</v>
      </c>
      <c r="B16" s="27">
        <v>6375</v>
      </c>
      <c r="C16" s="11">
        <v>1</v>
      </c>
      <c r="D16" s="18">
        <v>0</v>
      </c>
      <c r="E16" s="11">
        <v>0</v>
      </c>
      <c r="F16" s="11">
        <v>6</v>
      </c>
      <c r="G16" s="11">
        <v>32</v>
      </c>
      <c r="H16" s="29">
        <f>B16/40000*'Goods values'!$B$3*(1+D16+$L$2+MAX(($K$2+E16)*0.16,0))</f>
        <v>1.1857499999999999</v>
      </c>
      <c r="I16" s="30">
        <f>H16*'Goods values'!$C$3*3*MAX($M$2-(C16*0.075),0)*$N$2+H16</f>
        <v>3.6509242499999992</v>
      </c>
      <c r="J16" s="18"/>
      <c r="K16" s="18"/>
      <c r="L16" s="15"/>
    </row>
    <row r="17" spans="1:12">
      <c r="A17" s="28" t="s">
        <v>120</v>
      </c>
      <c r="B17" s="27">
        <v>5475</v>
      </c>
      <c r="C17" s="11">
        <v>1</v>
      </c>
      <c r="D17" s="18">
        <v>0</v>
      </c>
      <c r="E17" s="11">
        <v>0</v>
      </c>
      <c r="F17" s="11">
        <v>6</v>
      </c>
      <c r="G17" s="11">
        <v>32</v>
      </c>
      <c r="H17" s="29">
        <f>B17/40000*'Goods values'!$B$3*(1+D17+$L$2+MAX(($K$2+E17)*0.16,0))</f>
        <v>1.0183500000000001</v>
      </c>
      <c r="I17" s="30">
        <f>H17*'Goods values'!$C$3*3*MAX($M$2-(C17*0.075),0)*$N$2+H17</f>
        <v>3.1354996499999999</v>
      </c>
      <c r="J17" s="18"/>
      <c r="K17" s="18"/>
      <c r="L17" s="15"/>
    </row>
    <row r="18" spans="1:12">
      <c r="A18" s="28" t="s">
        <v>121</v>
      </c>
      <c r="B18" s="27">
        <f>5375+500</f>
        <v>5875</v>
      </c>
      <c r="C18" s="11">
        <v>1</v>
      </c>
      <c r="D18" s="18">
        <v>0</v>
      </c>
      <c r="E18" s="11">
        <v>-3</v>
      </c>
      <c r="F18" s="11">
        <v>6</v>
      </c>
      <c r="G18" s="11">
        <v>31</v>
      </c>
      <c r="H18" s="29">
        <f>B18/40000*'Goods values'!$B$3*(1+D18+$L$2+MAX(($K$2+E18)*0.16,0))</f>
        <v>0.88125000000000009</v>
      </c>
      <c r="I18" s="30">
        <f>H18*'Goods values'!$C$3*3*MAX($M$2-(C18*0.075),0)*$N$2+H18</f>
        <v>2.7133687499999999</v>
      </c>
      <c r="J18" s="18"/>
      <c r="K18" s="18"/>
      <c r="L18" s="15"/>
    </row>
    <row r="19" spans="1:12">
      <c r="A19" s="28" t="s">
        <v>122</v>
      </c>
      <c r="B19" s="27">
        <v>5000</v>
      </c>
      <c r="C19" s="11">
        <v>1</v>
      </c>
      <c r="D19" s="18">
        <v>0</v>
      </c>
      <c r="E19" s="11">
        <v>-2</v>
      </c>
      <c r="F19" s="11">
        <v>6</v>
      </c>
      <c r="G19" s="11">
        <v>31</v>
      </c>
      <c r="H19" s="29">
        <f>B19/40000*'Goods values'!$B$3*(1+D19+$L$2+MAX(($K$2+E19)*0.16,0))</f>
        <v>0.81</v>
      </c>
      <c r="I19" s="30">
        <f>H19*'Goods values'!$C$3*3*MAX($M$2-(C19*0.075),0)*$N$2+H19</f>
        <v>2.4939900000000002</v>
      </c>
      <c r="J19" s="18"/>
      <c r="K19" s="18"/>
      <c r="L19" s="15"/>
    </row>
    <row r="20" spans="1:12">
      <c r="A20" s="28" t="s">
        <v>123</v>
      </c>
      <c r="B20" s="27">
        <v>4325</v>
      </c>
      <c r="C20" s="11">
        <v>1</v>
      </c>
      <c r="D20" s="18">
        <v>0</v>
      </c>
      <c r="E20" s="11">
        <v>-3</v>
      </c>
      <c r="F20" s="11">
        <v>6</v>
      </c>
      <c r="G20" s="11">
        <v>30</v>
      </c>
      <c r="H20" s="29">
        <f>B20/40000*'Goods values'!$B$3*(1+D20+$L$2+MAX(($K$2+E20)*0.16,0))</f>
        <v>0.64874999999999994</v>
      </c>
      <c r="I20" s="30">
        <f>H20*'Goods values'!$C$3*3*MAX($M$2-(C20*0.075),0)*$N$2+H20</f>
        <v>1.9975012499999998</v>
      </c>
      <c r="J20" s="18"/>
      <c r="K20" s="18"/>
      <c r="L20" s="15"/>
    </row>
    <row r="21" spans="1:12">
      <c r="A21" s="28" t="s">
        <v>124</v>
      </c>
      <c r="B21" s="27">
        <v>2750</v>
      </c>
      <c r="C21" s="11">
        <v>1</v>
      </c>
      <c r="D21" s="18">
        <v>0.25</v>
      </c>
      <c r="E21" s="11">
        <v>0</v>
      </c>
      <c r="F21" s="11">
        <v>3</v>
      </c>
      <c r="G21" s="11">
        <v>32</v>
      </c>
      <c r="H21" s="29">
        <f>B21/40000*'Goods values'!$B$3*(1+D21+$L$2+MAX(($K$2+E21)*0.16,0))</f>
        <v>0.56306250000000002</v>
      </c>
      <c r="I21" s="30">
        <f>H21*'Goods values'!$C$3*3*MAX($M$2-(C21*0.075),0)*$N$2+H21</f>
        <v>1.7336694375000001</v>
      </c>
      <c r="J21" s="18"/>
      <c r="K21" s="18"/>
      <c r="L21" s="15"/>
    </row>
    <row r="22" spans="1:12">
      <c r="A22" s="28" t="s">
        <v>125</v>
      </c>
      <c r="B22" s="27">
        <v>3263</v>
      </c>
      <c r="C22" s="11">
        <v>1</v>
      </c>
      <c r="D22" s="18">
        <v>0</v>
      </c>
      <c r="E22" s="11">
        <v>-2</v>
      </c>
      <c r="F22" s="11">
        <v>6</v>
      </c>
      <c r="G22" s="11">
        <v>31</v>
      </c>
      <c r="H22" s="29">
        <f>B22/40000*'Goods values'!$B$3*(1+D22+$L$2+MAX(($K$2+E22)*0.16,0))</f>
        <v>0.52860600000000002</v>
      </c>
      <c r="I22" s="30">
        <f>H22*'Goods values'!$C$3*3*MAX($M$2-(C22*0.075),0)*$N$2+H22</f>
        <v>1.627577874</v>
      </c>
      <c r="J22" s="18"/>
      <c r="K22" s="18"/>
      <c r="L22" s="15"/>
    </row>
    <row r="23" spans="1:12">
      <c r="A23" s="28" t="s">
        <v>126</v>
      </c>
      <c r="B23" s="27">
        <v>1950</v>
      </c>
      <c r="C23" s="11">
        <v>1</v>
      </c>
      <c r="D23" s="18">
        <v>0</v>
      </c>
      <c r="E23" s="11">
        <v>-2</v>
      </c>
      <c r="F23" s="11">
        <v>6</v>
      </c>
      <c r="G23" s="11">
        <v>35</v>
      </c>
      <c r="H23" s="29">
        <f>B23/40000*'Goods values'!$B$3*(1+D23+$L$2+MAX(($K$2+E23)*0.16,0))</f>
        <v>0.31590000000000001</v>
      </c>
      <c r="I23" s="30">
        <f>H23*'Goods values'!$C$3*3*MAX($M$2-(C23*0.075),0)*$N$2+H23</f>
        <v>0.97265610000000002</v>
      </c>
      <c r="J23" s="18"/>
      <c r="K23" s="18"/>
      <c r="L23" s="15"/>
    </row>
    <row r="24" spans="1:12">
      <c r="A24" s="28" t="s">
        <v>127</v>
      </c>
      <c r="B24" s="27">
        <f>1250+200</f>
        <v>1450</v>
      </c>
      <c r="C24" s="11">
        <v>1</v>
      </c>
      <c r="D24" s="18">
        <v>0</v>
      </c>
      <c r="E24" s="11">
        <v>-2</v>
      </c>
      <c r="F24" s="11">
        <v>6</v>
      </c>
      <c r="G24" s="11">
        <v>35</v>
      </c>
      <c r="H24" s="29">
        <f>B24/40000*'Goods values'!$B$3*(1+D24+$L$2+MAX(($K$2+E24)*0.16,0))</f>
        <v>0.2349</v>
      </c>
      <c r="I24" s="30">
        <f>H24*'Goods values'!$C$3*3*MAX($M$2-(C24*0.075),0)*$N$2+H24</f>
        <v>0.72325709999999988</v>
      </c>
      <c r="J24" s="18"/>
      <c r="K24" s="18"/>
      <c r="L24" s="15"/>
    </row>
    <row r="25" spans="1:12">
      <c r="A25" s="28" t="s">
        <v>128</v>
      </c>
      <c r="B25" s="27">
        <v>1250</v>
      </c>
      <c r="C25" s="11">
        <v>1</v>
      </c>
      <c r="D25" s="18">
        <v>0</v>
      </c>
      <c r="E25" s="11">
        <v>-2</v>
      </c>
      <c r="F25" s="11">
        <v>6</v>
      </c>
      <c r="G25" s="11">
        <v>35</v>
      </c>
      <c r="H25" s="29">
        <f>B25/40000*'Goods values'!$B$3*(1+D25+$L$2+MAX(($K$2+E25)*0.16,0))</f>
        <v>0.20250000000000001</v>
      </c>
      <c r="I25" s="30">
        <f>H25*'Goods values'!$C$3*3*MAX($M$2-(C25*0.075),0)*$N$2+H25</f>
        <v>0.62349750000000004</v>
      </c>
      <c r="J25" s="18"/>
      <c r="K25" s="18"/>
      <c r="L25" s="15"/>
    </row>
    <row r="26" spans="1:12">
      <c r="A26" s="28" t="s">
        <v>129</v>
      </c>
      <c r="B26" s="27">
        <v>555</v>
      </c>
      <c r="C26" s="11">
        <v>1</v>
      </c>
      <c r="D26" s="18">
        <v>0.25</v>
      </c>
      <c r="E26" s="11">
        <v>0</v>
      </c>
      <c r="F26" s="11">
        <v>6</v>
      </c>
      <c r="G26" s="11">
        <v>15</v>
      </c>
      <c r="H26" s="29">
        <f>B26/40000*'Goods values'!$B$3*(1+D26+$L$2+MAX(($K$2+E26)*0.16,0))</f>
        <v>0.11363625000000001</v>
      </c>
      <c r="I26" s="30">
        <f>H26*'Goods values'!$C$3*3*MAX($M$2-(C26*0.075),0)*$N$2+H26</f>
        <v>0.34988601375000006</v>
      </c>
      <c r="J26" s="18"/>
      <c r="K26" s="18"/>
      <c r="L26" s="15"/>
    </row>
    <row r="27" spans="1:12">
      <c r="A27" s="28" t="s">
        <v>130</v>
      </c>
      <c r="B27" s="27">
        <v>35</v>
      </c>
      <c r="C27" s="11">
        <v>1</v>
      </c>
      <c r="D27" s="18">
        <v>0</v>
      </c>
      <c r="E27" s="11">
        <v>-2</v>
      </c>
      <c r="F27" s="11">
        <v>6</v>
      </c>
      <c r="G27" s="11">
        <v>10</v>
      </c>
      <c r="H27" s="29">
        <f>B27/40000*'Goods values'!$B$3*(1+D27+$L$2+MAX(($K$2+E27)*0.16,0))</f>
        <v>5.6700000000000006E-3</v>
      </c>
      <c r="I27" s="30">
        <f>H27*'Goods values'!$C$3*3*MAX($M$2-(C27*0.075),0)*$N$2+H27</f>
        <v>1.745793E-2</v>
      </c>
      <c r="J27" s="18"/>
      <c r="K27" s="18"/>
      <c r="L27" s="15"/>
    </row>
    <row r="29" spans="1:12">
      <c r="A29" s="31" t="s">
        <v>131</v>
      </c>
      <c r="B29" s="27">
        <f>632620+146420</f>
        <v>779040</v>
      </c>
      <c r="C29" s="11">
        <v>1</v>
      </c>
      <c r="D29" s="18">
        <v>0</v>
      </c>
      <c r="E29" s="11">
        <v>-3</v>
      </c>
      <c r="F29" s="11">
        <v>3</v>
      </c>
      <c r="H29" s="29">
        <f>B29/40000*'Goods values'!$B$3*(1+D29+MAX(($K$2+E29)*0.16,0))</f>
        <v>58.427999999999997</v>
      </c>
      <c r="I29" s="30">
        <f>H29*'Goods values'!$C$24*MAX($M$2-(C29*0.075),0)*$N$2</f>
        <v>3.3742169999999998</v>
      </c>
    </row>
    <row r="30" spans="1:12">
      <c r="A30" s="31" t="s">
        <v>132</v>
      </c>
      <c r="B30" s="27">
        <v>48171</v>
      </c>
      <c r="C30" s="11">
        <v>1</v>
      </c>
      <c r="D30" s="18">
        <v>0</v>
      </c>
      <c r="E30" s="11">
        <v>0</v>
      </c>
      <c r="F30" s="11">
        <v>6</v>
      </c>
      <c r="H30" s="29">
        <f>B30/40000*'Goods values'!$B$3*(1+D30+MAX(($K$2+E30)*0.16,0))</f>
        <v>5.3469809999999995</v>
      </c>
      <c r="I30" s="30">
        <f>H30*'Goods values'!$C$24*MAX($M$2-(C30*0.075),0)*$N$2</f>
        <v>0.30878815274999993</v>
      </c>
    </row>
    <row r="31" spans="1:12">
      <c r="A31" s="31" t="s">
        <v>133</v>
      </c>
      <c r="B31" s="27">
        <v>42720</v>
      </c>
      <c r="C31" s="11">
        <v>1</v>
      </c>
      <c r="D31" s="18">
        <v>0</v>
      </c>
      <c r="E31" s="11">
        <v>-2</v>
      </c>
      <c r="F31" s="11">
        <v>6</v>
      </c>
      <c r="H31" s="29">
        <f>B31/40000*'Goods values'!$B$3*(1+D31+MAX(($K$2+E31)*0.16,0))</f>
        <v>3.7166399999999999</v>
      </c>
      <c r="I31" s="30">
        <f>H31*'Goods values'!$C$24*MAX($M$2-(C31*0.075),0)*$N$2</f>
        <v>0.21463596000000001</v>
      </c>
    </row>
    <row r="32" spans="1:12">
      <c r="A32" s="31" t="s">
        <v>134</v>
      </c>
      <c r="B32" s="27">
        <v>21165</v>
      </c>
      <c r="C32" s="11">
        <v>1</v>
      </c>
      <c r="D32" s="18">
        <v>0</v>
      </c>
      <c r="E32" s="11">
        <v>-2</v>
      </c>
      <c r="F32" s="11">
        <v>3</v>
      </c>
      <c r="H32" s="29">
        <f>B32/40000*'Goods values'!$B$3*(1+D32+MAX(($K$2+E32)*0.16,0))</f>
        <v>1.8413549999999996</v>
      </c>
      <c r="I32" s="30">
        <f>H32*'Goods values'!$C$24*MAX($M$2-(C32*0.075),0)*$N$2</f>
        <v>0.10633825124999997</v>
      </c>
    </row>
    <row r="33" spans="1:9">
      <c r="A33" s="31" t="s">
        <v>135</v>
      </c>
      <c r="B33" s="27">
        <v>20505</v>
      </c>
      <c r="C33" s="11">
        <v>1</v>
      </c>
      <c r="D33" s="18">
        <v>0</v>
      </c>
      <c r="E33" s="11">
        <v>-2</v>
      </c>
      <c r="F33" s="11">
        <v>3</v>
      </c>
      <c r="H33" s="29">
        <f>B33/40000*'Goods values'!$B$3*(1+D33+MAX(($K$2+E33)*0.16,0))</f>
        <v>1.783935</v>
      </c>
      <c r="I33" s="30">
        <f>H33*'Goods values'!$C$24*MAX($M$2-(C33*0.075),0)*$N$2</f>
        <v>0.10302224625</v>
      </c>
    </row>
    <row r="34" spans="1:9">
      <c r="A34" s="31" t="s">
        <v>136</v>
      </c>
      <c r="B34" s="27">
        <f>243850+397100+16000+41000</f>
        <v>697950</v>
      </c>
      <c r="C34" s="11">
        <v>5</v>
      </c>
      <c r="D34" s="18">
        <v>0.01</v>
      </c>
      <c r="E34" s="11">
        <f>-11/5</f>
        <v>-2.2000000000000002</v>
      </c>
      <c r="F34" s="11">
        <v>6</v>
      </c>
      <c r="H34" s="29">
        <f>B34/40000*'Goods values'!$B$3*(1+D34+MAX(($K$2+E34)*0.16,0))</f>
        <v>59.570032499999989</v>
      </c>
      <c r="I34" s="30">
        <f>H34*'Goods values'!$C$24*MAX($M$2-(C34*0.075),0)*$N$2</f>
        <v>0</v>
      </c>
    </row>
  </sheetData>
  <autoFilter ref="A1:H27" xr:uid="{00000000-0009-0000-0000-000004000000}"/>
  <dataValidations count="1">
    <dataValidation type="list" operator="equal" allowBlank="1" showErrorMessage="1" sqref="K2" xr:uid="{00000000-0002-0000-0400-000000000000}">
      <formula1>"0,1,2,3,4,5,6"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9"/>
  <sheetViews>
    <sheetView zoomScale="120" zoomScaleNormal="120" workbookViewId="0">
      <selection activeCell="A2" sqref="A2"/>
    </sheetView>
  </sheetViews>
  <sheetFormatPr defaultColWidth="13.42578125" defaultRowHeight="15"/>
  <cols>
    <col min="1" max="1" width="17.7109375" style="7" customWidth="1"/>
    <col min="2" max="2" width="7.85546875" style="7" customWidth="1"/>
    <col min="3" max="3" width="6.85546875" style="7" customWidth="1"/>
    <col min="4" max="4" width="14.5703125" style="7" customWidth="1"/>
    <col min="5" max="5" width="13.42578125" style="7"/>
    <col min="6" max="6" width="7" style="11" customWidth="1"/>
    <col min="7" max="7" width="7.85546875" style="32" customWidth="1"/>
    <col min="8" max="8" width="13.42578125" style="33"/>
    <col min="9" max="9" width="12.42578125" style="33" customWidth="1"/>
    <col min="10" max="10" width="12.140625" style="33" customWidth="1"/>
    <col min="11" max="11" width="15.85546875" style="33" customWidth="1"/>
    <col min="12" max="12" width="10.28515625" style="34" customWidth="1"/>
    <col min="13" max="13" width="14.28515625" style="33" customWidth="1"/>
    <col min="14" max="14" width="13.42578125" style="7"/>
    <col min="15" max="15" width="17.140625" style="11" customWidth="1"/>
    <col min="16" max="16" width="13.5703125" style="27" customWidth="1"/>
    <col min="17" max="17" width="15.42578125" style="11" customWidth="1"/>
    <col min="18" max="18" width="9.140625" style="11" customWidth="1"/>
    <col min="19" max="19" width="15.42578125" style="11" customWidth="1"/>
    <col min="20" max="20" width="17.7109375" style="35" customWidth="1"/>
    <col min="21" max="16384" width="13.42578125" style="7"/>
  </cols>
  <sheetData>
    <row r="1" spans="1:20">
      <c r="A1" s="36" t="s">
        <v>137</v>
      </c>
      <c r="B1" s="36" t="s">
        <v>138</v>
      </c>
      <c r="C1" s="36" t="s">
        <v>139</v>
      </c>
      <c r="D1" s="36" t="s">
        <v>140</v>
      </c>
      <c r="F1" s="11" t="s">
        <v>0</v>
      </c>
      <c r="G1" s="11" t="s">
        <v>141</v>
      </c>
      <c r="H1" s="11" t="s">
        <v>142</v>
      </c>
      <c r="I1" s="11" t="s">
        <v>143</v>
      </c>
      <c r="J1" s="11" t="s">
        <v>144</v>
      </c>
      <c r="K1" s="11" t="s">
        <v>145</v>
      </c>
      <c r="L1" s="8" t="s">
        <v>146</v>
      </c>
      <c r="M1" s="11" t="s">
        <v>147</v>
      </c>
      <c r="O1" s="7"/>
      <c r="P1" s="7"/>
      <c r="Q1" s="7"/>
      <c r="R1" s="7"/>
      <c r="S1" s="7"/>
      <c r="T1" s="7"/>
    </row>
    <row r="2" spans="1:20">
      <c r="A2" s="36" t="s">
        <v>148</v>
      </c>
      <c r="B2" s="37">
        <v>3</v>
      </c>
      <c r="C2" s="7">
        <v>20</v>
      </c>
      <c r="D2" s="7">
        <f t="shared" ref="D2:D9" si="0">B2*C2*3</f>
        <v>180</v>
      </c>
      <c r="F2" s="11" t="s">
        <v>149</v>
      </c>
      <c r="G2" s="32">
        <f t="shared" ref="G2:G11" si="1">$D$3*(1+I2+J2+(L2*0.16)+$M$2)*(1+K2)</f>
        <v>162</v>
      </c>
      <c r="I2" s="33">
        <v>0</v>
      </c>
      <c r="J2" s="33">
        <v>0</v>
      </c>
      <c r="K2" s="33">
        <v>0</v>
      </c>
      <c r="L2" s="34">
        <v>0</v>
      </c>
      <c r="M2" s="8">
        <v>0</v>
      </c>
      <c r="O2" s="7"/>
      <c r="P2" s="7"/>
      <c r="Q2" s="7"/>
      <c r="R2" s="7"/>
      <c r="S2" s="7"/>
      <c r="T2" s="7"/>
    </row>
    <row r="3" spans="1:20">
      <c r="A3" s="36" t="s">
        <v>150</v>
      </c>
      <c r="B3" s="37">
        <v>3</v>
      </c>
      <c r="C3" s="7">
        <v>18</v>
      </c>
      <c r="D3" s="7">
        <f t="shared" si="0"/>
        <v>162</v>
      </c>
      <c r="F3" s="11" t="s">
        <v>151</v>
      </c>
      <c r="G3" s="32">
        <f t="shared" si="1"/>
        <v>309.41999999999996</v>
      </c>
      <c r="I3" s="33">
        <v>0.65</v>
      </c>
      <c r="J3" s="33">
        <v>0.1</v>
      </c>
      <c r="K3" s="33">
        <v>0</v>
      </c>
      <c r="L3" s="34">
        <v>1</v>
      </c>
      <c r="O3" s="7"/>
      <c r="P3" s="7"/>
      <c r="Q3" s="7"/>
      <c r="R3" s="7"/>
      <c r="S3" s="7"/>
      <c r="T3" s="7"/>
    </row>
    <row r="4" spans="1:20">
      <c r="A4" s="36" t="s">
        <v>152</v>
      </c>
      <c r="B4" s="37">
        <v>3</v>
      </c>
      <c r="C4" s="7">
        <v>18</v>
      </c>
      <c r="D4" s="7">
        <f t="shared" si="0"/>
        <v>162</v>
      </c>
      <c r="F4" s="11">
        <v>1830</v>
      </c>
      <c r="G4" s="32">
        <f t="shared" si="1"/>
        <v>447.11999999999995</v>
      </c>
      <c r="I4" s="33">
        <v>1.05</v>
      </c>
      <c r="J4" s="33">
        <v>0.55000000000000004</v>
      </c>
      <c r="K4" s="33">
        <v>0</v>
      </c>
      <c r="L4" s="34">
        <v>1</v>
      </c>
      <c r="O4" s="7"/>
      <c r="P4" s="7"/>
      <c r="Q4" s="7"/>
      <c r="R4" s="7"/>
      <c r="S4" s="7"/>
      <c r="T4" s="7"/>
    </row>
    <row r="5" spans="1:20">
      <c r="A5" s="36" t="s">
        <v>153</v>
      </c>
      <c r="B5" s="37">
        <v>3</v>
      </c>
      <c r="C5" s="7">
        <v>18</v>
      </c>
      <c r="D5" s="7">
        <f t="shared" si="0"/>
        <v>162</v>
      </c>
      <c r="F5" s="11">
        <v>1840</v>
      </c>
      <c r="G5" s="32">
        <f t="shared" si="1"/>
        <v>473.03999999999991</v>
      </c>
      <c r="I5" s="33">
        <v>1.05</v>
      </c>
      <c r="J5" s="33">
        <v>0.55000000000000004</v>
      </c>
      <c r="K5" s="33">
        <v>0</v>
      </c>
      <c r="L5" s="34">
        <v>2</v>
      </c>
      <c r="O5" s="7"/>
      <c r="P5" s="7"/>
      <c r="Q5" s="7"/>
      <c r="R5" s="7"/>
      <c r="S5" s="7"/>
      <c r="T5" s="7"/>
    </row>
    <row r="6" spans="1:20">
      <c r="A6" s="36" t="s">
        <v>154</v>
      </c>
      <c r="B6" s="37">
        <v>3</v>
      </c>
      <c r="C6" s="7">
        <v>18</v>
      </c>
      <c r="D6" s="7">
        <f t="shared" si="0"/>
        <v>162</v>
      </c>
      <c r="F6" s="11">
        <v>1850</v>
      </c>
      <c r="G6" s="32">
        <f t="shared" si="1"/>
        <v>563.76</v>
      </c>
      <c r="I6" s="33">
        <v>1.2</v>
      </c>
      <c r="J6" s="33">
        <v>0.8</v>
      </c>
      <c r="K6" s="33">
        <v>0</v>
      </c>
      <c r="L6" s="34">
        <v>3</v>
      </c>
      <c r="O6" s="7"/>
      <c r="P6" s="7"/>
      <c r="Q6" s="7"/>
      <c r="R6" s="7"/>
      <c r="S6" s="7"/>
      <c r="T6" s="7"/>
    </row>
    <row r="7" spans="1:20">
      <c r="A7" s="36" t="s">
        <v>155</v>
      </c>
      <c r="B7" s="37">
        <v>2.25</v>
      </c>
      <c r="C7" s="7">
        <v>20</v>
      </c>
      <c r="D7" s="7">
        <f t="shared" si="0"/>
        <v>135</v>
      </c>
      <c r="F7" s="11">
        <v>1870</v>
      </c>
      <c r="G7" s="32">
        <f t="shared" si="1"/>
        <v>654.48</v>
      </c>
      <c r="I7" s="33">
        <v>1.2</v>
      </c>
      <c r="J7" s="33">
        <v>1.2</v>
      </c>
      <c r="K7" s="33">
        <v>0</v>
      </c>
      <c r="L7" s="34">
        <v>4</v>
      </c>
      <c r="O7" s="7"/>
      <c r="P7" s="7"/>
      <c r="Q7" s="7"/>
      <c r="R7" s="7"/>
      <c r="S7" s="7"/>
      <c r="T7" s="7"/>
    </row>
    <row r="8" spans="1:20">
      <c r="A8" s="36" t="s">
        <v>156</v>
      </c>
      <c r="B8" s="37">
        <v>3</v>
      </c>
      <c r="C8" s="7">
        <v>13</v>
      </c>
      <c r="D8" s="7">
        <f t="shared" si="0"/>
        <v>117</v>
      </c>
      <c r="F8" s="11">
        <v>1880</v>
      </c>
      <c r="G8" s="32">
        <f t="shared" si="1"/>
        <v>678.78</v>
      </c>
      <c r="I8" s="33">
        <v>1.35</v>
      </c>
      <c r="J8" s="33">
        <v>1.2</v>
      </c>
      <c r="K8" s="33">
        <v>0</v>
      </c>
      <c r="L8" s="34">
        <v>4</v>
      </c>
      <c r="O8" s="7"/>
      <c r="P8" s="7"/>
      <c r="Q8" s="7"/>
      <c r="R8" s="7"/>
      <c r="S8" s="7"/>
      <c r="T8" s="7"/>
    </row>
    <row r="9" spans="1:20">
      <c r="A9" s="36" t="s">
        <v>157</v>
      </c>
      <c r="B9" s="37">
        <v>3</v>
      </c>
      <c r="C9" s="7">
        <v>10</v>
      </c>
      <c r="D9" s="7">
        <f t="shared" si="0"/>
        <v>90</v>
      </c>
      <c r="F9" s="11">
        <v>1898</v>
      </c>
      <c r="G9" s="32">
        <f t="shared" si="1"/>
        <v>704.69999999999993</v>
      </c>
      <c r="I9" s="33">
        <v>1.35</v>
      </c>
      <c r="J9" s="33">
        <v>1.2</v>
      </c>
      <c r="K9" s="33">
        <v>0</v>
      </c>
      <c r="L9" s="34">
        <v>5</v>
      </c>
      <c r="O9" s="7"/>
      <c r="P9" s="7"/>
      <c r="Q9" s="7"/>
      <c r="R9" s="7"/>
      <c r="S9" s="7"/>
      <c r="T9" s="7"/>
    </row>
    <row r="10" spans="1:20">
      <c r="A10" s="36" t="s">
        <v>158</v>
      </c>
      <c r="B10" s="37">
        <v>4</v>
      </c>
      <c r="C10" s="7">
        <v>5.4</v>
      </c>
      <c r="D10" s="7">
        <f t="shared" ref="D10:D29" si="2">B10*C10</f>
        <v>21.6</v>
      </c>
      <c r="F10" s="11">
        <v>1900</v>
      </c>
      <c r="G10" s="32">
        <f t="shared" si="1"/>
        <v>907.2</v>
      </c>
      <c r="I10" s="33">
        <v>2.2000000000000002</v>
      </c>
      <c r="J10" s="33">
        <v>1.6</v>
      </c>
      <c r="K10" s="33">
        <v>0</v>
      </c>
      <c r="L10" s="34">
        <v>5</v>
      </c>
      <c r="O10" s="7"/>
      <c r="P10" s="7"/>
      <c r="Q10" s="7"/>
      <c r="R10" s="7"/>
      <c r="S10" s="7"/>
      <c r="T10" s="7"/>
    </row>
    <row r="11" spans="1:20">
      <c r="A11" s="36" t="s">
        <v>159</v>
      </c>
      <c r="B11" s="37">
        <v>3</v>
      </c>
      <c r="C11" s="7">
        <v>6</v>
      </c>
      <c r="D11" s="7">
        <f t="shared" si="2"/>
        <v>18</v>
      </c>
      <c r="F11" s="11">
        <v>1915</v>
      </c>
      <c r="G11" s="32">
        <f t="shared" si="1"/>
        <v>933.12000000000012</v>
      </c>
      <c r="I11" s="33">
        <v>2.2000000000000002</v>
      </c>
      <c r="J11" s="33">
        <v>1.6</v>
      </c>
      <c r="K11" s="33">
        <v>0</v>
      </c>
      <c r="L11" s="34">
        <v>6</v>
      </c>
      <c r="O11" s="7"/>
      <c r="P11" s="7"/>
      <c r="Q11" s="7"/>
      <c r="R11" s="7"/>
      <c r="S11" s="7"/>
      <c r="T11" s="7"/>
    </row>
    <row r="12" spans="1:20">
      <c r="A12" s="36" t="s">
        <v>160</v>
      </c>
      <c r="B12" s="37">
        <v>1</v>
      </c>
      <c r="C12" s="7">
        <v>12</v>
      </c>
      <c r="D12" s="7">
        <f t="shared" si="2"/>
        <v>12</v>
      </c>
      <c r="O12" s="7"/>
      <c r="P12" s="7"/>
      <c r="Q12" s="7"/>
      <c r="R12" s="7"/>
      <c r="S12" s="7"/>
      <c r="T12" s="7"/>
    </row>
    <row r="13" spans="1:20">
      <c r="A13" s="36" t="s">
        <v>161</v>
      </c>
      <c r="B13" s="37">
        <v>8</v>
      </c>
      <c r="C13" s="7">
        <v>0.9</v>
      </c>
      <c r="D13" s="7">
        <f t="shared" si="2"/>
        <v>7.2</v>
      </c>
      <c r="O13" s="7"/>
      <c r="P13" s="7"/>
      <c r="Q13" s="7"/>
      <c r="R13" s="7"/>
      <c r="S13" s="7"/>
      <c r="T13" s="7"/>
    </row>
    <row r="14" spans="1:20">
      <c r="A14" s="36" t="s">
        <v>162</v>
      </c>
      <c r="B14" s="37">
        <v>2</v>
      </c>
      <c r="C14" s="7">
        <v>3.5</v>
      </c>
      <c r="D14" s="7">
        <f t="shared" si="2"/>
        <v>7</v>
      </c>
      <c r="O14" s="7"/>
      <c r="P14" s="7"/>
      <c r="Q14" s="7"/>
      <c r="R14" s="7"/>
      <c r="S14" s="7"/>
      <c r="T14" s="7"/>
    </row>
    <row r="15" spans="1:20">
      <c r="A15" s="36" t="s">
        <v>163</v>
      </c>
      <c r="B15" s="37">
        <v>2.4</v>
      </c>
      <c r="C15" s="7">
        <v>2.2999999999999998</v>
      </c>
      <c r="D15" s="7">
        <f t="shared" si="2"/>
        <v>5.52</v>
      </c>
      <c r="O15" s="7"/>
      <c r="P15" s="7"/>
      <c r="Q15" s="7"/>
      <c r="R15" s="7"/>
      <c r="S15" s="7"/>
      <c r="T15" s="7"/>
    </row>
    <row r="16" spans="1:20">
      <c r="A16" s="36" t="s">
        <v>164</v>
      </c>
      <c r="B16" s="37">
        <v>0.75</v>
      </c>
      <c r="C16" s="7">
        <v>7</v>
      </c>
      <c r="D16" s="7">
        <f t="shared" si="2"/>
        <v>5.25</v>
      </c>
      <c r="O16" s="7"/>
      <c r="P16" s="7"/>
      <c r="Q16" s="7"/>
      <c r="R16" s="7"/>
      <c r="S16" s="7"/>
      <c r="T16" s="7"/>
    </row>
    <row r="17" spans="1:20">
      <c r="A17" s="36" t="s">
        <v>165</v>
      </c>
      <c r="B17" s="37">
        <v>2.7</v>
      </c>
      <c r="C17" s="7">
        <v>1.8</v>
      </c>
      <c r="D17" s="7">
        <f t="shared" si="2"/>
        <v>4.8600000000000003</v>
      </c>
      <c r="O17" s="7"/>
      <c r="P17" s="7"/>
      <c r="Q17" s="7"/>
      <c r="R17" s="7"/>
      <c r="S17" s="7"/>
      <c r="T17" s="7"/>
    </row>
    <row r="18" spans="1:20">
      <c r="A18" s="36" t="s">
        <v>166</v>
      </c>
      <c r="B18" s="37">
        <v>1.75</v>
      </c>
      <c r="C18" s="7">
        <v>2.6</v>
      </c>
      <c r="D18" s="7">
        <f t="shared" si="2"/>
        <v>4.55</v>
      </c>
      <c r="O18" s="7"/>
      <c r="P18" s="7"/>
      <c r="Q18" s="7"/>
      <c r="R18" s="7"/>
      <c r="S18" s="7"/>
      <c r="T18" s="7"/>
    </row>
    <row r="19" spans="1:20">
      <c r="A19" s="36" t="s">
        <v>167</v>
      </c>
      <c r="B19" s="37">
        <v>1.7</v>
      </c>
      <c r="C19" s="7">
        <v>2.2000000000000002</v>
      </c>
      <c r="D19" s="7">
        <f t="shared" si="2"/>
        <v>3.74</v>
      </c>
      <c r="O19" s="7"/>
      <c r="P19" s="7"/>
      <c r="Q19" s="7"/>
      <c r="R19" s="7"/>
      <c r="S19" s="7"/>
      <c r="T19" s="7"/>
    </row>
    <row r="20" spans="1:20">
      <c r="A20" s="36" t="s">
        <v>168</v>
      </c>
      <c r="B20" s="37">
        <v>1.8</v>
      </c>
      <c r="C20" s="7">
        <v>2</v>
      </c>
      <c r="D20" s="7">
        <f t="shared" si="2"/>
        <v>3.6</v>
      </c>
      <c r="O20" s="7"/>
      <c r="P20" s="7"/>
      <c r="Q20" s="7"/>
      <c r="R20" s="7"/>
      <c r="S20" s="7"/>
      <c r="T20" s="7"/>
    </row>
    <row r="21" spans="1:20">
      <c r="A21" s="36" t="s">
        <v>169</v>
      </c>
      <c r="B21" s="37">
        <v>1.7</v>
      </c>
      <c r="C21" s="7">
        <v>2</v>
      </c>
      <c r="D21" s="7">
        <f t="shared" si="2"/>
        <v>3.4</v>
      </c>
      <c r="O21" s="7"/>
      <c r="P21" s="7"/>
      <c r="Q21" s="7"/>
      <c r="R21" s="7"/>
      <c r="S21" s="7"/>
      <c r="T21" s="7"/>
    </row>
    <row r="22" spans="1:20">
      <c r="A22" s="36" t="s">
        <v>170</v>
      </c>
      <c r="B22" s="37">
        <v>4.8</v>
      </c>
      <c r="C22" s="7">
        <v>0.7</v>
      </c>
      <c r="D22" s="7">
        <f t="shared" si="2"/>
        <v>3.36</v>
      </c>
    </row>
    <row r="23" spans="1:20">
      <c r="A23" s="36" t="s">
        <v>171</v>
      </c>
      <c r="B23" s="37">
        <v>1</v>
      </c>
      <c r="C23" s="7">
        <v>3.2</v>
      </c>
      <c r="D23" s="7">
        <f t="shared" si="2"/>
        <v>3.2</v>
      </c>
    </row>
    <row r="24" spans="1:20">
      <c r="A24" s="36" t="s">
        <v>172</v>
      </c>
      <c r="B24" s="37">
        <v>2.1</v>
      </c>
      <c r="C24" s="7">
        <v>1.5</v>
      </c>
      <c r="D24" s="7">
        <f t="shared" si="2"/>
        <v>3.1500000000000004</v>
      </c>
    </row>
    <row r="25" spans="1:20">
      <c r="A25" s="36" t="s">
        <v>173</v>
      </c>
      <c r="B25" s="37">
        <v>1.5</v>
      </c>
      <c r="C25" s="7">
        <v>2.1</v>
      </c>
      <c r="D25" s="7">
        <f t="shared" si="2"/>
        <v>3.1500000000000004</v>
      </c>
    </row>
    <row r="26" spans="1:20">
      <c r="A26" s="36" t="s">
        <v>174</v>
      </c>
      <c r="B26" s="37">
        <v>2.5</v>
      </c>
      <c r="C26" s="7">
        <v>1.1000000000000001</v>
      </c>
      <c r="D26" s="7">
        <f t="shared" si="2"/>
        <v>2.75</v>
      </c>
    </row>
    <row r="27" spans="1:20">
      <c r="A27" s="36" t="s">
        <v>175</v>
      </c>
      <c r="B27" s="37">
        <v>0.22</v>
      </c>
      <c r="C27" s="7">
        <v>12</v>
      </c>
      <c r="D27" s="7">
        <f t="shared" si="2"/>
        <v>2.64</v>
      </c>
    </row>
    <row r="28" spans="1:20">
      <c r="A28" s="36" t="s">
        <v>176</v>
      </c>
      <c r="B28" s="37">
        <v>0.25</v>
      </c>
      <c r="C28" s="7">
        <v>10</v>
      </c>
      <c r="D28" s="7">
        <f t="shared" si="2"/>
        <v>2.5</v>
      </c>
    </row>
    <row r="29" spans="1:20">
      <c r="A29" s="36" t="s">
        <v>177</v>
      </c>
      <c r="B29" s="37">
        <v>0.7</v>
      </c>
      <c r="C29" s="7">
        <v>3.2</v>
      </c>
      <c r="D29" s="7">
        <f t="shared" si="2"/>
        <v>2.2399999999999998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8"/>
  <sheetViews>
    <sheetView zoomScale="120" zoomScaleNormal="120" workbookViewId="0">
      <selection activeCell="E3" sqref="E3"/>
    </sheetView>
  </sheetViews>
  <sheetFormatPr defaultColWidth="13.42578125" defaultRowHeight="15"/>
  <cols>
    <col min="1" max="1" width="6.5703125" style="11" customWidth="1"/>
    <col min="2" max="2" width="9.7109375" style="38" customWidth="1"/>
    <col min="3" max="3" width="14.28515625" style="11" customWidth="1"/>
    <col min="4" max="4" width="13.42578125" style="7"/>
    <col min="5" max="5" width="13" style="7" customWidth="1"/>
    <col min="6" max="6" width="14.5703125" style="27" customWidth="1"/>
    <col min="7" max="16384" width="13.42578125" style="7"/>
  </cols>
  <sheetData>
    <row r="1" spans="1:7">
      <c r="A1" s="11" t="s">
        <v>0</v>
      </c>
      <c r="B1" s="39" t="s">
        <v>178</v>
      </c>
      <c r="C1" s="11" t="s">
        <v>85</v>
      </c>
      <c r="E1" s="11" t="s">
        <v>84</v>
      </c>
      <c r="F1" s="11" t="s">
        <v>179</v>
      </c>
    </row>
    <row r="2" spans="1:7">
      <c r="A2" s="11">
        <v>1830</v>
      </c>
      <c r="B2" s="27">
        <f>F2</f>
        <v>452530</v>
      </c>
      <c r="C2" s="19">
        <v>0</v>
      </c>
      <c r="E2" s="11">
        <v>30</v>
      </c>
      <c r="F2" s="27">
        <v>452530</v>
      </c>
    </row>
    <row r="3" spans="1:7">
      <c r="A3" s="11">
        <v>1831</v>
      </c>
      <c r="B3" s="27">
        <f t="shared" ref="B3:B34" si="0">B2*(1+0.0001+MAX(($E$2-36),0)*0.0001+C2)</f>
        <v>452575.25299999997</v>
      </c>
      <c r="C3" s="19">
        <v>0</v>
      </c>
      <c r="G3" s="16"/>
    </row>
    <row r="4" spans="1:7">
      <c r="A4" s="11">
        <v>1832</v>
      </c>
      <c r="B4" s="27">
        <f t="shared" si="0"/>
        <v>452620.51052529993</v>
      </c>
      <c r="C4" s="19">
        <v>0</v>
      </c>
    </row>
    <row r="5" spans="1:7">
      <c r="A5" s="11">
        <v>1833</v>
      </c>
      <c r="B5" s="27">
        <f t="shared" si="0"/>
        <v>452665.77257635246</v>
      </c>
      <c r="C5" s="19">
        <v>0</v>
      </c>
    </row>
    <row r="6" spans="1:7">
      <c r="A6" s="11">
        <v>1834</v>
      </c>
      <c r="B6" s="27">
        <f t="shared" si="0"/>
        <v>452711.03915361012</v>
      </c>
      <c r="C6" s="40">
        <v>1E-4</v>
      </c>
    </row>
    <row r="7" spans="1:7">
      <c r="A7" s="11">
        <v>1835</v>
      </c>
      <c r="B7" s="27">
        <f t="shared" si="0"/>
        <v>452801.58136144083</v>
      </c>
      <c r="C7" s="40">
        <v>1E-4</v>
      </c>
    </row>
    <row r="8" spans="1:7">
      <c r="A8" s="11">
        <v>1836</v>
      </c>
      <c r="B8" s="27">
        <f t="shared" si="0"/>
        <v>452892.14167771308</v>
      </c>
      <c r="C8" s="40">
        <v>2.0000000000000001E-4</v>
      </c>
    </row>
    <row r="9" spans="1:7">
      <c r="A9" s="11">
        <v>1837</v>
      </c>
      <c r="B9" s="27">
        <f t="shared" si="0"/>
        <v>453028.00932021637</v>
      </c>
      <c r="C9" s="40">
        <v>2.9999999999999997E-4</v>
      </c>
    </row>
    <row r="10" spans="1:7">
      <c r="A10" s="11">
        <v>1838</v>
      </c>
      <c r="B10" s="27">
        <f t="shared" si="0"/>
        <v>453209.22052394442</v>
      </c>
      <c r="C10" s="40">
        <v>4.0000000000000002E-4</v>
      </c>
    </row>
    <row r="11" spans="1:7">
      <c r="A11" s="11">
        <v>1839</v>
      </c>
      <c r="B11" s="27">
        <f t="shared" si="0"/>
        <v>453435.82513420639</v>
      </c>
      <c r="C11" s="40">
        <v>4.0000000000000002E-4</v>
      </c>
    </row>
    <row r="12" spans="1:7">
      <c r="A12" s="11">
        <v>1840</v>
      </c>
      <c r="B12" s="27">
        <f t="shared" si="0"/>
        <v>453662.54304677347</v>
      </c>
      <c r="C12" s="40">
        <v>5.0000000000000001E-4</v>
      </c>
    </row>
    <row r="13" spans="1:7">
      <c r="A13" s="11">
        <v>1841</v>
      </c>
      <c r="B13" s="27">
        <f t="shared" si="0"/>
        <v>453934.7405726015</v>
      </c>
      <c r="C13" s="40">
        <v>5.0000000000000001E-4</v>
      </c>
    </row>
    <row r="14" spans="1:7">
      <c r="A14" s="11">
        <v>1842</v>
      </c>
      <c r="B14" s="27">
        <f t="shared" si="0"/>
        <v>454207.10141694505</v>
      </c>
      <c r="C14" s="40">
        <v>5.0000000000000001E-4</v>
      </c>
    </row>
    <row r="15" spans="1:7">
      <c r="A15" s="11">
        <v>1843</v>
      </c>
      <c r="B15" s="27">
        <f t="shared" si="0"/>
        <v>454479.62567779521</v>
      </c>
      <c r="C15" s="40">
        <v>5.0000000000000001E-4</v>
      </c>
    </row>
    <row r="16" spans="1:7">
      <c r="A16" s="11">
        <v>1844</v>
      </c>
      <c r="B16" s="27">
        <f t="shared" si="0"/>
        <v>454752.31345320184</v>
      </c>
      <c r="C16" s="40">
        <v>5.0000000000000001E-4</v>
      </c>
    </row>
    <row r="17" spans="1:3">
      <c r="A17" s="11">
        <v>1845</v>
      </c>
      <c r="B17" s="27">
        <f t="shared" si="0"/>
        <v>455025.16484127374</v>
      </c>
      <c r="C17" s="40">
        <v>5.0000000000000001E-4</v>
      </c>
    </row>
    <row r="18" spans="1:3">
      <c r="A18" s="11">
        <v>1846</v>
      </c>
      <c r="B18" s="27">
        <f t="shared" si="0"/>
        <v>455298.17994017847</v>
      </c>
      <c r="C18" s="40">
        <v>5.0000000000000001E-4</v>
      </c>
    </row>
    <row r="19" spans="1:3">
      <c r="A19" s="11">
        <v>1847</v>
      </c>
      <c r="B19" s="27">
        <f t="shared" si="0"/>
        <v>455571.35884814255</v>
      </c>
      <c r="C19" s="40">
        <v>5.0000000000000001E-4</v>
      </c>
    </row>
    <row r="20" spans="1:3">
      <c r="A20" s="11">
        <v>1848</v>
      </c>
      <c r="B20" s="27">
        <f t="shared" si="0"/>
        <v>455844.70166345139</v>
      </c>
      <c r="C20" s="40">
        <v>5.0000000000000001E-4</v>
      </c>
    </row>
    <row r="21" spans="1:3">
      <c r="A21" s="11">
        <v>1849</v>
      </c>
      <c r="B21" s="27">
        <f t="shared" si="0"/>
        <v>456118.20848444942</v>
      </c>
      <c r="C21" s="40">
        <v>5.0000000000000001E-4</v>
      </c>
    </row>
    <row r="22" spans="1:3">
      <c r="A22" s="11">
        <v>1850</v>
      </c>
      <c r="B22" s="27">
        <f t="shared" si="0"/>
        <v>456391.87940954004</v>
      </c>
      <c r="C22" s="40">
        <v>5.0000000000000001E-4</v>
      </c>
    </row>
    <row r="23" spans="1:3">
      <c r="A23" s="11">
        <v>1851</v>
      </c>
      <c r="B23" s="27">
        <f t="shared" si="0"/>
        <v>456665.71453718573</v>
      </c>
      <c r="C23" s="40">
        <v>5.0000000000000001E-4</v>
      </c>
    </row>
    <row r="24" spans="1:3">
      <c r="A24" s="11">
        <v>1852</v>
      </c>
      <c r="B24" s="27">
        <f t="shared" si="0"/>
        <v>456939.71396590804</v>
      </c>
      <c r="C24" s="40">
        <v>5.0000000000000001E-4</v>
      </c>
    </row>
    <row r="25" spans="1:3">
      <c r="A25" s="11">
        <v>1853</v>
      </c>
      <c r="B25" s="27">
        <f t="shared" si="0"/>
        <v>457213.87779428757</v>
      </c>
      <c r="C25" s="40">
        <v>5.0000000000000001E-4</v>
      </c>
    </row>
    <row r="26" spans="1:3">
      <c r="A26" s="11">
        <v>1854</v>
      </c>
      <c r="B26" s="27">
        <f t="shared" si="0"/>
        <v>457488.20612096414</v>
      </c>
      <c r="C26" s="40">
        <v>5.0000000000000001E-4</v>
      </c>
    </row>
    <row r="27" spans="1:3">
      <c r="A27" s="11">
        <v>1855</v>
      </c>
      <c r="B27" s="27">
        <f t="shared" si="0"/>
        <v>457762.69904463668</v>
      </c>
      <c r="C27" s="40">
        <v>5.0000000000000001E-4</v>
      </c>
    </row>
    <row r="28" spans="1:3">
      <c r="A28" s="11">
        <v>1856</v>
      </c>
      <c r="B28" s="27">
        <f t="shared" si="0"/>
        <v>458037.35666406341</v>
      </c>
      <c r="C28" s="40">
        <v>5.0000000000000001E-4</v>
      </c>
    </row>
    <row r="29" spans="1:3">
      <c r="A29" s="11">
        <v>1857</v>
      </c>
      <c r="B29" s="27">
        <f t="shared" si="0"/>
        <v>458312.17907806183</v>
      </c>
      <c r="C29" s="40">
        <v>5.0000000000000001E-4</v>
      </c>
    </row>
    <row r="30" spans="1:3">
      <c r="A30" s="11">
        <v>1858</v>
      </c>
      <c r="B30" s="27">
        <f t="shared" si="0"/>
        <v>458587.16638550867</v>
      </c>
      <c r="C30" s="40">
        <v>5.0000000000000001E-4</v>
      </c>
    </row>
    <row r="31" spans="1:3">
      <c r="A31" s="11">
        <v>1859</v>
      </c>
      <c r="B31" s="27">
        <f t="shared" si="0"/>
        <v>458862.31868533994</v>
      </c>
      <c r="C31" s="40">
        <v>5.0000000000000001E-4</v>
      </c>
    </row>
    <row r="32" spans="1:3">
      <c r="A32" s="11">
        <v>1860</v>
      </c>
      <c r="B32" s="27">
        <f t="shared" si="0"/>
        <v>459137.63607655111</v>
      </c>
      <c r="C32" s="40">
        <v>5.0000000000000001E-4</v>
      </c>
    </row>
    <row r="33" spans="1:3">
      <c r="A33" s="11">
        <v>1861</v>
      </c>
      <c r="B33" s="27">
        <f t="shared" si="0"/>
        <v>459413.118658197</v>
      </c>
      <c r="C33" s="40">
        <v>5.0000000000000001E-4</v>
      </c>
    </row>
    <row r="34" spans="1:3">
      <c r="A34" s="11">
        <v>1862</v>
      </c>
      <c r="B34" s="27">
        <f t="shared" si="0"/>
        <v>459688.76652939187</v>
      </c>
      <c r="C34" s="40">
        <v>5.0000000000000001E-4</v>
      </c>
    </row>
    <row r="35" spans="1:3">
      <c r="A35" s="11">
        <v>1863</v>
      </c>
      <c r="B35" s="27">
        <f t="shared" ref="B35:B66" si="1">B34*(1+0.0001+MAX(($E$2-36),0)*0.0001+C34)</f>
        <v>459964.57978930947</v>
      </c>
      <c r="C35" s="40">
        <v>5.0000000000000001E-4</v>
      </c>
    </row>
    <row r="36" spans="1:3">
      <c r="A36" s="11">
        <v>1864</v>
      </c>
      <c r="B36" s="27">
        <f t="shared" si="1"/>
        <v>460240.55853718304</v>
      </c>
      <c r="C36" s="40">
        <v>5.0000000000000001E-4</v>
      </c>
    </row>
    <row r="37" spans="1:3">
      <c r="A37" s="11">
        <v>1865</v>
      </c>
      <c r="B37" s="27">
        <f t="shared" si="1"/>
        <v>460516.70287230529</v>
      </c>
      <c r="C37" s="40">
        <v>5.0000000000000001E-4</v>
      </c>
    </row>
    <row r="38" spans="1:3">
      <c r="A38" s="11">
        <v>1866</v>
      </c>
      <c r="B38" s="27">
        <f t="shared" si="1"/>
        <v>460793.01289402862</v>
      </c>
      <c r="C38" s="40">
        <v>5.0000000000000001E-4</v>
      </c>
    </row>
    <row r="39" spans="1:3">
      <c r="A39" s="11">
        <v>1867</v>
      </c>
      <c r="B39" s="27">
        <f t="shared" si="1"/>
        <v>461069.48870176502</v>
      </c>
      <c r="C39" s="40">
        <v>5.0000000000000001E-4</v>
      </c>
    </row>
    <row r="40" spans="1:3">
      <c r="A40" s="11">
        <v>1868</v>
      </c>
      <c r="B40" s="27">
        <f t="shared" si="1"/>
        <v>461346.13039498607</v>
      </c>
      <c r="C40" s="40">
        <v>5.0000000000000001E-4</v>
      </c>
    </row>
    <row r="41" spans="1:3">
      <c r="A41" s="11">
        <v>1869</v>
      </c>
      <c r="B41" s="27">
        <f t="shared" si="1"/>
        <v>461622.93807322305</v>
      </c>
      <c r="C41" s="40">
        <v>5.0000000000000001E-4</v>
      </c>
    </row>
    <row r="42" spans="1:3">
      <c r="A42" s="11">
        <v>1870</v>
      </c>
      <c r="B42" s="27">
        <f t="shared" si="1"/>
        <v>461899.91183606692</v>
      </c>
      <c r="C42" s="40">
        <v>5.0000000000000001E-4</v>
      </c>
    </row>
    <row r="43" spans="1:3">
      <c r="A43" s="11">
        <v>1871</v>
      </c>
      <c r="B43" s="27">
        <f t="shared" si="1"/>
        <v>462177.05178316851</v>
      </c>
      <c r="C43" s="40">
        <v>5.0000000000000001E-4</v>
      </c>
    </row>
    <row r="44" spans="1:3">
      <c r="A44" s="11">
        <v>1872</v>
      </c>
      <c r="B44" s="27">
        <f t="shared" si="1"/>
        <v>462454.35801423836</v>
      </c>
      <c r="C44" s="40">
        <v>5.0000000000000001E-4</v>
      </c>
    </row>
    <row r="45" spans="1:3">
      <c r="A45" s="11">
        <v>1873</v>
      </c>
      <c r="B45" s="27">
        <f t="shared" si="1"/>
        <v>462731.83062904689</v>
      </c>
      <c r="C45" s="40">
        <v>5.0000000000000001E-4</v>
      </c>
    </row>
    <row r="46" spans="1:3">
      <c r="A46" s="11">
        <v>1874</v>
      </c>
      <c r="B46" s="27">
        <f t="shared" si="1"/>
        <v>463009.46972742426</v>
      </c>
      <c r="C46" s="40">
        <v>5.9999999999999995E-4</v>
      </c>
    </row>
    <row r="47" spans="1:3">
      <c r="A47" s="11">
        <v>1875</v>
      </c>
      <c r="B47" s="27">
        <f t="shared" si="1"/>
        <v>463333.57635623345</v>
      </c>
      <c r="C47" s="40">
        <v>5.9999999999999995E-4</v>
      </c>
    </row>
    <row r="48" spans="1:3">
      <c r="A48" s="11">
        <v>1876</v>
      </c>
      <c r="B48" s="27">
        <f t="shared" si="1"/>
        <v>463657.90985968278</v>
      </c>
      <c r="C48" s="40">
        <v>5.9999999999999995E-4</v>
      </c>
    </row>
    <row r="49" spans="1:3">
      <c r="A49" s="11">
        <v>1877</v>
      </c>
      <c r="B49" s="27">
        <f t="shared" si="1"/>
        <v>463982.47039658454</v>
      </c>
      <c r="C49" s="40">
        <v>5.9999999999999995E-4</v>
      </c>
    </row>
    <row r="50" spans="1:3">
      <c r="A50" s="11">
        <v>1878</v>
      </c>
      <c r="B50" s="27">
        <f t="shared" si="1"/>
        <v>464307.25812586211</v>
      </c>
      <c r="C50" s="40">
        <v>5.9999999999999995E-4</v>
      </c>
    </row>
    <row r="51" spans="1:3">
      <c r="A51" s="11">
        <v>1879</v>
      </c>
      <c r="B51" s="27">
        <f t="shared" si="1"/>
        <v>464632.27320655016</v>
      </c>
      <c r="C51" s="40">
        <v>5.9999999999999995E-4</v>
      </c>
    </row>
    <row r="52" spans="1:3">
      <c r="A52" s="11">
        <v>1880</v>
      </c>
      <c r="B52" s="27">
        <f t="shared" si="1"/>
        <v>464957.51579779474</v>
      </c>
      <c r="C52" s="40">
        <v>5.9999999999999995E-4</v>
      </c>
    </row>
    <row r="53" spans="1:3">
      <c r="A53" s="11">
        <v>1881</v>
      </c>
      <c r="B53" s="27">
        <f t="shared" si="1"/>
        <v>465282.98605885316</v>
      </c>
      <c r="C53" s="40">
        <v>5.9999999999999995E-4</v>
      </c>
    </row>
    <row r="54" spans="1:3">
      <c r="A54" s="11">
        <v>1882</v>
      </c>
      <c r="B54" s="27">
        <f t="shared" si="1"/>
        <v>465608.68414909433</v>
      </c>
      <c r="C54" s="40">
        <v>5.9999999999999995E-4</v>
      </c>
    </row>
    <row r="55" spans="1:3">
      <c r="A55" s="11">
        <v>1883</v>
      </c>
      <c r="B55" s="27">
        <f t="shared" si="1"/>
        <v>465934.61022799864</v>
      </c>
      <c r="C55" s="40">
        <v>5.9999999999999995E-4</v>
      </c>
    </row>
    <row r="56" spans="1:3">
      <c r="A56" s="11">
        <v>1884</v>
      </c>
      <c r="B56" s="27">
        <f t="shared" si="1"/>
        <v>466260.76445515821</v>
      </c>
      <c r="C56" s="40">
        <v>5.9999999999999995E-4</v>
      </c>
    </row>
    <row r="57" spans="1:3">
      <c r="A57" s="11">
        <v>1885</v>
      </c>
      <c r="B57" s="27">
        <f t="shared" si="1"/>
        <v>466587.14699027676</v>
      </c>
      <c r="C57" s="40">
        <v>5.9999999999999995E-4</v>
      </c>
    </row>
    <row r="58" spans="1:3">
      <c r="A58" s="11">
        <v>1886</v>
      </c>
      <c r="B58" s="27">
        <f t="shared" si="1"/>
        <v>466913.75799316989</v>
      </c>
      <c r="C58" s="40">
        <v>5.9999999999999995E-4</v>
      </c>
    </row>
    <row r="59" spans="1:3">
      <c r="A59" s="11">
        <v>1887</v>
      </c>
      <c r="B59" s="27">
        <f t="shared" si="1"/>
        <v>467240.59762376506</v>
      </c>
      <c r="C59" s="40">
        <v>5.9999999999999995E-4</v>
      </c>
    </row>
    <row r="60" spans="1:3">
      <c r="A60" s="11">
        <v>1888</v>
      </c>
      <c r="B60" s="27">
        <f t="shared" si="1"/>
        <v>467567.66604210169</v>
      </c>
      <c r="C60" s="40">
        <v>5.9999999999999995E-4</v>
      </c>
    </row>
    <row r="61" spans="1:3">
      <c r="A61" s="11">
        <v>1889</v>
      </c>
      <c r="B61" s="27">
        <f t="shared" si="1"/>
        <v>467894.9634083311</v>
      </c>
      <c r="C61" s="40">
        <v>5.9999999999999995E-4</v>
      </c>
    </row>
    <row r="62" spans="1:3">
      <c r="A62" s="11">
        <v>1890</v>
      </c>
      <c r="B62" s="27">
        <f t="shared" si="1"/>
        <v>468222.48988271691</v>
      </c>
      <c r="C62" s="40">
        <v>5.9999999999999995E-4</v>
      </c>
    </row>
    <row r="63" spans="1:3">
      <c r="A63" s="11">
        <v>1891</v>
      </c>
      <c r="B63" s="27">
        <f t="shared" si="1"/>
        <v>468550.24562563479</v>
      </c>
      <c r="C63" s="40">
        <v>5.9999999999999995E-4</v>
      </c>
    </row>
    <row r="64" spans="1:3">
      <c r="A64" s="11">
        <v>1892</v>
      </c>
      <c r="B64" s="27">
        <f t="shared" si="1"/>
        <v>468878.2307975727</v>
      </c>
      <c r="C64" s="40">
        <v>5.9999999999999995E-4</v>
      </c>
    </row>
    <row r="65" spans="1:3">
      <c r="A65" s="11">
        <v>1893</v>
      </c>
      <c r="B65" s="27">
        <f t="shared" si="1"/>
        <v>469206.44555913098</v>
      </c>
      <c r="C65" s="40">
        <v>5.9999999999999995E-4</v>
      </c>
    </row>
    <row r="66" spans="1:3">
      <c r="A66" s="11">
        <v>1894</v>
      </c>
      <c r="B66" s="27">
        <f t="shared" si="1"/>
        <v>469534.89007102232</v>
      </c>
      <c r="C66" s="40">
        <v>5.9999999999999995E-4</v>
      </c>
    </row>
    <row r="67" spans="1:3">
      <c r="A67" s="11">
        <v>1895</v>
      </c>
      <c r="B67" s="27">
        <f t="shared" ref="B67:B98" si="2">B66*(1+0.0001+MAX(($E$2-36),0)*0.0001+C66)</f>
        <v>469863.56449407199</v>
      </c>
      <c r="C67" s="40">
        <v>5.9999999999999995E-4</v>
      </c>
    </row>
    <row r="68" spans="1:3">
      <c r="A68" s="11">
        <v>1896</v>
      </c>
      <c r="B68" s="27">
        <f t="shared" si="2"/>
        <v>470192.46898921783</v>
      </c>
      <c r="C68" s="40">
        <v>5.9999999999999995E-4</v>
      </c>
    </row>
    <row r="69" spans="1:3">
      <c r="A69" s="11">
        <v>1897</v>
      </c>
      <c r="B69" s="27">
        <f t="shared" si="2"/>
        <v>470521.60371751024</v>
      </c>
      <c r="C69" s="40">
        <v>5.9999999999999995E-4</v>
      </c>
    </row>
    <row r="70" spans="1:3">
      <c r="A70" s="11">
        <v>1898</v>
      </c>
      <c r="B70" s="27">
        <f t="shared" si="2"/>
        <v>470850.96884011244</v>
      </c>
      <c r="C70" s="40">
        <v>5.9999999999999995E-4</v>
      </c>
    </row>
    <row r="71" spans="1:3">
      <c r="A71" s="11">
        <v>1899</v>
      </c>
      <c r="B71" s="27">
        <f t="shared" si="2"/>
        <v>471180.56451830047</v>
      </c>
      <c r="C71" s="40">
        <v>5.9999999999999995E-4</v>
      </c>
    </row>
    <row r="72" spans="1:3">
      <c r="A72" s="11">
        <v>1900</v>
      </c>
      <c r="B72" s="27">
        <f t="shared" si="2"/>
        <v>471510.39091346326</v>
      </c>
      <c r="C72" s="40">
        <v>5.9999999999999995E-4</v>
      </c>
    </row>
    <row r="73" spans="1:3">
      <c r="A73" s="11">
        <v>1901</v>
      </c>
      <c r="B73" s="27">
        <f t="shared" si="2"/>
        <v>471840.44818710262</v>
      </c>
      <c r="C73" s="40">
        <v>5.9999999999999995E-4</v>
      </c>
    </row>
    <row r="74" spans="1:3">
      <c r="A74" s="11">
        <v>1902</v>
      </c>
      <c r="B74" s="27">
        <f t="shared" si="2"/>
        <v>472170.73650083353</v>
      </c>
      <c r="C74" s="40">
        <v>5.9999999999999995E-4</v>
      </c>
    </row>
    <row r="75" spans="1:3">
      <c r="A75" s="11">
        <v>1903</v>
      </c>
      <c r="B75" s="27">
        <f t="shared" si="2"/>
        <v>472501.25601638405</v>
      </c>
      <c r="C75" s="40">
        <v>5.9999999999999995E-4</v>
      </c>
    </row>
    <row r="76" spans="1:3">
      <c r="A76" s="11">
        <v>1904</v>
      </c>
      <c r="B76" s="27">
        <f t="shared" si="2"/>
        <v>472832.00689559546</v>
      </c>
      <c r="C76" s="40">
        <v>5.9999999999999995E-4</v>
      </c>
    </row>
    <row r="77" spans="1:3">
      <c r="A77" s="11">
        <v>1905</v>
      </c>
      <c r="B77" s="27">
        <f t="shared" si="2"/>
        <v>473162.98930042237</v>
      </c>
      <c r="C77" s="40">
        <v>5.9999999999999995E-4</v>
      </c>
    </row>
    <row r="78" spans="1:3">
      <c r="A78" s="11">
        <v>1906</v>
      </c>
      <c r="B78" s="27">
        <f t="shared" si="2"/>
        <v>473494.20339293266</v>
      </c>
      <c r="C78" s="40">
        <v>5.9999999999999995E-4</v>
      </c>
    </row>
    <row r="79" spans="1:3">
      <c r="A79" s="11">
        <v>1907</v>
      </c>
      <c r="B79" s="27">
        <f t="shared" si="2"/>
        <v>473825.64933530765</v>
      </c>
      <c r="C79" s="40">
        <v>5.9999999999999995E-4</v>
      </c>
    </row>
    <row r="80" spans="1:3">
      <c r="A80" s="11">
        <v>1908</v>
      </c>
      <c r="B80" s="27">
        <f t="shared" si="2"/>
        <v>474157.3272898423</v>
      </c>
      <c r="C80" s="40">
        <v>6.9999999999999999E-4</v>
      </c>
    </row>
    <row r="81" spans="1:3">
      <c r="A81" s="11">
        <v>1909</v>
      </c>
      <c r="B81" s="27">
        <f t="shared" si="2"/>
        <v>474536.65315167414</v>
      </c>
      <c r="C81" s="40">
        <v>6.9999999999999999E-4</v>
      </c>
    </row>
    <row r="82" spans="1:3">
      <c r="A82" s="11">
        <v>1910</v>
      </c>
      <c r="B82" s="27">
        <f t="shared" si="2"/>
        <v>474916.28247419541</v>
      </c>
      <c r="C82" s="40">
        <v>6.9999999999999999E-4</v>
      </c>
    </row>
    <row r="83" spans="1:3">
      <c r="A83" s="11">
        <v>1911</v>
      </c>
      <c r="B83" s="27">
        <f t="shared" si="2"/>
        <v>475296.21550017473</v>
      </c>
      <c r="C83" s="40">
        <v>6.9999999999999999E-4</v>
      </c>
    </row>
    <row r="84" spans="1:3">
      <c r="A84" s="11">
        <v>1912</v>
      </c>
      <c r="B84" s="27">
        <f t="shared" si="2"/>
        <v>475676.45247257483</v>
      </c>
      <c r="C84" s="40">
        <v>8.0000000000000004E-4</v>
      </c>
    </row>
    <row r="85" spans="1:3">
      <c r="A85" s="11">
        <v>1913</v>
      </c>
      <c r="B85" s="27">
        <f t="shared" si="2"/>
        <v>476104.56127980008</v>
      </c>
      <c r="C85" s="40">
        <v>8.0000000000000004E-4</v>
      </c>
    </row>
    <row r="86" spans="1:3">
      <c r="A86" s="11">
        <v>1914</v>
      </c>
      <c r="B86" s="27">
        <f t="shared" si="2"/>
        <v>476533.05538495188</v>
      </c>
      <c r="C86" s="40">
        <v>8.0000000000000004E-4</v>
      </c>
    </row>
    <row r="87" spans="1:3">
      <c r="A87" s="11">
        <v>1915</v>
      </c>
      <c r="B87" s="27">
        <f t="shared" si="2"/>
        <v>476961.93513479829</v>
      </c>
      <c r="C87" s="40">
        <v>8.0000000000000004E-4</v>
      </c>
    </row>
    <row r="88" spans="1:3">
      <c r="A88" s="11">
        <v>1916</v>
      </c>
      <c r="B88" s="27">
        <f t="shared" si="2"/>
        <v>477391.20087641955</v>
      </c>
      <c r="C88" s="40">
        <v>8.0000000000000004E-4</v>
      </c>
    </row>
    <row r="89" spans="1:3">
      <c r="A89" s="11">
        <v>1917</v>
      </c>
      <c r="B89" s="27">
        <f t="shared" si="2"/>
        <v>477820.85295720829</v>
      </c>
      <c r="C89" s="40">
        <v>8.0000000000000004E-4</v>
      </c>
    </row>
    <row r="90" spans="1:3">
      <c r="A90" s="11">
        <v>1918</v>
      </c>
      <c r="B90" s="27">
        <f t="shared" si="2"/>
        <v>478250.89172486973</v>
      </c>
      <c r="C90" s="40">
        <v>8.0000000000000004E-4</v>
      </c>
    </row>
    <row r="91" spans="1:3">
      <c r="A91" s="11">
        <v>1919</v>
      </c>
      <c r="B91" s="27">
        <f t="shared" si="2"/>
        <v>478681.31752742204</v>
      </c>
      <c r="C91" s="40">
        <v>8.0000000000000004E-4</v>
      </c>
    </row>
    <row r="92" spans="1:3">
      <c r="A92" s="11">
        <v>1920</v>
      </c>
      <c r="B92" s="27">
        <f t="shared" si="2"/>
        <v>479112.13071319665</v>
      </c>
      <c r="C92" s="40">
        <v>8.0000000000000004E-4</v>
      </c>
    </row>
    <row r="93" spans="1:3">
      <c r="A93" s="11">
        <v>1921</v>
      </c>
      <c r="B93" s="27">
        <f t="shared" si="2"/>
        <v>479543.33163083845</v>
      </c>
      <c r="C93" s="40">
        <v>8.0000000000000004E-4</v>
      </c>
    </row>
    <row r="94" spans="1:3">
      <c r="A94" s="11">
        <v>1922</v>
      </c>
      <c r="B94" s="27">
        <f t="shared" si="2"/>
        <v>479974.92062930617</v>
      </c>
      <c r="C94" s="40">
        <v>8.0000000000000004E-4</v>
      </c>
    </row>
    <row r="95" spans="1:3">
      <c r="A95" s="11">
        <v>1923</v>
      </c>
      <c r="B95" s="27">
        <f t="shared" si="2"/>
        <v>480406.89805787249</v>
      </c>
      <c r="C95" s="40">
        <v>8.0000000000000004E-4</v>
      </c>
    </row>
    <row r="96" spans="1:3">
      <c r="A96" s="11">
        <v>1924</v>
      </c>
      <c r="B96" s="27">
        <f t="shared" si="2"/>
        <v>480839.26426612452</v>
      </c>
      <c r="C96" s="40">
        <v>8.0000000000000004E-4</v>
      </c>
    </row>
    <row r="97" spans="1:3">
      <c r="A97" s="11">
        <v>1925</v>
      </c>
      <c r="B97" s="27">
        <f t="shared" si="2"/>
        <v>481272.019603964</v>
      </c>
      <c r="C97" s="40">
        <v>8.0000000000000004E-4</v>
      </c>
    </row>
    <row r="98" spans="1:3">
      <c r="A98" s="11">
        <v>1926</v>
      </c>
      <c r="B98" s="27">
        <f t="shared" si="2"/>
        <v>481705.16442160751</v>
      </c>
      <c r="C98" s="40">
        <v>8.0000000000000004E-4</v>
      </c>
    </row>
    <row r="99" spans="1:3">
      <c r="A99" s="11">
        <v>1927</v>
      </c>
      <c r="B99" s="27">
        <f t="shared" ref="B99:B108" si="3">B98*(1+0.0001+MAX(($E$2-36),0)*0.0001+C98)</f>
        <v>482138.69906958693</v>
      </c>
      <c r="C99" s="40">
        <v>8.0000000000000004E-4</v>
      </c>
    </row>
    <row r="100" spans="1:3">
      <c r="A100" s="11">
        <v>1928</v>
      </c>
      <c r="B100" s="27">
        <f t="shared" si="3"/>
        <v>482572.62389874953</v>
      </c>
      <c r="C100" s="40">
        <v>8.0000000000000004E-4</v>
      </c>
    </row>
    <row r="101" spans="1:3">
      <c r="A101" s="11">
        <v>1929</v>
      </c>
      <c r="B101" s="27">
        <f t="shared" si="3"/>
        <v>483006.93926025834</v>
      </c>
      <c r="C101" s="40">
        <v>8.0000000000000004E-4</v>
      </c>
    </row>
    <row r="102" spans="1:3">
      <c r="A102" s="11">
        <v>1930</v>
      </c>
      <c r="B102" s="27">
        <f t="shared" si="3"/>
        <v>483441.64550559252</v>
      </c>
      <c r="C102" s="40">
        <v>8.0000000000000004E-4</v>
      </c>
    </row>
    <row r="103" spans="1:3">
      <c r="A103" s="11">
        <v>1931</v>
      </c>
      <c r="B103" s="27">
        <f t="shared" si="3"/>
        <v>483876.74298654753</v>
      </c>
      <c r="C103" s="40">
        <v>8.0000000000000004E-4</v>
      </c>
    </row>
    <row r="104" spans="1:3">
      <c r="A104" s="11">
        <v>1932</v>
      </c>
      <c r="B104" s="27">
        <f t="shared" si="3"/>
        <v>484312.23205523536</v>
      </c>
      <c r="C104" s="40">
        <v>8.0000000000000004E-4</v>
      </c>
    </row>
    <row r="105" spans="1:3">
      <c r="A105" s="11">
        <v>1933</v>
      </c>
      <c r="B105" s="27">
        <f t="shared" si="3"/>
        <v>484748.11306408502</v>
      </c>
      <c r="C105" s="40">
        <v>8.0000000000000004E-4</v>
      </c>
    </row>
    <row r="106" spans="1:3">
      <c r="A106" s="11">
        <v>1934</v>
      </c>
      <c r="B106" s="27">
        <f t="shared" si="3"/>
        <v>485184.38636584266</v>
      </c>
      <c r="C106" s="40">
        <v>8.0000000000000004E-4</v>
      </c>
    </row>
    <row r="107" spans="1:3">
      <c r="A107" s="11">
        <v>1935</v>
      </c>
      <c r="B107" s="27">
        <f t="shared" si="3"/>
        <v>485621.05231357185</v>
      </c>
      <c r="C107" s="40">
        <v>8.0000000000000004E-4</v>
      </c>
    </row>
    <row r="108" spans="1:3">
      <c r="A108" s="11">
        <v>1936</v>
      </c>
      <c r="B108" s="27">
        <f t="shared" si="3"/>
        <v>486058.111260654</v>
      </c>
      <c r="C108" s="40">
        <v>8.0000000000000004E-4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3"/>
  <sheetViews>
    <sheetView zoomScale="120" zoomScaleNormal="120" workbookViewId="0">
      <selection activeCell="N22" sqref="N22"/>
    </sheetView>
  </sheetViews>
  <sheetFormatPr defaultColWidth="8.85546875" defaultRowHeight="15"/>
  <cols>
    <col min="9" max="9" width="9" customWidth="1"/>
    <col min="13" max="13" width="9" customWidth="1"/>
    <col min="14" max="14" width="16.42578125" customWidth="1"/>
    <col min="18" max="18" width="4.42578125" customWidth="1"/>
    <col min="19" max="19" width="10.28515625" customWidth="1"/>
  </cols>
  <sheetData>
    <row r="1" spans="1:19">
      <c r="A1" s="4" t="s">
        <v>180</v>
      </c>
      <c r="B1" s="4"/>
      <c r="C1" s="4"/>
      <c r="D1" s="41" t="s">
        <v>181</v>
      </c>
      <c r="E1" s="41" t="s">
        <v>182</v>
      </c>
      <c r="F1" s="41" t="s">
        <v>183</v>
      </c>
      <c r="G1" s="41" t="s">
        <v>184</v>
      </c>
      <c r="H1" s="41" t="s">
        <v>185</v>
      </c>
      <c r="I1" s="41" t="s">
        <v>186</v>
      </c>
      <c r="K1" s="4" t="s">
        <v>187</v>
      </c>
      <c r="L1" s="4"/>
      <c r="N1" s="41" t="s">
        <v>188</v>
      </c>
      <c r="O1" s="41" t="s">
        <v>182</v>
      </c>
      <c r="P1" s="41" t="s">
        <v>185</v>
      </c>
      <c r="R1" s="41" t="s">
        <v>186</v>
      </c>
      <c r="S1" s="41" t="s">
        <v>189</v>
      </c>
    </row>
    <row r="2" spans="1:19">
      <c r="A2" s="4" t="s">
        <v>190</v>
      </c>
      <c r="B2" s="4"/>
      <c r="C2" s="4"/>
      <c r="D2" s="4">
        <v>1</v>
      </c>
      <c r="E2" s="3">
        <v>1.5</v>
      </c>
      <c r="F2" s="2">
        <v>0</v>
      </c>
      <c r="G2" s="2">
        <v>5</v>
      </c>
      <c r="H2" s="2">
        <v>30</v>
      </c>
      <c r="I2" s="2">
        <v>5</v>
      </c>
      <c r="K2" s="41" t="s">
        <v>191</v>
      </c>
      <c r="L2" s="41" t="s">
        <v>192</v>
      </c>
      <c r="N2" s="41" t="s">
        <v>193</v>
      </c>
      <c r="O2" s="42">
        <f>IF(E2=0,1,E2+1.5)</f>
        <v>3</v>
      </c>
      <c r="P2" s="42">
        <f>H2/100</f>
        <v>0.3</v>
      </c>
      <c r="R2" s="41">
        <v>0</v>
      </c>
      <c r="S2" s="41">
        <v>36</v>
      </c>
    </row>
    <row r="3" spans="1:19">
      <c r="A3" s="41" t="s">
        <v>194</v>
      </c>
      <c r="B3" s="4" t="s">
        <v>195</v>
      </c>
      <c r="C3" s="4"/>
      <c r="D3" s="4"/>
      <c r="E3" s="3"/>
      <c r="F3" s="2"/>
      <c r="G3" s="2"/>
      <c r="H3" s="2"/>
      <c r="I3" s="2"/>
      <c r="K3" s="43">
        <f>3000/3000*VLOOKUP(MAX(D2+I2,0),R2:S23,2,TRUE())*N3/10/(O10+IF(F10=0,0,(F10-G2)/10)/(1+P10))</f>
        <v>224.25</v>
      </c>
      <c r="L3" s="43">
        <f>3000/3000*VLOOKUP(MAX(D2+I2,0),R2:S23,2,TRUE())*N6/10/(O10+IF(F10=0,0,(F10-G2)/10)/(1+P10))</f>
        <v>401.45625000000007</v>
      </c>
      <c r="N3" s="41">
        <f>A4+10</f>
        <v>46</v>
      </c>
      <c r="O3" s="44"/>
      <c r="P3" s="44"/>
      <c r="R3" s="41">
        <v>1</v>
      </c>
      <c r="S3" s="41">
        <v>48</v>
      </c>
    </row>
    <row r="4" spans="1:19">
      <c r="A4" s="45">
        <v>36</v>
      </c>
      <c r="B4" s="3">
        <v>1</v>
      </c>
      <c r="C4" s="3"/>
      <c r="D4" s="4"/>
      <c r="E4" s="3"/>
      <c r="F4" s="2"/>
      <c r="G4" s="2"/>
      <c r="H4" s="2"/>
      <c r="I4" s="2"/>
      <c r="K4" s="1">
        <f>K3+L3</f>
        <v>625.70625000000007</v>
      </c>
      <c r="L4" s="1"/>
      <c r="R4" s="41">
        <v>2</v>
      </c>
      <c r="S4" s="41">
        <v>60</v>
      </c>
    </row>
    <row r="5" spans="1:19">
      <c r="A5" s="4" t="s">
        <v>196</v>
      </c>
      <c r="B5" s="4"/>
      <c r="C5" s="4"/>
      <c r="D5" s="4"/>
      <c r="E5" s="3"/>
      <c r="F5" s="2"/>
      <c r="G5" s="2"/>
      <c r="H5" s="2"/>
      <c r="I5" s="2"/>
      <c r="N5" s="41" t="s">
        <v>197</v>
      </c>
      <c r="R5" s="41">
        <v>3</v>
      </c>
      <c r="S5" s="41">
        <v>72</v>
      </c>
    </row>
    <row r="6" spans="1:19">
      <c r="A6" s="41" t="s">
        <v>194</v>
      </c>
      <c r="B6" s="41" t="s">
        <v>198</v>
      </c>
      <c r="C6" s="41" t="s">
        <v>195</v>
      </c>
      <c r="D6" s="4"/>
      <c r="E6" s="3"/>
      <c r="F6" s="2"/>
      <c r="G6" s="2"/>
      <c r="H6" s="2"/>
      <c r="I6" s="2"/>
      <c r="N6" s="41">
        <f>(A7+10)*B7</f>
        <v>82.350000000000009</v>
      </c>
      <c r="R6" s="41">
        <v>4</v>
      </c>
      <c r="S6" s="41">
        <v>96</v>
      </c>
    </row>
    <row r="7" spans="1:19">
      <c r="A7" s="45">
        <v>8.3000000000000007</v>
      </c>
      <c r="B7" s="42">
        <v>4.5</v>
      </c>
      <c r="C7" s="42">
        <v>1</v>
      </c>
      <c r="D7" s="4"/>
      <c r="E7" s="3"/>
      <c r="F7" s="2"/>
      <c r="G7" s="2"/>
      <c r="H7" s="2"/>
      <c r="I7" s="2"/>
      <c r="K7" s="3">
        <f>K4/K12</f>
        <v>0.56676290760869574</v>
      </c>
      <c r="L7" s="3"/>
      <c r="R7" s="41">
        <v>5</v>
      </c>
      <c r="S7" s="41">
        <v>120</v>
      </c>
    </row>
    <row r="8" spans="1:19">
      <c r="R8" s="41">
        <v>6</v>
      </c>
      <c r="S8" s="41">
        <v>150</v>
      </c>
    </row>
    <row r="9" spans="1:19">
      <c r="A9" s="4" t="s">
        <v>199</v>
      </c>
      <c r="B9" s="4"/>
      <c r="C9" s="4"/>
      <c r="D9" s="41" t="s">
        <v>181</v>
      </c>
      <c r="E9" s="41" t="s">
        <v>182</v>
      </c>
      <c r="F9" s="41" t="s">
        <v>183</v>
      </c>
      <c r="G9" s="41" t="s">
        <v>184</v>
      </c>
      <c r="H9" s="41" t="s">
        <v>185</v>
      </c>
      <c r="I9" s="41" t="s">
        <v>186</v>
      </c>
      <c r="K9" s="4" t="s">
        <v>200</v>
      </c>
      <c r="L9" s="4"/>
      <c r="N9" s="41" t="s">
        <v>188</v>
      </c>
      <c r="O9" s="41" t="s">
        <v>182</v>
      </c>
      <c r="P9" s="41" t="s">
        <v>185</v>
      </c>
      <c r="R9" s="41">
        <v>7</v>
      </c>
      <c r="S9" s="41">
        <v>180</v>
      </c>
    </row>
    <row r="10" spans="1:19">
      <c r="A10" s="4" t="s">
        <v>190</v>
      </c>
      <c r="B10" s="4"/>
      <c r="C10" s="4"/>
      <c r="D10" s="4">
        <v>2</v>
      </c>
      <c r="E10" s="3">
        <v>1.5</v>
      </c>
      <c r="F10" s="2">
        <v>6</v>
      </c>
      <c r="G10" s="2">
        <v>0</v>
      </c>
      <c r="H10" s="2">
        <v>30</v>
      </c>
      <c r="I10" s="2">
        <v>5</v>
      </c>
      <c r="K10" s="41" t="s">
        <v>191</v>
      </c>
      <c r="L10" s="41" t="s">
        <v>192</v>
      </c>
      <c r="N10" s="41" t="s">
        <v>201</v>
      </c>
      <c r="O10" s="42">
        <f>IF(E10=0,1,E10+1.5)</f>
        <v>3</v>
      </c>
      <c r="P10" s="42">
        <f>H10/100</f>
        <v>0.3</v>
      </c>
      <c r="R10" s="41">
        <v>8</v>
      </c>
      <c r="S10" s="41">
        <v>210</v>
      </c>
    </row>
    <row r="11" spans="1:19">
      <c r="A11" s="41" t="s">
        <v>202</v>
      </c>
      <c r="B11" s="4" t="s">
        <v>195</v>
      </c>
      <c r="C11" s="4"/>
      <c r="D11" s="4"/>
      <c r="E11" s="3"/>
      <c r="F11" s="2"/>
      <c r="G11" s="2"/>
      <c r="H11" s="2"/>
      <c r="I11" s="2"/>
      <c r="K11" s="43">
        <f>3000/3000*VLOOKUP(MAX(D10+I10,0),R2:S23,2,TRUE())*N11/10/(O2+IF(F2=0,0,(F2-G10)/10)/(1+P2))</f>
        <v>204</v>
      </c>
      <c r="L11" s="43">
        <f>3000/3000*VLOOKUP(MAX(D10+I10,0),R2:S23,2,TRUE())*N14/10/(O2+IF(F2=0,0,(F2-G10)/10)/(1+P2))</f>
        <v>900</v>
      </c>
      <c r="N11" s="41">
        <f>A12+10</f>
        <v>34</v>
      </c>
      <c r="O11" s="44"/>
      <c r="P11" s="44"/>
      <c r="R11" s="41">
        <v>9</v>
      </c>
      <c r="S11" s="41">
        <v>240</v>
      </c>
    </row>
    <row r="12" spans="1:19">
      <c r="A12" s="45">
        <v>24</v>
      </c>
      <c r="B12" s="3">
        <v>1</v>
      </c>
      <c r="C12" s="3"/>
      <c r="D12" s="4"/>
      <c r="E12" s="3"/>
      <c r="F12" s="2"/>
      <c r="G12" s="2"/>
      <c r="H12" s="2"/>
      <c r="I12" s="2"/>
      <c r="K12" s="1">
        <f>K11+L11</f>
        <v>1104</v>
      </c>
      <c r="L12" s="1"/>
      <c r="R12" s="41">
        <v>10</v>
      </c>
      <c r="S12" s="41">
        <v>270</v>
      </c>
    </row>
    <row r="13" spans="1:19">
      <c r="A13" s="4" t="s">
        <v>196</v>
      </c>
      <c r="B13" s="4"/>
      <c r="C13" s="4"/>
      <c r="D13" s="4"/>
      <c r="E13" s="3"/>
      <c r="F13" s="2"/>
      <c r="G13" s="2"/>
      <c r="H13" s="2"/>
      <c r="I13" s="2"/>
      <c r="N13" s="41" t="s">
        <v>203</v>
      </c>
      <c r="R13" s="41">
        <v>11</v>
      </c>
      <c r="S13" s="41">
        <v>300</v>
      </c>
    </row>
    <row r="14" spans="1:19">
      <c r="A14" s="41" t="s">
        <v>202</v>
      </c>
      <c r="B14" s="41" t="s">
        <v>198</v>
      </c>
      <c r="C14" s="41" t="s">
        <v>195</v>
      </c>
      <c r="D14" s="4"/>
      <c r="E14" s="3"/>
      <c r="F14" s="2"/>
      <c r="G14" s="2"/>
      <c r="H14" s="2"/>
      <c r="I14" s="2"/>
      <c r="N14" s="41">
        <f>(A15+10)*B15</f>
        <v>150</v>
      </c>
      <c r="R14" s="41">
        <v>12</v>
      </c>
      <c r="S14" s="41">
        <v>330</v>
      </c>
    </row>
    <row r="15" spans="1:19">
      <c r="A15" s="45">
        <v>15</v>
      </c>
      <c r="B15" s="42">
        <v>6</v>
      </c>
      <c r="C15" s="42">
        <v>0.1</v>
      </c>
      <c r="D15" s="4"/>
      <c r="E15" s="3"/>
      <c r="F15" s="2"/>
      <c r="G15" s="2"/>
      <c r="H15" s="2"/>
      <c r="I15" s="2"/>
      <c r="K15" s="3">
        <f>K12/K4</f>
        <v>1.7644062209703033</v>
      </c>
      <c r="L15" s="3"/>
      <c r="R15" s="41">
        <v>13</v>
      </c>
      <c r="S15" s="41">
        <v>360</v>
      </c>
    </row>
    <row r="16" spans="1:19">
      <c r="R16" s="41">
        <v>14</v>
      </c>
      <c r="S16" s="41">
        <v>390</v>
      </c>
    </row>
    <row r="17" spans="1:19">
      <c r="J17">
        <v>0</v>
      </c>
      <c r="K17">
        <v>216</v>
      </c>
      <c r="L17">
        <v>216</v>
      </c>
      <c r="R17" s="41">
        <v>15</v>
      </c>
      <c r="S17" s="41">
        <v>420</v>
      </c>
    </row>
    <row r="18" spans="1:19">
      <c r="J18">
        <v>1</v>
      </c>
      <c r="K18">
        <v>309</v>
      </c>
      <c r="L18">
        <v>422</v>
      </c>
      <c r="R18" s="41">
        <v>16</v>
      </c>
      <c r="S18" s="41">
        <v>450</v>
      </c>
    </row>
    <row r="19" spans="1:19">
      <c r="J19">
        <v>2</v>
      </c>
      <c r="R19" s="41">
        <v>17</v>
      </c>
      <c r="S19" s="41">
        <v>480</v>
      </c>
    </row>
    <row r="20" spans="1:19">
      <c r="A20" s="46"/>
      <c r="J20">
        <v>3</v>
      </c>
      <c r="R20" s="41">
        <v>18</v>
      </c>
      <c r="S20" s="41">
        <v>510</v>
      </c>
    </row>
    <row r="21" spans="1:19">
      <c r="J21">
        <v>4</v>
      </c>
      <c r="K21">
        <v>399</v>
      </c>
      <c r="L21">
        <v>540</v>
      </c>
      <c r="R21" s="41">
        <v>19</v>
      </c>
      <c r="S21" s="41">
        <v>540</v>
      </c>
    </row>
    <row r="22" spans="1:19">
      <c r="J22">
        <v>5</v>
      </c>
      <c r="K22">
        <v>463</v>
      </c>
      <c r="L22">
        <v>753</v>
      </c>
      <c r="R22" s="41">
        <v>20</v>
      </c>
      <c r="S22" s="41">
        <v>570</v>
      </c>
    </row>
    <row r="23" spans="1:19">
      <c r="J23">
        <v>6</v>
      </c>
      <c r="K23">
        <v>626</v>
      </c>
      <c r="L23">
        <v>1104</v>
      </c>
      <c r="R23" s="41">
        <v>21</v>
      </c>
      <c r="S23" s="41">
        <v>600</v>
      </c>
    </row>
  </sheetData>
  <mergeCells count="28">
    <mergeCell ref="A9:C9"/>
    <mergeCell ref="K9:L9"/>
    <mergeCell ref="A10:C10"/>
    <mergeCell ref="D10:D15"/>
    <mergeCell ref="E10:E15"/>
    <mergeCell ref="F10:F15"/>
    <mergeCell ref="G10:G15"/>
    <mergeCell ref="H10:H15"/>
    <mergeCell ref="I10:I15"/>
    <mergeCell ref="B11:C11"/>
    <mergeCell ref="B12:C12"/>
    <mergeCell ref="K12:L12"/>
    <mergeCell ref="A13:C13"/>
    <mergeCell ref="K15:L15"/>
    <mergeCell ref="A1:C1"/>
    <mergeCell ref="K1:L1"/>
    <mergeCell ref="A2:C2"/>
    <mergeCell ref="D2:D7"/>
    <mergeCell ref="E2:E7"/>
    <mergeCell ref="F2:F7"/>
    <mergeCell ref="G2:G7"/>
    <mergeCell ref="H2:H7"/>
    <mergeCell ref="I2:I7"/>
    <mergeCell ref="B3:C3"/>
    <mergeCell ref="B4:C4"/>
    <mergeCell ref="K4:L4"/>
    <mergeCell ref="A5:C5"/>
    <mergeCell ref="K7:L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H50"/>
  <sheetViews>
    <sheetView tabSelected="1" zoomScale="130" zoomScaleNormal="130" workbookViewId="0">
      <selection activeCell="I20" sqref="I20"/>
    </sheetView>
  </sheetViews>
  <sheetFormatPr defaultColWidth="8.85546875" defaultRowHeight="15"/>
  <cols>
    <col min="1" max="1" width="4.85546875" customWidth="1"/>
    <col min="2" max="2" width="6.42578125" customWidth="1"/>
    <col min="3" max="3" width="4.5703125" customWidth="1"/>
    <col min="4" max="4" width="10.42578125" customWidth="1"/>
    <col min="5" max="5" width="7.85546875" customWidth="1"/>
    <col min="6" max="6" width="8.28515625" customWidth="1"/>
    <col min="7" max="7" width="6.42578125" customWidth="1"/>
    <col min="8" max="8" width="9.42578125" customWidth="1"/>
    <col min="9" max="9" width="11.85546875" customWidth="1"/>
    <col min="10" max="10" width="11" customWidth="1"/>
    <col min="11" max="11" width="4.85546875" customWidth="1"/>
    <col min="12" max="12" width="8.28515625" customWidth="1"/>
    <col min="23" max="23" width="13.7109375" style="46" bestFit="1" customWidth="1"/>
    <col min="24" max="24" width="34.28515625" style="46" bestFit="1" customWidth="1"/>
    <col min="25" max="25" width="12.85546875" style="46" bestFit="1" customWidth="1"/>
    <col min="26" max="26" width="11" style="46" bestFit="1" customWidth="1"/>
    <col min="27" max="27" width="10.85546875" style="46" bestFit="1" customWidth="1"/>
    <col min="28" max="28" width="12.7109375" style="46" bestFit="1" customWidth="1"/>
    <col min="29" max="29" width="19.28515625" style="46" bestFit="1" customWidth="1"/>
    <col min="30" max="30" width="16.85546875" style="46" bestFit="1" customWidth="1"/>
    <col min="31" max="31" width="12.7109375" style="83" bestFit="1" customWidth="1"/>
    <col min="32" max="32" width="12.7109375" style="88" bestFit="1" customWidth="1"/>
    <col min="33" max="33" width="12" style="83" bestFit="1" customWidth="1"/>
    <col min="34" max="34" width="13.7109375" style="83" bestFit="1" customWidth="1"/>
    <col min="35" max="35" width="15.28515625" style="85" bestFit="1" customWidth="1"/>
    <col min="36" max="36" width="6.42578125" style="84" bestFit="1" customWidth="1"/>
    <col min="37" max="37" width="14.28515625" style="84" bestFit="1" customWidth="1"/>
    <col min="38" max="38" width="4.5703125" style="84" bestFit="1" customWidth="1"/>
    <col min="39" max="39" width="6.28515625" style="84" bestFit="1" customWidth="1"/>
    <col min="40" max="40" width="7.85546875" style="83" bestFit="1" customWidth="1"/>
    <col min="41" max="41" width="11.85546875" style="84" bestFit="1" customWidth="1"/>
    <col min="42" max="42" width="10.28515625" style="84" bestFit="1" customWidth="1"/>
    <col min="43" max="43" width="7" style="84" bestFit="1" customWidth="1"/>
    <col min="44" max="44" width="14.28515625" style="84" bestFit="1" customWidth="1"/>
    <col min="45" max="45" width="4.5703125" style="84" bestFit="1" customWidth="1"/>
    <col min="46" max="46" width="6.28515625" style="84" bestFit="1" customWidth="1"/>
    <col min="47" max="47" width="7.85546875" style="83" bestFit="1" customWidth="1"/>
    <col min="48" max="48" width="11.85546875" style="84" bestFit="1" customWidth="1"/>
    <col min="49" max="49" width="10.28515625" style="84" bestFit="1" customWidth="1"/>
    <col min="50" max="50" width="6.42578125" style="84" bestFit="1" customWidth="1"/>
    <col min="51" max="51" width="14.28515625" style="84" bestFit="1" customWidth="1"/>
    <col min="52" max="52" width="4.5703125" style="84" bestFit="1" customWidth="1"/>
    <col min="53" max="53" width="6.28515625" style="84" bestFit="1" customWidth="1"/>
    <col min="54" max="54" width="7.85546875" style="83" bestFit="1" customWidth="1"/>
    <col min="55" max="55" width="11.85546875" style="84" bestFit="1" customWidth="1"/>
    <col min="56" max="56" width="10.28515625" style="84" bestFit="1" customWidth="1"/>
    <col min="57" max="57" width="6.42578125" style="46" bestFit="1" customWidth="1"/>
    <col min="58" max="58" width="14.28515625" style="46" bestFit="1" customWidth="1"/>
    <col min="59" max="59" width="4.5703125" style="46" bestFit="1" customWidth="1"/>
    <col min="60" max="60" width="6.28515625" style="46" bestFit="1" customWidth="1"/>
    <col min="61" max="61" width="7.85546875" style="83" bestFit="1" customWidth="1"/>
    <col min="62" max="62" width="11.85546875" style="46" bestFit="1" customWidth="1"/>
    <col min="63" max="63" width="10.28515625" style="46" bestFit="1" customWidth="1"/>
    <col min="64" max="64" width="6.42578125" bestFit="1" customWidth="1"/>
    <col min="65" max="65" width="14.28515625" bestFit="1" customWidth="1"/>
    <col min="66" max="66" width="4.5703125" bestFit="1" customWidth="1"/>
    <col min="67" max="67" width="6.28515625" bestFit="1" customWidth="1"/>
    <col min="68" max="68" width="7.85546875" bestFit="1" customWidth="1"/>
    <col min="69" max="69" width="11.85546875" bestFit="1" customWidth="1"/>
    <col min="70" max="70" width="10.28515625" bestFit="1" customWidth="1"/>
    <col min="71" max="71" width="6.42578125" bestFit="1" customWidth="1"/>
    <col min="72" max="72" width="14.28515625" bestFit="1" customWidth="1"/>
    <col min="73" max="73" width="4.5703125" bestFit="1" customWidth="1"/>
    <col min="74" max="74" width="6.28515625" bestFit="1" customWidth="1"/>
    <col min="75" max="75" width="7.85546875" bestFit="1" customWidth="1"/>
    <col min="76" max="76" width="11.85546875" bestFit="1" customWidth="1"/>
    <col min="77" max="77" width="10.28515625" bestFit="1" customWidth="1"/>
    <col min="78" max="78" width="6.42578125" bestFit="1" customWidth="1"/>
    <col min="79" max="79" width="14.28515625" bestFit="1" customWidth="1"/>
    <col min="80" max="80" width="4.5703125" bestFit="1" customWidth="1"/>
    <col min="81" max="81" width="6.28515625" bestFit="1" customWidth="1"/>
    <col min="82" max="82" width="7.85546875" bestFit="1" customWidth="1"/>
    <col min="83" max="83" width="11.85546875" bestFit="1" customWidth="1"/>
    <col min="84" max="84" width="10.28515625" bestFit="1" customWidth="1"/>
    <col min="85" max="85" width="6.42578125" bestFit="1" customWidth="1"/>
    <col min="86" max="86" width="14.28515625" bestFit="1" customWidth="1"/>
    <col min="87" max="87" width="4.5703125" bestFit="1" customWidth="1"/>
    <col min="88" max="88" width="6.28515625" bestFit="1" customWidth="1"/>
    <col min="89" max="89" width="7.85546875" bestFit="1" customWidth="1"/>
    <col min="90" max="90" width="11.85546875" bestFit="1" customWidth="1"/>
    <col min="91" max="91" width="10.28515625" bestFit="1" customWidth="1"/>
    <col min="92" max="92" width="6.42578125" bestFit="1" customWidth="1"/>
    <col min="93" max="93" width="14.28515625" bestFit="1" customWidth="1"/>
    <col min="94" max="94" width="11" bestFit="1" customWidth="1"/>
    <col min="95" max="95" width="6.28515625" bestFit="1" customWidth="1"/>
    <col min="96" max="96" width="7.85546875" bestFit="1" customWidth="1"/>
    <col min="97" max="97" width="11.85546875" bestFit="1" customWidth="1"/>
    <col min="98" max="98" width="10.28515625" bestFit="1" customWidth="1"/>
    <col min="99" max="99" width="6.42578125" bestFit="1" customWidth="1"/>
    <col min="100" max="100" width="14.28515625" bestFit="1" customWidth="1"/>
    <col min="101" max="101" width="4.5703125" bestFit="1" customWidth="1"/>
    <col min="102" max="102" width="6.28515625" bestFit="1" customWidth="1"/>
    <col min="103" max="103" width="7.85546875" bestFit="1" customWidth="1"/>
    <col min="104" max="104" width="11.85546875" bestFit="1" customWidth="1"/>
    <col min="105" max="105" width="10.28515625" bestFit="1" customWidth="1"/>
    <col min="106" max="106" width="6.42578125" bestFit="1" customWidth="1"/>
    <col min="107" max="107" width="14.28515625" bestFit="1" customWidth="1"/>
    <col min="108" max="108" width="4.5703125" bestFit="1" customWidth="1"/>
    <col min="109" max="109" width="6.28515625" bestFit="1" customWidth="1"/>
    <col min="110" max="110" width="7.85546875" bestFit="1" customWidth="1"/>
    <col min="111" max="111" width="11.85546875" bestFit="1" customWidth="1"/>
    <col min="112" max="112" width="10.28515625" bestFit="1" customWidth="1"/>
  </cols>
  <sheetData>
    <row r="1" spans="1:112">
      <c r="A1" s="107" t="s">
        <v>180</v>
      </c>
      <c r="B1" s="107"/>
      <c r="C1" s="107"/>
      <c r="D1" s="107"/>
      <c r="E1" s="107"/>
      <c r="F1" s="107"/>
      <c r="G1" s="107"/>
      <c r="H1" s="107"/>
      <c r="I1" s="107"/>
      <c r="J1" s="107"/>
      <c r="L1" s="107" t="s">
        <v>180</v>
      </c>
      <c r="M1" s="107"/>
      <c r="N1" s="107"/>
      <c r="P1" s="108" t="s">
        <v>199</v>
      </c>
      <c r="Q1" s="108"/>
      <c r="R1" s="108"/>
      <c r="T1" s="46" t="s">
        <v>204</v>
      </c>
      <c r="U1" s="46" t="s">
        <v>181</v>
      </c>
      <c r="W1" s="6" t="s">
        <v>0</v>
      </c>
      <c r="X1" s="6" t="s">
        <v>338</v>
      </c>
      <c r="Y1" s="6" t="s">
        <v>340</v>
      </c>
      <c r="Z1" s="6" t="s">
        <v>341</v>
      </c>
      <c r="AA1" s="6" t="s">
        <v>98</v>
      </c>
      <c r="AB1" s="6" t="s">
        <v>342</v>
      </c>
      <c r="AC1" s="6" t="s">
        <v>343</v>
      </c>
      <c r="AD1" s="6" t="s">
        <v>344</v>
      </c>
      <c r="AE1" s="6" t="s">
        <v>345</v>
      </c>
      <c r="AF1" s="6" t="s">
        <v>346</v>
      </c>
      <c r="AG1" s="6" t="s">
        <v>352</v>
      </c>
      <c r="AH1" s="6" t="s">
        <v>353</v>
      </c>
      <c r="AI1" s="86" t="s">
        <v>355</v>
      </c>
      <c r="AJ1" s="80" t="s">
        <v>357</v>
      </c>
      <c r="AK1" s="80"/>
      <c r="AL1" s="80"/>
      <c r="AM1" s="80"/>
      <c r="AN1" s="80"/>
      <c r="AO1" s="80"/>
      <c r="AP1" s="80"/>
      <c r="AQ1" s="81" t="s">
        <v>349</v>
      </c>
      <c r="AR1" s="81"/>
      <c r="AS1" s="81"/>
      <c r="AT1" s="81"/>
      <c r="AU1" s="81"/>
      <c r="AV1" s="81"/>
      <c r="AW1" s="81"/>
      <c r="AX1" s="89" t="s">
        <v>350</v>
      </c>
      <c r="AY1" s="89"/>
      <c r="AZ1" s="89"/>
      <c r="BA1" s="89"/>
      <c r="BB1" s="89"/>
      <c r="BC1" s="89"/>
      <c r="BD1" s="89"/>
      <c r="BE1" s="87" t="s">
        <v>356</v>
      </c>
      <c r="BF1" s="87"/>
      <c r="BG1" s="87"/>
      <c r="BH1" s="87"/>
      <c r="BI1" s="87"/>
      <c r="BJ1" s="87"/>
      <c r="BK1" s="87"/>
      <c r="BL1" s="82" t="s">
        <v>358</v>
      </c>
      <c r="BM1" s="82"/>
      <c r="BN1" s="82"/>
      <c r="BO1" s="82"/>
      <c r="BP1" s="82"/>
      <c r="BQ1" s="82"/>
      <c r="BR1" s="82"/>
      <c r="BS1" s="90" t="s">
        <v>361</v>
      </c>
      <c r="BT1" s="90"/>
      <c r="BU1" s="90"/>
      <c r="BV1" s="90"/>
      <c r="BW1" s="90"/>
      <c r="BX1" s="90"/>
      <c r="BY1" s="90"/>
      <c r="BZ1" s="91" t="s">
        <v>362</v>
      </c>
      <c r="CA1" s="91"/>
      <c r="CB1" s="91"/>
      <c r="CC1" s="91"/>
      <c r="CD1" s="91"/>
      <c r="CE1" s="91"/>
      <c r="CF1" s="91"/>
      <c r="CG1" s="92" t="s">
        <v>367</v>
      </c>
      <c r="CH1" s="92"/>
      <c r="CI1" s="92"/>
      <c r="CJ1" s="92"/>
      <c r="CK1" s="92"/>
      <c r="CL1" s="92"/>
      <c r="CM1" s="92"/>
      <c r="CN1" s="93" t="s">
        <v>363</v>
      </c>
      <c r="CO1" s="93"/>
      <c r="CP1" s="93"/>
      <c r="CQ1" s="93"/>
      <c r="CR1" s="93"/>
      <c r="CS1" s="93"/>
      <c r="CT1" s="93"/>
      <c r="CU1" s="95" t="s">
        <v>364</v>
      </c>
      <c r="CV1" s="95"/>
      <c r="CW1" s="95"/>
      <c r="CX1" s="95"/>
      <c r="CY1" s="95"/>
      <c r="CZ1" s="95"/>
      <c r="DA1" s="95"/>
      <c r="DB1" s="94" t="s">
        <v>365</v>
      </c>
      <c r="DC1" s="94"/>
      <c r="DD1" s="94"/>
      <c r="DE1" s="94"/>
      <c r="DF1" s="94"/>
      <c r="DG1" s="94"/>
      <c r="DH1" s="94"/>
    </row>
    <row r="2" spans="1:112">
      <c r="A2" s="46" t="s">
        <v>204</v>
      </c>
      <c r="B2" s="46" t="s">
        <v>194</v>
      </c>
      <c r="C2" s="46" t="s">
        <v>205</v>
      </c>
      <c r="D2" s="46" t="s">
        <v>206</v>
      </c>
      <c r="E2" s="46" t="s">
        <v>207</v>
      </c>
      <c r="F2" s="46" t="s">
        <v>208</v>
      </c>
      <c r="G2" s="46" t="s">
        <v>370</v>
      </c>
      <c r="H2" s="46" t="s">
        <v>194</v>
      </c>
      <c r="I2" s="46" t="s">
        <v>209</v>
      </c>
      <c r="J2" s="46" t="s">
        <v>210</v>
      </c>
      <c r="L2" s="109" t="s">
        <v>373</v>
      </c>
      <c r="M2" s="102" t="s">
        <v>374</v>
      </c>
      <c r="N2" s="104" t="s">
        <v>375</v>
      </c>
      <c r="P2" s="109" t="s">
        <v>373</v>
      </c>
      <c r="Q2" s="102" t="s">
        <v>374</v>
      </c>
      <c r="R2" s="104" t="s">
        <v>375</v>
      </c>
      <c r="T2" s="46">
        <v>-5</v>
      </c>
      <c r="U2" s="46">
        <v>2</v>
      </c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86"/>
      <c r="AJ2" s="46" t="s">
        <v>194</v>
      </c>
      <c r="AK2" s="46" t="s">
        <v>359</v>
      </c>
      <c r="AL2" s="46" t="s">
        <v>205</v>
      </c>
      <c r="AM2" s="46" t="s">
        <v>347</v>
      </c>
      <c r="AN2" s="46" t="s">
        <v>207</v>
      </c>
      <c r="AO2" s="46" t="s">
        <v>348</v>
      </c>
      <c r="AP2" s="46" t="s">
        <v>351</v>
      </c>
      <c r="AQ2" s="46" t="s">
        <v>194</v>
      </c>
      <c r="AR2" s="46" t="s">
        <v>359</v>
      </c>
      <c r="AS2" s="46" t="s">
        <v>205</v>
      </c>
      <c r="AT2" s="46" t="s">
        <v>347</v>
      </c>
      <c r="AU2" s="46" t="s">
        <v>207</v>
      </c>
      <c r="AV2" s="46" t="s">
        <v>348</v>
      </c>
      <c r="AW2" s="46" t="s">
        <v>351</v>
      </c>
      <c r="AX2" s="46" t="s">
        <v>194</v>
      </c>
      <c r="AY2" s="46" t="s">
        <v>359</v>
      </c>
      <c r="AZ2" s="46" t="s">
        <v>205</v>
      </c>
      <c r="BA2" s="46" t="s">
        <v>347</v>
      </c>
      <c r="BB2" s="46" t="s">
        <v>207</v>
      </c>
      <c r="BC2" s="46" t="s">
        <v>348</v>
      </c>
      <c r="BD2" s="46" t="s">
        <v>351</v>
      </c>
      <c r="BE2" s="46" t="s">
        <v>194</v>
      </c>
      <c r="BF2" s="46" t="s">
        <v>359</v>
      </c>
      <c r="BG2" s="46" t="s">
        <v>205</v>
      </c>
      <c r="BH2" s="46" t="s">
        <v>347</v>
      </c>
      <c r="BI2" s="46" t="s">
        <v>207</v>
      </c>
      <c r="BJ2" s="46" t="s">
        <v>348</v>
      </c>
      <c r="BK2" s="46" t="s">
        <v>351</v>
      </c>
      <c r="BL2" s="46" t="s">
        <v>194</v>
      </c>
      <c r="BM2" s="46" t="s">
        <v>359</v>
      </c>
      <c r="BN2" s="46" t="s">
        <v>205</v>
      </c>
      <c r="BO2" s="46" t="s">
        <v>347</v>
      </c>
      <c r="BP2" s="46" t="s">
        <v>207</v>
      </c>
      <c r="BQ2" s="46" t="s">
        <v>348</v>
      </c>
      <c r="BR2" s="46" t="s">
        <v>351</v>
      </c>
      <c r="BS2" s="46" t="s">
        <v>194</v>
      </c>
      <c r="BT2" s="46" t="s">
        <v>359</v>
      </c>
      <c r="BU2" s="46" t="s">
        <v>205</v>
      </c>
      <c r="BV2" s="46" t="s">
        <v>347</v>
      </c>
      <c r="BW2" s="46" t="s">
        <v>207</v>
      </c>
      <c r="BX2" s="46" t="s">
        <v>348</v>
      </c>
      <c r="BY2" s="46" t="s">
        <v>351</v>
      </c>
      <c r="BZ2" s="46" t="s">
        <v>194</v>
      </c>
      <c r="CA2" s="46" t="s">
        <v>359</v>
      </c>
      <c r="CB2" s="46" t="s">
        <v>205</v>
      </c>
      <c r="CC2" s="46" t="s">
        <v>347</v>
      </c>
      <c r="CD2" s="46" t="s">
        <v>207</v>
      </c>
      <c r="CE2" s="46" t="s">
        <v>348</v>
      </c>
      <c r="CF2" s="46" t="s">
        <v>351</v>
      </c>
      <c r="CG2" s="46" t="s">
        <v>194</v>
      </c>
      <c r="CH2" s="46" t="s">
        <v>359</v>
      </c>
      <c r="CI2" s="46" t="s">
        <v>205</v>
      </c>
      <c r="CJ2" s="46" t="s">
        <v>347</v>
      </c>
      <c r="CK2" s="46" t="s">
        <v>207</v>
      </c>
      <c r="CL2" s="46" t="s">
        <v>348</v>
      </c>
      <c r="CM2" s="46" t="s">
        <v>351</v>
      </c>
      <c r="CN2" s="46" t="s">
        <v>194</v>
      </c>
      <c r="CO2" s="46" t="s">
        <v>359</v>
      </c>
      <c r="CP2" s="46" t="s">
        <v>205</v>
      </c>
      <c r="CQ2" s="46" t="s">
        <v>347</v>
      </c>
      <c r="CR2" s="46" t="s">
        <v>207</v>
      </c>
      <c r="CS2" s="46" t="s">
        <v>348</v>
      </c>
      <c r="CT2" s="46" t="s">
        <v>351</v>
      </c>
      <c r="CU2" s="46" t="s">
        <v>194</v>
      </c>
      <c r="CV2" s="46" t="s">
        <v>359</v>
      </c>
      <c r="CW2" s="46" t="s">
        <v>205</v>
      </c>
      <c r="CX2" s="46" t="s">
        <v>347</v>
      </c>
      <c r="CY2" s="46" t="s">
        <v>207</v>
      </c>
      <c r="CZ2" s="46" t="s">
        <v>348</v>
      </c>
      <c r="DA2" s="46" t="s">
        <v>351</v>
      </c>
      <c r="DB2" s="46" t="s">
        <v>194</v>
      </c>
      <c r="DC2" s="46" t="s">
        <v>359</v>
      </c>
      <c r="DD2" s="46" t="s">
        <v>205</v>
      </c>
      <c r="DE2" s="46" t="s">
        <v>347</v>
      </c>
      <c r="DF2" s="46" t="s">
        <v>207</v>
      </c>
      <c r="DG2" s="46" t="s">
        <v>348</v>
      </c>
      <c r="DH2" s="46" t="s">
        <v>351</v>
      </c>
    </row>
    <row r="3" spans="1:112">
      <c r="A3" s="46">
        <v>7</v>
      </c>
      <c r="B3" s="46">
        <v>83</v>
      </c>
      <c r="C3" s="46">
        <v>92</v>
      </c>
      <c r="D3" s="46">
        <v>30</v>
      </c>
      <c r="E3" s="44">
        <v>0</v>
      </c>
      <c r="F3" s="44">
        <v>1</v>
      </c>
      <c r="G3" s="46">
        <v>127</v>
      </c>
      <c r="H3" s="47">
        <f>B3*VLOOKUP(A3,$T$2:$U$21,2)/C6*(1-(D6/100))*(1-E6)*F3</f>
        <v>21.127272727272725</v>
      </c>
      <c r="I3" s="48">
        <f>H3*0.4</f>
        <v>8.4509090909090911</v>
      </c>
      <c r="J3" s="49">
        <f>H3*0.2</f>
        <v>4.2254545454545456</v>
      </c>
      <c r="L3" s="109">
        <v>0</v>
      </c>
      <c r="M3" s="103">
        <f>F3</f>
        <v>1</v>
      </c>
      <c r="N3" s="105">
        <f>G3</f>
        <v>127</v>
      </c>
      <c r="P3" s="109">
        <v>0</v>
      </c>
      <c r="Q3" s="103">
        <f>F6</f>
        <v>1</v>
      </c>
      <c r="R3" s="105">
        <f>G6</f>
        <v>107</v>
      </c>
      <c r="T3" s="46">
        <v>-4</v>
      </c>
      <c r="U3" s="46">
        <v>2</v>
      </c>
      <c r="W3" s="46" t="s">
        <v>211</v>
      </c>
      <c r="X3" s="46" t="s">
        <v>339</v>
      </c>
      <c r="Y3" s="46">
        <v>0</v>
      </c>
      <c r="Z3" s="46">
        <v>0</v>
      </c>
      <c r="AA3" s="46">
        <v>0</v>
      </c>
      <c r="AB3" s="46">
        <v>0</v>
      </c>
      <c r="AC3" s="46">
        <v>30</v>
      </c>
      <c r="AD3" s="46">
        <v>0</v>
      </c>
      <c r="AE3" s="83">
        <v>0</v>
      </c>
      <c r="AF3" s="88">
        <v>0</v>
      </c>
      <c r="AG3" s="83">
        <v>0</v>
      </c>
      <c r="AH3" s="83">
        <v>0</v>
      </c>
      <c r="AI3" s="85">
        <v>0</v>
      </c>
      <c r="AJ3" s="84">
        <v>1</v>
      </c>
      <c r="AK3" s="84">
        <v>0</v>
      </c>
      <c r="AL3" s="84">
        <v>1</v>
      </c>
      <c r="AM3" s="84">
        <v>6</v>
      </c>
      <c r="AN3" s="83">
        <v>0</v>
      </c>
      <c r="AO3" s="84">
        <v>20</v>
      </c>
      <c r="AP3" s="84">
        <v>90</v>
      </c>
      <c r="AQ3" s="84">
        <v>3</v>
      </c>
      <c r="AR3" s="84">
        <v>0</v>
      </c>
      <c r="AS3" s="84">
        <v>2</v>
      </c>
      <c r="AT3" s="84">
        <v>6</v>
      </c>
      <c r="AU3" s="83">
        <v>0.1</v>
      </c>
      <c r="AV3" s="84">
        <v>25</v>
      </c>
      <c r="AW3" s="84">
        <v>180</v>
      </c>
      <c r="AX3" s="84">
        <v>6</v>
      </c>
      <c r="AY3" s="84">
        <v>0</v>
      </c>
      <c r="AZ3" s="84">
        <v>3</v>
      </c>
      <c r="BA3" s="84">
        <v>6</v>
      </c>
      <c r="BB3" s="83">
        <v>0</v>
      </c>
      <c r="BC3" s="84">
        <v>30</v>
      </c>
      <c r="BD3" s="84">
        <v>360</v>
      </c>
      <c r="BE3" s="46">
        <v>1</v>
      </c>
      <c r="BF3" s="84">
        <v>0</v>
      </c>
      <c r="BG3" s="46">
        <v>5</v>
      </c>
      <c r="BH3" s="46">
        <v>16</v>
      </c>
      <c r="BI3" s="83">
        <v>0</v>
      </c>
      <c r="BJ3" s="46">
        <v>40</v>
      </c>
      <c r="BK3" s="46">
        <v>90</v>
      </c>
      <c r="BL3" s="84">
        <v>4</v>
      </c>
      <c r="BM3" s="84">
        <v>0</v>
      </c>
      <c r="BN3" s="84">
        <v>6</v>
      </c>
      <c r="BO3" s="84">
        <v>17</v>
      </c>
      <c r="BP3" s="83">
        <v>0.25</v>
      </c>
      <c r="BQ3" s="84">
        <v>60</v>
      </c>
      <c r="BR3" s="84">
        <v>360</v>
      </c>
      <c r="BS3" s="84">
        <v>12</v>
      </c>
      <c r="BT3" s="84">
        <v>0</v>
      </c>
      <c r="BU3" s="84">
        <v>12</v>
      </c>
      <c r="BV3" s="84">
        <v>20</v>
      </c>
      <c r="BW3" s="83">
        <v>0</v>
      </c>
      <c r="BX3" s="84">
        <v>50</v>
      </c>
      <c r="BY3" s="84">
        <v>360</v>
      </c>
      <c r="BZ3" s="84">
        <v>20</v>
      </c>
      <c r="CA3" s="84">
        <v>0</v>
      </c>
      <c r="CB3" s="84">
        <v>10</v>
      </c>
      <c r="CC3" s="84">
        <v>8</v>
      </c>
      <c r="CD3" s="83">
        <v>0</v>
      </c>
      <c r="CE3" s="84">
        <v>60</v>
      </c>
      <c r="CF3" s="84">
        <v>360</v>
      </c>
      <c r="CG3" s="84">
        <v>30</v>
      </c>
      <c r="CH3" s="84">
        <v>2</v>
      </c>
      <c r="CI3" s="84">
        <v>50</v>
      </c>
      <c r="CJ3" s="84">
        <v>27</v>
      </c>
      <c r="CK3" s="83">
        <v>0.3</v>
      </c>
      <c r="CL3" s="84">
        <v>65</v>
      </c>
      <c r="CM3" s="84">
        <v>240</v>
      </c>
      <c r="CN3" s="84">
        <v>50</v>
      </c>
      <c r="CO3" s="84">
        <v>0</v>
      </c>
      <c r="CP3" s="84">
        <v>70</v>
      </c>
      <c r="CQ3" s="84">
        <v>26</v>
      </c>
      <c r="CR3" s="83">
        <v>0</v>
      </c>
      <c r="CS3" s="84">
        <v>75</v>
      </c>
      <c r="CT3" s="84">
        <v>360</v>
      </c>
      <c r="CU3" s="84">
        <v>14</v>
      </c>
      <c r="CV3" s="84">
        <v>8</v>
      </c>
      <c r="CW3" s="84">
        <v>30</v>
      </c>
      <c r="CX3" s="84">
        <v>5</v>
      </c>
      <c r="CY3" s="83">
        <v>0.6</v>
      </c>
      <c r="CZ3" s="84">
        <v>70</v>
      </c>
      <c r="DA3" s="84">
        <v>240</v>
      </c>
      <c r="DB3" s="84">
        <v>60</v>
      </c>
      <c r="DC3" s="84">
        <v>0</v>
      </c>
      <c r="DD3" s="84">
        <v>80</v>
      </c>
      <c r="DE3" s="84">
        <v>31</v>
      </c>
      <c r="DF3" s="83">
        <v>0</v>
      </c>
      <c r="DG3" s="84">
        <v>80</v>
      </c>
      <c r="DH3" s="84">
        <v>360</v>
      </c>
    </row>
    <row r="4" spans="1:112">
      <c r="A4" s="108" t="s">
        <v>199</v>
      </c>
      <c r="B4" s="108"/>
      <c r="C4" s="108"/>
      <c r="D4" s="108"/>
      <c r="E4" s="108"/>
      <c r="F4" s="108"/>
      <c r="G4" s="108"/>
      <c r="H4" s="108"/>
      <c r="I4" s="108"/>
      <c r="J4" s="108"/>
      <c r="L4" s="109">
        <v>1</v>
      </c>
      <c r="M4" s="103">
        <f>MAX(0,IF(R3&gt;0,M3-($J$6*Q3*IF(N3&gt;0,1,2)/100),M3))</f>
        <v>0.97260869565217389</v>
      </c>
      <c r="N4" s="106">
        <f>MAX(0,IF(R3&gt;0,N3-($I$6*Q3),N3))</f>
        <v>121.52173913043478</v>
      </c>
      <c r="P4" s="109">
        <v>1</v>
      </c>
      <c r="Q4" s="103">
        <f>MAX(0,IF(N3&gt;0,Q3-($J$3*M3*IF(R3&gt;0,1,2)/100),Q3))</f>
        <v>0.95774545454545457</v>
      </c>
      <c r="R4" s="106">
        <f>MAX(0,IF(N3&gt;0,R3-($I$3*M3),R3))</f>
        <v>98.549090909090907</v>
      </c>
      <c r="T4" s="46">
        <v>-3</v>
      </c>
      <c r="U4" s="46">
        <v>2</v>
      </c>
      <c r="W4" s="46" t="s">
        <v>212</v>
      </c>
      <c r="X4" s="46">
        <v>0</v>
      </c>
      <c r="Y4" s="46">
        <v>0</v>
      </c>
      <c r="Z4" s="46">
        <v>0</v>
      </c>
      <c r="AA4" s="46">
        <v>0</v>
      </c>
      <c r="AB4" s="46">
        <v>0</v>
      </c>
      <c r="AC4" s="46">
        <v>0</v>
      </c>
      <c r="AD4" s="46">
        <v>0</v>
      </c>
      <c r="AE4" s="83">
        <v>0</v>
      </c>
      <c r="AF4" s="88">
        <v>0</v>
      </c>
      <c r="AG4" s="83">
        <v>0</v>
      </c>
      <c r="AH4" s="83">
        <v>0</v>
      </c>
      <c r="AI4" s="85">
        <v>0</v>
      </c>
      <c r="AJ4" s="84">
        <v>0</v>
      </c>
      <c r="AK4" s="84">
        <v>0</v>
      </c>
      <c r="AL4" s="84">
        <v>0</v>
      </c>
      <c r="AM4" s="84">
        <v>0</v>
      </c>
      <c r="AN4" s="83">
        <v>0</v>
      </c>
      <c r="AO4" s="84">
        <v>0</v>
      </c>
      <c r="AP4" s="84">
        <v>0</v>
      </c>
      <c r="AQ4" s="84">
        <v>0</v>
      </c>
      <c r="AR4" s="84">
        <v>0</v>
      </c>
      <c r="AS4" s="84">
        <v>0</v>
      </c>
      <c r="AT4" s="84">
        <v>0</v>
      </c>
      <c r="AU4" s="83">
        <v>0</v>
      </c>
      <c r="AV4" s="84">
        <v>0</v>
      </c>
      <c r="AW4" s="84">
        <v>0</v>
      </c>
      <c r="AX4" s="84">
        <v>0</v>
      </c>
      <c r="AY4" s="84">
        <v>0</v>
      </c>
      <c r="AZ4" s="84">
        <v>0</v>
      </c>
      <c r="BA4" s="84">
        <v>0</v>
      </c>
      <c r="BB4" s="83">
        <v>0</v>
      </c>
      <c r="BC4" s="84">
        <v>0</v>
      </c>
      <c r="BD4" s="84">
        <v>0</v>
      </c>
      <c r="BE4" s="46">
        <v>0</v>
      </c>
      <c r="BF4" s="84">
        <v>0</v>
      </c>
      <c r="BG4" s="46">
        <v>0</v>
      </c>
      <c r="BH4" s="46">
        <v>0</v>
      </c>
      <c r="BI4" s="83">
        <v>0</v>
      </c>
      <c r="BJ4" s="46">
        <v>0</v>
      </c>
      <c r="BK4" s="46">
        <v>0</v>
      </c>
      <c r="BL4" s="84">
        <v>0</v>
      </c>
      <c r="BM4" s="84">
        <v>0</v>
      </c>
      <c r="BN4" s="84">
        <v>0</v>
      </c>
      <c r="BO4" s="84">
        <v>0</v>
      </c>
      <c r="BP4" s="83">
        <v>0</v>
      </c>
      <c r="BQ4" s="84">
        <v>0</v>
      </c>
      <c r="BR4" s="84">
        <v>0</v>
      </c>
      <c r="BS4" s="84">
        <v>0</v>
      </c>
      <c r="BT4" s="84">
        <v>0</v>
      </c>
      <c r="BU4" s="84">
        <v>0</v>
      </c>
      <c r="BV4" s="84">
        <v>0</v>
      </c>
      <c r="BW4" s="83">
        <v>0</v>
      </c>
      <c r="BX4" s="84">
        <v>0</v>
      </c>
      <c r="BY4" s="84">
        <v>0</v>
      </c>
      <c r="BZ4" s="84">
        <v>0</v>
      </c>
      <c r="CA4" s="84">
        <v>0</v>
      </c>
      <c r="CB4" s="84">
        <v>0</v>
      </c>
      <c r="CC4" s="84">
        <v>0</v>
      </c>
      <c r="CD4" s="83">
        <v>0</v>
      </c>
      <c r="CE4" s="84">
        <v>0</v>
      </c>
      <c r="CF4" s="84">
        <v>0</v>
      </c>
      <c r="CG4" s="84">
        <v>0</v>
      </c>
      <c r="CH4" s="84">
        <v>0</v>
      </c>
      <c r="CI4" s="84">
        <v>0</v>
      </c>
      <c r="CJ4" s="84">
        <v>0</v>
      </c>
      <c r="CK4" s="83">
        <v>0</v>
      </c>
      <c r="CL4" s="84">
        <v>0</v>
      </c>
      <c r="CM4" s="84">
        <v>0</v>
      </c>
      <c r="CN4" s="84">
        <v>0</v>
      </c>
      <c r="CO4" s="84">
        <v>0</v>
      </c>
      <c r="CP4" s="84">
        <v>0</v>
      </c>
      <c r="CQ4" s="84">
        <v>0</v>
      </c>
      <c r="CR4" s="83">
        <v>0</v>
      </c>
      <c r="CS4" s="84">
        <v>0</v>
      </c>
      <c r="CT4" s="84">
        <v>0</v>
      </c>
      <c r="CU4" s="84">
        <v>0</v>
      </c>
      <c r="CV4" s="84">
        <v>0</v>
      </c>
      <c r="CW4" s="84">
        <v>0</v>
      </c>
      <c r="CX4" s="84">
        <v>0</v>
      </c>
      <c r="CY4" s="83">
        <v>0</v>
      </c>
      <c r="CZ4" s="84">
        <v>0</v>
      </c>
      <c r="DA4" s="84">
        <v>0</v>
      </c>
      <c r="DB4" s="84">
        <v>0</v>
      </c>
      <c r="DC4" s="84">
        <v>0</v>
      </c>
      <c r="DD4" s="84">
        <v>0</v>
      </c>
      <c r="DE4" s="84">
        <v>0</v>
      </c>
      <c r="DF4" s="83">
        <v>0</v>
      </c>
      <c r="DG4" s="84">
        <v>0</v>
      </c>
      <c r="DH4" s="84">
        <v>0</v>
      </c>
    </row>
    <row r="5" spans="1:112">
      <c r="A5" s="46" t="s">
        <v>204</v>
      </c>
      <c r="B5" s="46" t="s">
        <v>194</v>
      </c>
      <c r="C5" s="46" t="s">
        <v>205</v>
      </c>
      <c r="D5" s="46" t="s">
        <v>206</v>
      </c>
      <c r="E5" s="46" t="s">
        <v>207</v>
      </c>
      <c r="F5" s="46" t="s">
        <v>208</v>
      </c>
      <c r="G5" s="46" t="s">
        <v>370</v>
      </c>
      <c r="H5" s="46" t="s">
        <v>194</v>
      </c>
      <c r="I5" s="46" t="s">
        <v>209</v>
      </c>
      <c r="J5" s="46" t="s">
        <v>210</v>
      </c>
      <c r="L5" s="109">
        <v>2</v>
      </c>
      <c r="M5" s="103">
        <f t="shared" ref="M5:M23" si="0">MAX(0,IF(R4&gt;0,M4-($J$6*Q4*IF(N4&gt;0,1,2)/100),M4))</f>
        <v>0.94637479841897232</v>
      </c>
      <c r="N5" s="106">
        <f t="shared" ref="N5:N23" si="1">MAX(0,IF(R4&gt;0,N4-($I$6*Q4),N4))</f>
        <v>116.27495968379446</v>
      </c>
      <c r="P5" s="109">
        <v>2</v>
      </c>
      <c r="Q5" s="103">
        <f t="shared" ref="Q5:Q23" si="2">MAX(0,IF(N4&gt;0,Q4-($J$3*M4*IF(R4&gt;0,1,2)/100),Q4))</f>
        <v>0.91664831620553366</v>
      </c>
      <c r="R5" s="106">
        <f t="shared" ref="R5:R23" si="3">MAX(0,IF(N4&gt;0,R4-($I$3*M4),R4))</f>
        <v>90.329663241106715</v>
      </c>
      <c r="T5" s="46">
        <v>-2</v>
      </c>
      <c r="U5" s="46">
        <v>2</v>
      </c>
      <c r="W5" s="46" t="s">
        <v>213</v>
      </c>
      <c r="X5" s="46" t="s">
        <v>354</v>
      </c>
      <c r="Y5" s="46">
        <v>0</v>
      </c>
      <c r="Z5" s="46">
        <v>0</v>
      </c>
      <c r="AA5" s="46">
        <v>1</v>
      </c>
      <c r="AB5" s="46">
        <v>0</v>
      </c>
      <c r="AC5" s="46">
        <v>0</v>
      </c>
      <c r="AD5" s="46">
        <v>0</v>
      </c>
      <c r="AE5" s="83">
        <v>0</v>
      </c>
      <c r="AF5" s="88">
        <v>0</v>
      </c>
      <c r="AG5" s="83">
        <v>0.2</v>
      </c>
      <c r="AH5" s="83">
        <v>0.2</v>
      </c>
      <c r="AI5" s="85">
        <v>10</v>
      </c>
      <c r="AJ5" s="85">
        <v>0</v>
      </c>
      <c r="AK5" s="85">
        <v>0</v>
      </c>
      <c r="AL5" s="85">
        <v>0</v>
      </c>
      <c r="AM5" s="84">
        <v>12</v>
      </c>
      <c r="AN5" s="83">
        <v>0</v>
      </c>
      <c r="AO5" s="84">
        <v>20</v>
      </c>
      <c r="AP5" s="84">
        <v>0</v>
      </c>
      <c r="AQ5" s="84">
        <v>1</v>
      </c>
      <c r="AR5" s="85">
        <v>0</v>
      </c>
      <c r="AS5" s="84">
        <v>1</v>
      </c>
      <c r="AT5" s="84">
        <v>12</v>
      </c>
      <c r="AU5" s="83">
        <v>0.15</v>
      </c>
      <c r="AV5" s="84">
        <v>25</v>
      </c>
      <c r="AW5" s="84">
        <v>0</v>
      </c>
      <c r="AX5" s="84">
        <v>2</v>
      </c>
      <c r="AY5" s="85">
        <v>0</v>
      </c>
      <c r="AZ5" s="84">
        <v>1</v>
      </c>
      <c r="BA5" s="84">
        <v>10</v>
      </c>
      <c r="BB5" s="83">
        <v>0</v>
      </c>
      <c r="BC5" s="84">
        <v>30</v>
      </c>
      <c r="BD5" s="84">
        <v>0</v>
      </c>
      <c r="BE5" s="46">
        <v>0</v>
      </c>
      <c r="BF5" s="85">
        <v>0</v>
      </c>
      <c r="BG5" s="46">
        <v>0</v>
      </c>
      <c r="BH5" s="46">
        <v>0</v>
      </c>
      <c r="BI5" s="83">
        <v>0</v>
      </c>
      <c r="BJ5" s="46">
        <v>0</v>
      </c>
      <c r="BK5" s="46">
        <v>0</v>
      </c>
      <c r="BL5" s="84">
        <v>0</v>
      </c>
      <c r="BM5" s="85">
        <v>0</v>
      </c>
      <c r="BN5" s="84">
        <v>0</v>
      </c>
      <c r="BO5" s="84">
        <v>0</v>
      </c>
      <c r="BP5" s="83">
        <v>0</v>
      </c>
      <c r="BQ5" s="84">
        <v>0</v>
      </c>
      <c r="BR5" s="84">
        <v>0</v>
      </c>
      <c r="BS5" s="84">
        <v>0</v>
      </c>
      <c r="BT5" s="85">
        <v>0</v>
      </c>
      <c r="BU5" s="84">
        <v>0</v>
      </c>
      <c r="BV5" s="84">
        <v>0</v>
      </c>
      <c r="BW5" s="83">
        <v>0</v>
      </c>
      <c r="BX5" s="84">
        <v>0</v>
      </c>
      <c r="BY5" s="84">
        <v>0</v>
      </c>
      <c r="BZ5" s="84">
        <v>0</v>
      </c>
      <c r="CA5" s="85">
        <v>0</v>
      </c>
      <c r="CB5" s="84">
        <v>0</v>
      </c>
      <c r="CC5" s="84">
        <v>0</v>
      </c>
      <c r="CD5" s="83">
        <v>0</v>
      </c>
      <c r="CE5" s="84">
        <v>0</v>
      </c>
      <c r="CF5" s="84">
        <v>0</v>
      </c>
      <c r="CG5" s="84">
        <v>0</v>
      </c>
      <c r="CH5" s="85">
        <v>0</v>
      </c>
      <c r="CI5" s="84">
        <v>0</v>
      </c>
      <c r="CJ5" s="84">
        <v>0</v>
      </c>
      <c r="CK5" s="83">
        <v>0</v>
      </c>
      <c r="CL5" s="84">
        <v>0</v>
      </c>
      <c r="CM5" s="84">
        <v>0</v>
      </c>
      <c r="CN5" s="84">
        <v>0</v>
      </c>
      <c r="CO5" s="85">
        <v>0</v>
      </c>
      <c r="CP5" s="84">
        <v>0</v>
      </c>
      <c r="CQ5" s="84">
        <v>0</v>
      </c>
      <c r="CR5" s="83">
        <v>0</v>
      </c>
      <c r="CS5" s="84">
        <v>0</v>
      </c>
      <c r="CT5" s="84">
        <v>0</v>
      </c>
      <c r="CU5" s="84">
        <v>0</v>
      </c>
      <c r="CV5" s="85">
        <v>0</v>
      </c>
      <c r="CW5" s="84">
        <v>0</v>
      </c>
      <c r="CX5" s="84">
        <v>0</v>
      </c>
      <c r="CY5" s="83">
        <v>0</v>
      </c>
      <c r="CZ5" s="84">
        <v>0</v>
      </c>
      <c r="DA5" s="84">
        <v>0</v>
      </c>
      <c r="DB5" s="84">
        <v>0</v>
      </c>
      <c r="DC5" s="85">
        <v>0</v>
      </c>
      <c r="DD5" s="84">
        <v>0</v>
      </c>
      <c r="DE5" s="84">
        <v>0</v>
      </c>
      <c r="DF5" s="83">
        <v>0</v>
      </c>
      <c r="DG5" s="84">
        <v>0</v>
      </c>
      <c r="DH5" s="84">
        <v>0</v>
      </c>
    </row>
    <row r="6" spans="1:112">
      <c r="A6" s="46">
        <v>7</v>
      </c>
      <c r="B6" s="46">
        <v>60</v>
      </c>
      <c r="C6" s="46">
        <v>33</v>
      </c>
      <c r="D6" s="46">
        <v>30</v>
      </c>
      <c r="E6" s="44">
        <v>0.6</v>
      </c>
      <c r="F6" s="44">
        <v>1</v>
      </c>
      <c r="G6" s="46">
        <v>107</v>
      </c>
      <c r="H6" s="47">
        <f>B6*VLOOKUP(A6,$T$2:$U$21,2)/C3*(1-(D3/100))*(1-E3)*F6</f>
        <v>13.695652173913043</v>
      </c>
      <c r="I6" s="48">
        <f>H6*0.4</f>
        <v>5.4782608695652177</v>
      </c>
      <c r="J6" s="49">
        <f>H6*0.2</f>
        <v>2.7391304347826089</v>
      </c>
      <c r="L6" s="109">
        <v>3</v>
      </c>
      <c r="M6" s="103">
        <f t="shared" si="0"/>
        <v>0.92126660540986427</v>
      </c>
      <c r="N6" s="106">
        <f t="shared" si="1"/>
        <v>111.25332108197284</v>
      </c>
      <c r="P6" s="109">
        <v>3</v>
      </c>
      <c r="Q6" s="103">
        <f t="shared" si="2"/>
        <v>0.87665967926870292</v>
      </c>
      <c r="R6" s="106">
        <f t="shared" si="3"/>
        <v>82.331935853740561</v>
      </c>
      <c r="T6" s="46">
        <v>-1</v>
      </c>
      <c r="U6" s="46">
        <v>4</v>
      </c>
      <c r="W6" s="46" t="s">
        <v>214</v>
      </c>
      <c r="X6" s="46">
        <v>0</v>
      </c>
      <c r="Y6" s="46">
        <v>0</v>
      </c>
      <c r="Z6" s="46">
        <v>0</v>
      </c>
      <c r="AA6" s="46">
        <v>0</v>
      </c>
      <c r="AB6" s="46">
        <v>0</v>
      </c>
      <c r="AC6" s="46">
        <v>10</v>
      </c>
      <c r="AD6" s="46">
        <v>-10</v>
      </c>
      <c r="AE6" s="83">
        <v>0.5</v>
      </c>
      <c r="AF6" s="88">
        <v>0</v>
      </c>
      <c r="AG6" s="83">
        <v>-0.2</v>
      </c>
      <c r="AH6" s="83">
        <v>-0.2</v>
      </c>
      <c r="AI6" s="85">
        <v>-10</v>
      </c>
      <c r="AJ6" s="84">
        <v>0</v>
      </c>
      <c r="AK6" s="84">
        <v>0</v>
      </c>
      <c r="AL6" s="84">
        <v>0</v>
      </c>
      <c r="AM6" s="84">
        <v>0</v>
      </c>
      <c r="AN6" s="83">
        <v>0</v>
      </c>
      <c r="AO6" s="84">
        <v>0</v>
      </c>
      <c r="AP6" s="84">
        <v>0</v>
      </c>
      <c r="AQ6" s="84">
        <v>0</v>
      </c>
      <c r="AR6" s="84">
        <v>0</v>
      </c>
      <c r="AS6" s="84">
        <v>0</v>
      </c>
      <c r="AT6" s="84">
        <v>0</v>
      </c>
      <c r="AU6" s="83">
        <v>0</v>
      </c>
      <c r="AV6" s="84">
        <v>0</v>
      </c>
      <c r="AW6" s="84">
        <v>0</v>
      </c>
      <c r="AX6" s="84">
        <v>0</v>
      </c>
      <c r="AY6" s="84">
        <v>0</v>
      </c>
      <c r="AZ6" s="84">
        <v>0</v>
      </c>
      <c r="BA6" s="84">
        <v>0</v>
      </c>
      <c r="BB6" s="83">
        <v>0</v>
      </c>
      <c r="BC6" s="84">
        <v>0</v>
      </c>
      <c r="BD6" s="84">
        <v>0</v>
      </c>
      <c r="BE6" s="46">
        <v>0</v>
      </c>
      <c r="BF6" s="84">
        <v>0</v>
      </c>
      <c r="BG6" s="46">
        <v>0</v>
      </c>
      <c r="BH6" s="46">
        <v>0</v>
      </c>
      <c r="BI6" s="83">
        <v>0</v>
      </c>
      <c r="BJ6" s="46">
        <v>0</v>
      </c>
      <c r="BK6" s="46">
        <v>0</v>
      </c>
      <c r="BL6" s="84">
        <v>0</v>
      </c>
      <c r="BM6" s="84">
        <v>0</v>
      </c>
      <c r="BN6" s="84">
        <v>0</v>
      </c>
      <c r="BO6" s="84">
        <v>0</v>
      </c>
      <c r="BP6" s="83">
        <v>0</v>
      </c>
      <c r="BQ6" s="84">
        <v>0</v>
      </c>
      <c r="BR6" s="84">
        <v>0</v>
      </c>
      <c r="BS6" s="84">
        <v>0</v>
      </c>
      <c r="BT6" s="84">
        <v>0</v>
      </c>
      <c r="BU6" s="84">
        <v>0</v>
      </c>
      <c r="BV6" s="84">
        <v>0</v>
      </c>
      <c r="BW6" s="83">
        <v>0</v>
      </c>
      <c r="BX6" s="84">
        <v>0</v>
      </c>
      <c r="BY6" s="84">
        <v>0</v>
      </c>
      <c r="BZ6" s="84">
        <v>0</v>
      </c>
      <c r="CA6" s="84">
        <v>0</v>
      </c>
      <c r="CB6" s="84">
        <v>0</v>
      </c>
      <c r="CC6" s="84">
        <v>0</v>
      </c>
      <c r="CD6" s="83">
        <v>0</v>
      </c>
      <c r="CE6" s="84">
        <v>0</v>
      </c>
      <c r="CF6" s="84">
        <v>0</v>
      </c>
      <c r="CG6" s="84">
        <v>0</v>
      </c>
      <c r="CH6" s="84">
        <v>0</v>
      </c>
      <c r="CI6" s="84">
        <v>0</v>
      </c>
      <c r="CJ6" s="84">
        <v>0</v>
      </c>
      <c r="CK6" s="83">
        <v>0</v>
      </c>
      <c r="CL6" s="84">
        <v>0</v>
      </c>
      <c r="CM6" s="84">
        <v>0</v>
      </c>
      <c r="CN6" s="84">
        <v>0</v>
      </c>
      <c r="CO6" s="84">
        <v>0</v>
      </c>
      <c r="CP6" s="84">
        <v>0</v>
      </c>
      <c r="CQ6" s="84">
        <v>0</v>
      </c>
      <c r="CR6" s="83">
        <v>0</v>
      </c>
      <c r="CS6" s="84">
        <v>0</v>
      </c>
      <c r="CT6" s="84">
        <v>0</v>
      </c>
      <c r="CU6" s="84">
        <v>0</v>
      </c>
      <c r="CV6" s="84">
        <v>0</v>
      </c>
      <c r="CW6" s="84">
        <v>0</v>
      </c>
      <c r="CX6" s="84">
        <v>0</v>
      </c>
      <c r="CY6" s="83">
        <v>0</v>
      </c>
      <c r="CZ6" s="84">
        <v>0</v>
      </c>
      <c r="DA6" s="84">
        <v>0</v>
      </c>
      <c r="DB6" s="84">
        <v>0</v>
      </c>
      <c r="DC6" s="84">
        <v>0</v>
      </c>
      <c r="DD6" s="84">
        <v>0</v>
      </c>
      <c r="DE6" s="84">
        <v>0</v>
      </c>
      <c r="DF6" s="83">
        <v>0</v>
      </c>
      <c r="DG6" s="84">
        <v>0</v>
      </c>
      <c r="DH6" s="84">
        <v>0</v>
      </c>
    </row>
    <row r="7" spans="1:112">
      <c r="L7" s="109">
        <v>4</v>
      </c>
      <c r="M7" s="103">
        <f t="shared" si="0"/>
        <v>0.89725375332554758</v>
      </c>
      <c r="N7" s="106">
        <f t="shared" si="1"/>
        <v>106.45075066510951</v>
      </c>
      <c r="P7" s="109">
        <v>4</v>
      </c>
      <c r="Q7" s="103">
        <f t="shared" si="2"/>
        <v>0.83773197761465701</v>
      </c>
      <c r="R7" s="106">
        <f t="shared" si="3"/>
        <v>74.546395522931377</v>
      </c>
      <c r="T7" s="46">
        <v>0</v>
      </c>
      <c r="U7" s="46">
        <v>6</v>
      </c>
      <c r="W7" s="46" t="s">
        <v>294</v>
      </c>
      <c r="X7" s="46">
        <v>0</v>
      </c>
      <c r="Y7" s="46">
        <v>2</v>
      </c>
      <c r="Z7" s="46">
        <v>0</v>
      </c>
      <c r="AA7" s="46">
        <v>1</v>
      </c>
      <c r="AB7" s="46">
        <v>1</v>
      </c>
      <c r="AC7" s="46">
        <v>16</v>
      </c>
      <c r="AD7" s="46">
        <v>-10</v>
      </c>
      <c r="AE7" s="83">
        <v>0.5</v>
      </c>
      <c r="AF7" s="88">
        <v>-2.5000000000000001E-2</v>
      </c>
      <c r="AG7" s="83">
        <v>0</v>
      </c>
      <c r="AH7" s="83">
        <v>0</v>
      </c>
      <c r="AI7" s="85">
        <v>0</v>
      </c>
      <c r="AJ7" s="84">
        <v>-2</v>
      </c>
      <c r="AK7" s="84">
        <v>0</v>
      </c>
      <c r="AL7" s="84">
        <v>0</v>
      </c>
      <c r="AM7" s="84">
        <v>0</v>
      </c>
      <c r="AN7" s="83">
        <v>0</v>
      </c>
      <c r="AO7" s="84">
        <v>0</v>
      </c>
      <c r="AP7" s="84">
        <v>0</v>
      </c>
      <c r="AQ7" s="84">
        <v>0</v>
      </c>
      <c r="AR7" s="84">
        <v>0</v>
      </c>
      <c r="AS7" s="84">
        <v>0</v>
      </c>
      <c r="AT7" s="84">
        <v>0</v>
      </c>
      <c r="AU7" s="83">
        <v>0</v>
      </c>
      <c r="AV7" s="84">
        <v>0</v>
      </c>
      <c r="AW7" s="84">
        <v>0</v>
      </c>
      <c r="AX7" s="84">
        <v>0</v>
      </c>
      <c r="AY7" s="84">
        <v>0</v>
      </c>
      <c r="AZ7" s="84">
        <v>0</v>
      </c>
      <c r="BA7" s="84">
        <v>0</v>
      </c>
      <c r="BB7" s="83">
        <v>0</v>
      </c>
      <c r="BC7" s="84">
        <v>0</v>
      </c>
      <c r="BD7" s="84">
        <v>0</v>
      </c>
      <c r="BE7" s="46">
        <v>-2</v>
      </c>
      <c r="BF7" s="84">
        <v>0</v>
      </c>
      <c r="BG7" s="46">
        <v>0</v>
      </c>
      <c r="BH7" s="46">
        <v>0</v>
      </c>
      <c r="BI7" s="83">
        <v>0</v>
      </c>
      <c r="BJ7" s="46">
        <v>0</v>
      </c>
      <c r="BK7" s="46">
        <v>0</v>
      </c>
      <c r="BL7" s="84">
        <v>0</v>
      </c>
      <c r="BM7" s="84">
        <v>0</v>
      </c>
      <c r="BN7" s="84">
        <v>0</v>
      </c>
      <c r="BO7" s="84">
        <v>0</v>
      </c>
      <c r="BP7" s="83">
        <v>0</v>
      </c>
      <c r="BQ7" s="84">
        <v>0</v>
      </c>
      <c r="BR7" s="84">
        <v>0</v>
      </c>
      <c r="BS7" s="84">
        <v>0</v>
      </c>
      <c r="BT7" s="84">
        <v>0</v>
      </c>
      <c r="BU7" s="84">
        <v>0</v>
      </c>
      <c r="BV7" s="84">
        <v>0</v>
      </c>
      <c r="BW7" s="83">
        <v>0</v>
      </c>
      <c r="BX7" s="84">
        <v>0</v>
      </c>
      <c r="BY7" s="84">
        <v>0</v>
      </c>
      <c r="BZ7" s="84">
        <v>0</v>
      </c>
      <c r="CA7" s="84">
        <v>0</v>
      </c>
      <c r="CB7" s="84">
        <v>0</v>
      </c>
      <c r="CC7" s="84">
        <v>0</v>
      </c>
      <c r="CD7" s="83">
        <v>0</v>
      </c>
      <c r="CE7" s="84">
        <v>0</v>
      </c>
      <c r="CF7" s="84">
        <v>0</v>
      </c>
      <c r="CG7" s="84">
        <v>0</v>
      </c>
      <c r="CH7" s="84">
        <v>0</v>
      </c>
      <c r="CI7" s="84">
        <v>0</v>
      </c>
      <c r="CJ7" s="84">
        <v>0</v>
      </c>
      <c r="CK7" s="83">
        <v>0</v>
      </c>
      <c r="CL7" s="84">
        <v>0</v>
      </c>
      <c r="CM7" s="84">
        <v>0</v>
      </c>
      <c r="CN7" s="84">
        <v>0</v>
      </c>
      <c r="CO7" s="84">
        <v>0</v>
      </c>
      <c r="CP7" s="84">
        <v>0</v>
      </c>
      <c r="CQ7" s="84">
        <v>0</v>
      </c>
      <c r="CR7" s="83">
        <v>0</v>
      </c>
      <c r="CS7" s="84">
        <v>0</v>
      </c>
      <c r="CT7" s="84">
        <v>0</v>
      </c>
      <c r="CU7" s="84">
        <v>0</v>
      </c>
      <c r="CV7" s="84">
        <v>0</v>
      </c>
      <c r="CW7" s="84">
        <v>0</v>
      </c>
      <c r="CX7" s="84">
        <v>0</v>
      </c>
      <c r="CY7" s="83">
        <v>0</v>
      </c>
      <c r="CZ7" s="84">
        <v>0</v>
      </c>
      <c r="DA7" s="84">
        <v>0</v>
      </c>
      <c r="DB7" s="84">
        <v>0</v>
      </c>
      <c r="DC7" s="84">
        <v>0</v>
      </c>
      <c r="DD7" s="84">
        <v>0</v>
      </c>
      <c r="DE7" s="84">
        <v>0</v>
      </c>
      <c r="DF7" s="83">
        <v>0</v>
      </c>
      <c r="DG7" s="84">
        <v>0</v>
      </c>
      <c r="DH7" s="84">
        <v>0</v>
      </c>
    </row>
    <row r="8" spans="1:112">
      <c r="L8" s="109">
        <v>5</v>
      </c>
      <c r="M8" s="103">
        <f t="shared" si="0"/>
        <v>0.87430718176479827</v>
      </c>
      <c r="N8" s="106">
        <f t="shared" si="1"/>
        <v>101.86143635295964</v>
      </c>
      <c r="P8" s="109">
        <v>5</v>
      </c>
      <c r="Q8" s="103">
        <f t="shared" si="2"/>
        <v>0.79981892811050115</v>
      </c>
      <c r="R8" s="106">
        <f t="shared" si="3"/>
        <v>66.963785622100204</v>
      </c>
      <c r="T8" s="46">
        <v>1</v>
      </c>
      <c r="U8" s="46">
        <v>8</v>
      </c>
      <c r="W8" s="46">
        <v>1850</v>
      </c>
      <c r="X8" s="46">
        <v>0</v>
      </c>
      <c r="Y8" s="46">
        <v>2</v>
      </c>
      <c r="Z8" s="46">
        <v>1</v>
      </c>
      <c r="AA8" s="46">
        <v>0</v>
      </c>
      <c r="AB8" s="46">
        <v>0</v>
      </c>
      <c r="AC8" s="46">
        <v>11</v>
      </c>
      <c r="AD8" s="46">
        <v>-10</v>
      </c>
      <c r="AE8" s="83">
        <v>0.5</v>
      </c>
      <c r="AF8" s="88">
        <v>-0.05</v>
      </c>
      <c r="AG8" s="83">
        <v>0</v>
      </c>
      <c r="AH8" s="83">
        <v>0</v>
      </c>
      <c r="AI8" s="85">
        <v>0</v>
      </c>
      <c r="AJ8" s="84">
        <v>-2</v>
      </c>
      <c r="AK8" s="84">
        <v>0</v>
      </c>
      <c r="AL8" s="84">
        <v>0</v>
      </c>
      <c r="AM8" s="84">
        <v>0</v>
      </c>
      <c r="AN8" s="83">
        <v>0</v>
      </c>
      <c r="AO8" s="84">
        <v>0</v>
      </c>
      <c r="AP8" s="84">
        <v>0</v>
      </c>
      <c r="AQ8" s="84">
        <v>0</v>
      </c>
      <c r="AR8" s="84">
        <v>0</v>
      </c>
      <c r="AS8" s="84">
        <v>0</v>
      </c>
      <c r="AT8" s="84">
        <v>0</v>
      </c>
      <c r="AU8" s="83">
        <v>0</v>
      </c>
      <c r="AV8" s="84">
        <v>0</v>
      </c>
      <c r="AW8" s="84">
        <v>0</v>
      </c>
      <c r="AX8" s="84">
        <v>0</v>
      </c>
      <c r="AY8" s="84">
        <v>0</v>
      </c>
      <c r="AZ8" s="84">
        <v>0</v>
      </c>
      <c r="BA8" s="84">
        <v>0</v>
      </c>
      <c r="BB8" s="83">
        <v>0</v>
      </c>
      <c r="BC8" s="84">
        <v>0</v>
      </c>
      <c r="BD8" s="84">
        <v>0</v>
      </c>
      <c r="BE8" s="46">
        <v>-2</v>
      </c>
      <c r="BF8" s="46">
        <v>0</v>
      </c>
      <c r="BG8" s="46">
        <v>0</v>
      </c>
      <c r="BH8" s="46">
        <v>0</v>
      </c>
      <c r="BI8" s="83">
        <v>0</v>
      </c>
      <c r="BJ8" s="46">
        <v>0</v>
      </c>
      <c r="BK8" s="46">
        <v>0</v>
      </c>
      <c r="BL8" s="84">
        <v>0</v>
      </c>
      <c r="BM8" s="84">
        <v>0</v>
      </c>
      <c r="BN8" s="84">
        <v>0</v>
      </c>
      <c r="BO8" s="84">
        <v>0</v>
      </c>
      <c r="BP8" s="83">
        <v>0</v>
      </c>
      <c r="BQ8" s="84">
        <v>0</v>
      </c>
      <c r="BR8" s="84">
        <v>0</v>
      </c>
      <c r="BS8" s="84">
        <v>0</v>
      </c>
      <c r="BT8" s="84">
        <v>0</v>
      </c>
      <c r="BU8" s="84">
        <v>0</v>
      </c>
      <c r="BV8" s="84">
        <v>0</v>
      </c>
      <c r="BW8" s="83">
        <v>0</v>
      </c>
      <c r="BX8" s="84">
        <v>0</v>
      </c>
      <c r="BY8" s="84">
        <v>0</v>
      </c>
      <c r="BZ8" s="84">
        <v>0</v>
      </c>
      <c r="CA8" s="84">
        <v>0</v>
      </c>
      <c r="CB8" s="84">
        <v>0</v>
      </c>
      <c r="CC8" s="84">
        <v>0</v>
      </c>
      <c r="CD8" s="83">
        <v>0</v>
      </c>
      <c r="CE8" s="84">
        <v>0</v>
      </c>
      <c r="CF8" s="84">
        <v>0</v>
      </c>
      <c r="CG8" s="84">
        <v>0</v>
      </c>
      <c r="CH8" s="84">
        <v>0</v>
      </c>
      <c r="CI8" s="84">
        <v>0</v>
      </c>
      <c r="CJ8" s="84">
        <v>0</v>
      </c>
      <c r="CK8" s="83">
        <v>0</v>
      </c>
      <c r="CL8" s="84">
        <v>0</v>
      </c>
      <c r="CM8" s="84">
        <v>0</v>
      </c>
      <c r="CN8" s="84">
        <v>0</v>
      </c>
      <c r="CO8" s="84">
        <v>0</v>
      </c>
      <c r="CP8" s="84">
        <v>0</v>
      </c>
      <c r="CQ8" s="84">
        <v>0</v>
      </c>
      <c r="CR8" s="83">
        <v>0</v>
      </c>
      <c r="CS8" s="84">
        <v>0</v>
      </c>
      <c r="CT8" s="84">
        <v>0</v>
      </c>
      <c r="CU8" s="84">
        <v>0</v>
      </c>
      <c r="CV8" s="84">
        <v>0</v>
      </c>
      <c r="CW8" s="84">
        <v>0</v>
      </c>
      <c r="CX8" s="84">
        <v>0</v>
      </c>
      <c r="CY8" s="83">
        <v>0</v>
      </c>
      <c r="CZ8" s="84">
        <v>0</v>
      </c>
      <c r="DA8" s="84">
        <v>0</v>
      </c>
      <c r="DB8" s="84">
        <v>0</v>
      </c>
      <c r="DC8" s="84">
        <v>0</v>
      </c>
      <c r="DD8" s="84">
        <v>0</v>
      </c>
      <c r="DE8" s="84">
        <v>0</v>
      </c>
      <c r="DF8" s="83">
        <v>0</v>
      </c>
      <c r="DG8" s="84">
        <v>0</v>
      </c>
      <c r="DH8" s="84">
        <v>0</v>
      </c>
    </row>
    <row r="9" spans="1:112">
      <c r="L9" s="109">
        <v>6</v>
      </c>
      <c r="M9" s="103">
        <f t="shared" si="0"/>
        <v>0.8523990980817715</v>
      </c>
      <c r="N9" s="106">
        <f t="shared" si="1"/>
        <v>97.479819616354291</v>
      </c>
      <c r="P9" s="109">
        <v>6</v>
      </c>
      <c r="Q9" s="103">
        <f t="shared" si="2"/>
        <v>0.762875475557385</v>
      </c>
      <c r="R9" s="106">
        <f t="shared" si="3"/>
        <v>59.575095111476962</v>
      </c>
      <c r="T9" s="46">
        <v>2</v>
      </c>
      <c r="U9" s="46">
        <v>10</v>
      </c>
      <c r="W9" s="46">
        <v>1855</v>
      </c>
      <c r="X9" s="46" t="s">
        <v>360</v>
      </c>
      <c r="Y9" s="46">
        <v>1</v>
      </c>
      <c r="Z9" s="46">
        <v>0</v>
      </c>
      <c r="AA9" s="46">
        <v>1</v>
      </c>
      <c r="AB9" s="46">
        <v>3</v>
      </c>
      <c r="AC9" s="46">
        <v>0</v>
      </c>
      <c r="AD9" s="46">
        <v>0</v>
      </c>
      <c r="AE9" s="83">
        <v>0</v>
      </c>
      <c r="AF9" s="88">
        <v>0</v>
      </c>
      <c r="AG9" s="83">
        <v>0</v>
      </c>
      <c r="AH9" s="83">
        <v>0</v>
      </c>
      <c r="AI9" s="85">
        <v>0</v>
      </c>
      <c r="AJ9" s="84">
        <v>-1</v>
      </c>
      <c r="AK9" s="84">
        <v>0</v>
      </c>
      <c r="AL9" s="84">
        <v>0</v>
      </c>
      <c r="AM9" s="84">
        <v>0</v>
      </c>
      <c r="AN9" s="83">
        <v>0</v>
      </c>
      <c r="AO9" s="84">
        <v>0</v>
      </c>
      <c r="AP9" s="84">
        <v>0</v>
      </c>
      <c r="AQ9" s="84">
        <v>0</v>
      </c>
      <c r="AR9" s="84">
        <v>0</v>
      </c>
      <c r="AS9" s="84">
        <v>0</v>
      </c>
      <c r="AT9" s="84">
        <v>0</v>
      </c>
      <c r="AU9" s="83">
        <v>0</v>
      </c>
      <c r="AV9" s="84">
        <v>0</v>
      </c>
      <c r="AW9" s="84">
        <v>0</v>
      </c>
      <c r="AX9" s="84">
        <v>0</v>
      </c>
      <c r="AY9" s="84">
        <v>0</v>
      </c>
      <c r="AZ9" s="84">
        <v>0</v>
      </c>
      <c r="BA9" s="84">
        <v>0</v>
      </c>
      <c r="BB9" s="83">
        <v>0</v>
      </c>
      <c r="BC9" s="84">
        <v>0</v>
      </c>
      <c r="BD9" s="84">
        <v>0</v>
      </c>
      <c r="BE9" s="46">
        <v>-1</v>
      </c>
      <c r="BF9" s="46">
        <v>0</v>
      </c>
      <c r="BG9" s="46">
        <v>0</v>
      </c>
      <c r="BH9" s="46">
        <v>3</v>
      </c>
      <c r="BI9" s="83">
        <v>0</v>
      </c>
      <c r="BJ9" s="46">
        <v>0</v>
      </c>
      <c r="BK9" s="46">
        <v>0</v>
      </c>
      <c r="BL9" s="84">
        <v>0</v>
      </c>
      <c r="BM9" s="84">
        <v>2</v>
      </c>
      <c r="BN9" s="84">
        <v>4</v>
      </c>
      <c r="BO9" s="84">
        <v>2</v>
      </c>
      <c r="BP9" s="83">
        <v>0</v>
      </c>
      <c r="BQ9" s="84">
        <v>0</v>
      </c>
      <c r="BR9" s="84">
        <v>0</v>
      </c>
      <c r="BS9" s="84">
        <v>0</v>
      </c>
      <c r="BT9" s="84">
        <v>0</v>
      </c>
      <c r="BU9" s="84">
        <v>0</v>
      </c>
      <c r="BV9" s="84">
        <v>0</v>
      </c>
      <c r="BW9" s="83">
        <v>0</v>
      </c>
      <c r="BX9" s="84">
        <v>0</v>
      </c>
      <c r="BY9" s="84">
        <v>0</v>
      </c>
      <c r="BZ9" s="84">
        <v>0</v>
      </c>
      <c r="CA9" s="84">
        <v>0</v>
      </c>
      <c r="CB9" s="84">
        <v>0</v>
      </c>
      <c r="CC9" s="84">
        <v>0</v>
      </c>
      <c r="CD9" s="83">
        <v>0</v>
      </c>
      <c r="CE9" s="84">
        <v>0</v>
      </c>
      <c r="CF9" s="84">
        <v>0</v>
      </c>
      <c r="CG9" s="84">
        <v>0</v>
      </c>
      <c r="CH9" s="84">
        <v>0</v>
      </c>
      <c r="CI9" s="84">
        <v>0</v>
      </c>
      <c r="CJ9" s="84">
        <v>0</v>
      </c>
      <c r="CK9" s="83">
        <v>0</v>
      </c>
      <c r="CL9" s="84">
        <v>0</v>
      </c>
      <c r="CM9" s="84">
        <v>0</v>
      </c>
      <c r="CN9" s="84">
        <v>0</v>
      </c>
      <c r="CO9" s="84">
        <v>0</v>
      </c>
      <c r="CP9" s="84">
        <v>0</v>
      </c>
      <c r="CQ9" s="84">
        <v>0</v>
      </c>
      <c r="CR9" s="83">
        <v>0</v>
      </c>
      <c r="CS9" s="84">
        <v>0</v>
      </c>
      <c r="CT9" s="84">
        <v>0</v>
      </c>
      <c r="CU9" s="84">
        <v>0</v>
      </c>
      <c r="CV9" s="84">
        <v>0</v>
      </c>
      <c r="CW9" s="84">
        <v>0</v>
      </c>
      <c r="CX9" s="84">
        <v>0</v>
      </c>
      <c r="CY9" s="83">
        <v>0</v>
      </c>
      <c r="CZ9" s="84">
        <v>0</v>
      </c>
      <c r="DA9" s="84">
        <v>0</v>
      </c>
      <c r="DB9" s="84">
        <v>0</v>
      </c>
      <c r="DC9" s="84">
        <v>0</v>
      </c>
      <c r="DD9" s="84">
        <v>0</v>
      </c>
      <c r="DE9" s="84">
        <v>0</v>
      </c>
      <c r="DF9" s="83">
        <v>0</v>
      </c>
      <c r="DG9" s="84">
        <v>0</v>
      </c>
      <c r="DH9" s="84">
        <v>0</v>
      </c>
    </row>
    <row r="10" spans="1:112">
      <c r="L10" s="109">
        <v>7</v>
      </c>
      <c r="M10" s="103">
        <f t="shared" si="0"/>
        <v>0.83150294375128664</v>
      </c>
      <c r="N10" s="106">
        <f t="shared" si="1"/>
        <v>93.300588750257319</v>
      </c>
      <c r="P10" s="109">
        <v>7</v>
      </c>
      <c r="Q10" s="103">
        <f t="shared" si="2"/>
        <v>0.72685773912207519</v>
      </c>
      <c r="R10" s="106">
        <f t="shared" si="3"/>
        <v>52.371547824415011</v>
      </c>
      <c r="T10" s="46">
        <v>3</v>
      </c>
      <c r="U10" s="46">
        <v>12</v>
      </c>
      <c r="W10" s="46">
        <v>1870</v>
      </c>
      <c r="X10" s="46">
        <v>0</v>
      </c>
      <c r="Y10" s="46">
        <v>3</v>
      </c>
      <c r="Z10" s="46">
        <v>0</v>
      </c>
      <c r="AA10" s="46">
        <v>0</v>
      </c>
      <c r="AB10" s="46">
        <v>0</v>
      </c>
      <c r="AC10" s="46">
        <v>11</v>
      </c>
      <c r="AD10" s="46">
        <v>-10</v>
      </c>
      <c r="AE10" s="83">
        <v>1</v>
      </c>
      <c r="AF10" s="88">
        <v>0</v>
      </c>
      <c r="AG10" s="83">
        <v>0</v>
      </c>
      <c r="AH10" s="83">
        <v>0</v>
      </c>
      <c r="AI10" s="85">
        <v>0</v>
      </c>
      <c r="AJ10" s="84">
        <v>-3</v>
      </c>
      <c r="AK10" s="84">
        <v>0</v>
      </c>
      <c r="AL10" s="84">
        <v>0</v>
      </c>
      <c r="AM10" s="84">
        <v>0</v>
      </c>
      <c r="AN10" s="83">
        <v>0</v>
      </c>
      <c r="AO10" s="84">
        <v>0</v>
      </c>
      <c r="AP10" s="84">
        <v>0</v>
      </c>
      <c r="AQ10" s="84">
        <v>0</v>
      </c>
      <c r="AR10" s="84">
        <v>0</v>
      </c>
      <c r="AS10" s="84">
        <v>0</v>
      </c>
      <c r="AT10" s="84">
        <v>0</v>
      </c>
      <c r="AU10" s="83">
        <v>0</v>
      </c>
      <c r="AV10" s="84">
        <v>0</v>
      </c>
      <c r="AW10" s="84">
        <v>0</v>
      </c>
      <c r="AX10" s="84">
        <v>0</v>
      </c>
      <c r="AY10" s="84">
        <v>0</v>
      </c>
      <c r="AZ10" s="84">
        <v>0</v>
      </c>
      <c r="BA10" s="84">
        <v>0</v>
      </c>
      <c r="BB10" s="83">
        <v>0</v>
      </c>
      <c r="BC10" s="84">
        <v>0</v>
      </c>
      <c r="BD10" s="84">
        <v>0</v>
      </c>
      <c r="BE10" s="46">
        <v>-3</v>
      </c>
      <c r="BF10" s="46">
        <v>0</v>
      </c>
      <c r="BG10" s="46">
        <v>0</v>
      </c>
      <c r="BH10" s="46">
        <v>0</v>
      </c>
      <c r="BI10" s="83">
        <v>0</v>
      </c>
      <c r="BJ10" s="46">
        <v>0</v>
      </c>
      <c r="BK10" s="46">
        <v>0</v>
      </c>
      <c r="BL10" s="84">
        <v>0</v>
      </c>
      <c r="BM10" s="84">
        <v>0</v>
      </c>
      <c r="BN10" s="84">
        <v>0</v>
      </c>
      <c r="BO10" s="84">
        <v>0</v>
      </c>
      <c r="BP10" s="83">
        <v>0</v>
      </c>
      <c r="BQ10" s="84">
        <v>0</v>
      </c>
      <c r="BR10" s="84">
        <v>0</v>
      </c>
      <c r="BS10" s="84">
        <v>0</v>
      </c>
      <c r="BT10" s="84">
        <v>0</v>
      </c>
      <c r="BU10" s="84">
        <v>0</v>
      </c>
      <c r="BV10" s="84">
        <v>0</v>
      </c>
      <c r="BW10" s="83">
        <v>0</v>
      </c>
      <c r="BX10" s="84">
        <v>0</v>
      </c>
      <c r="BY10" s="84">
        <v>0</v>
      </c>
      <c r="BZ10" s="84">
        <v>0</v>
      </c>
      <c r="CA10" s="84">
        <v>0</v>
      </c>
      <c r="CB10" s="84">
        <v>0</v>
      </c>
      <c r="CC10" s="84">
        <v>0</v>
      </c>
      <c r="CD10" s="83">
        <v>0</v>
      </c>
      <c r="CE10" s="84">
        <v>0</v>
      </c>
      <c r="CF10" s="84">
        <v>0</v>
      </c>
      <c r="CG10" s="84">
        <v>0</v>
      </c>
      <c r="CH10" s="84">
        <v>8</v>
      </c>
      <c r="CI10" s="84">
        <v>0</v>
      </c>
      <c r="CJ10" s="84">
        <v>0</v>
      </c>
      <c r="CK10" s="83">
        <v>0</v>
      </c>
      <c r="CL10" s="84">
        <v>0</v>
      </c>
      <c r="CM10" s="84">
        <v>0</v>
      </c>
      <c r="CN10" s="84">
        <v>2</v>
      </c>
      <c r="CO10" s="84">
        <v>0</v>
      </c>
      <c r="CP10" s="84">
        <v>2</v>
      </c>
      <c r="CQ10" s="84">
        <v>0</v>
      </c>
      <c r="CR10" s="83">
        <v>0</v>
      </c>
      <c r="CS10" s="84">
        <v>0</v>
      </c>
      <c r="CT10" s="84">
        <v>0</v>
      </c>
      <c r="CU10" s="84">
        <v>0</v>
      </c>
      <c r="CV10" s="84">
        <v>8</v>
      </c>
      <c r="CW10" s="84">
        <v>0</v>
      </c>
      <c r="CX10" s="84">
        <v>0</v>
      </c>
      <c r="CY10" s="83">
        <v>0</v>
      </c>
      <c r="CZ10" s="84">
        <v>0</v>
      </c>
      <c r="DA10" s="84">
        <v>0</v>
      </c>
      <c r="DB10" s="84">
        <v>2</v>
      </c>
      <c r="DC10" s="84">
        <v>0</v>
      </c>
      <c r="DD10" s="84">
        <v>2</v>
      </c>
      <c r="DE10" s="84">
        <v>0</v>
      </c>
      <c r="DF10" s="83">
        <v>0</v>
      </c>
      <c r="DG10" s="84">
        <v>0</v>
      </c>
      <c r="DH10" s="84">
        <v>0</v>
      </c>
    </row>
    <row r="11" spans="1:112">
      <c r="L11" s="109">
        <v>8</v>
      </c>
      <c r="M11" s="103">
        <f t="shared" si="0"/>
        <v>0.81159336220142109</v>
      </c>
      <c r="N11" s="106">
        <f t="shared" si="1"/>
        <v>89.318672440284217</v>
      </c>
      <c r="P11" s="109">
        <v>8</v>
      </c>
      <c r="Q11" s="103">
        <f t="shared" si="2"/>
        <v>0.6917229601897481</v>
      </c>
      <c r="R11" s="106">
        <f t="shared" si="3"/>
        <v>45.344592037949589</v>
      </c>
      <c r="T11" s="46">
        <v>4</v>
      </c>
      <c r="U11" s="46">
        <v>16</v>
      </c>
      <c r="W11" s="46">
        <v>1875</v>
      </c>
      <c r="X11" s="46">
        <v>0</v>
      </c>
      <c r="Y11" s="46">
        <v>0</v>
      </c>
      <c r="Z11" s="46">
        <v>0</v>
      </c>
      <c r="AA11" s="46">
        <v>1</v>
      </c>
      <c r="AB11" s="46">
        <v>0</v>
      </c>
      <c r="AC11" s="46">
        <v>0</v>
      </c>
      <c r="AD11" s="46">
        <v>-20</v>
      </c>
      <c r="AE11" s="83">
        <v>0</v>
      </c>
      <c r="AF11" s="88">
        <v>0</v>
      </c>
      <c r="AG11" s="83">
        <v>0</v>
      </c>
      <c r="AH11" s="83">
        <v>0</v>
      </c>
      <c r="AI11" s="85">
        <v>0</v>
      </c>
      <c r="AJ11" s="84">
        <v>0</v>
      </c>
      <c r="AK11" s="84">
        <v>0</v>
      </c>
      <c r="AL11" s="84">
        <v>0</v>
      </c>
      <c r="AM11" s="84">
        <v>0</v>
      </c>
      <c r="AN11" s="83">
        <v>0</v>
      </c>
      <c r="AO11" s="84">
        <v>0</v>
      </c>
      <c r="AP11" s="84">
        <v>0</v>
      </c>
      <c r="AQ11" s="84">
        <v>0</v>
      </c>
      <c r="AR11" s="84">
        <v>0</v>
      </c>
      <c r="AS11" s="84">
        <v>0</v>
      </c>
      <c r="AT11" s="84">
        <v>0</v>
      </c>
      <c r="AU11" s="83">
        <v>0</v>
      </c>
      <c r="AV11" s="84">
        <v>0</v>
      </c>
      <c r="AW11" s="84">
        <v>0</v>
      </c>
      <c r="AX11" s="84">
        <v>0</v>
      </c>
      <c r="AY11" s="84">
        <v>0</v>
      </c>
      <c r="AZ11" s="84">
        <v>0</v>
      </c>
      <c r="BA11" s="84">
        <v>0</v>
      </c>
      <c r="BB11" s="83">
        <v>0</v>
      </c>
      <c r="BC11" s="84">
        <v>0</v>
      </c>
      <c r="BD11" s="84">
        <v>0</v>
      </c>
      <c r="BE11" s="46">
        <v>0</v>
      </c>
      <c r="BF11" s="46">
        <v>0</v>
      </c>
      <c r="BG11" s="46">
        <v>0</v>
      </c>
      <c r="BH11" s="46">
        <v>0</v>
      </c>
      <c r="BI11" s="83">
        <v>0</v>
      </c>
      <c r="BJ11" s="46">
        <v>0</v>
      </c>
      <c r="BK11" s="46">
        <v>0</v>
      </c>
      <c r="BL11" s="84">
        <v>0</v>
      </c>
      <c r="BM11" s="84">
        <v>0</v>
      </c>
      <c r="BN11" s="84">
        <v>0</v>
      </c>
      <c r="BO11" s="84">
        <v>0</v>
      </c>
      <c r="BP11" s="83">
        <v>0</v>
      </c>
      <c r="BQ11" s="84">
        <v>0</v>
      </c>
      <c r="BR11" s="84">
        <v>0</v>
      </c>
      <c r="BS11" s="84">
        <v>0</v>
      </c>
      <c r="BT11" s="84">
        <v>0</v>
      </c>
      <c r="BU11" s="84">
        <v>0</v>
      </c>
      <c r="BV11" s="84">
        <v>0</v>
      </c>
      <c r="BW11" s="83">
        <v>0</v>
      </c>
      <c r="BX11" s="84">
        <v>0</v>
      </c>
      <c r="BY11" s="84">
        <v>0</v>
      </c>
      <c r="BZ11" s="84">
        <v>0</v>
      </c>
      <c r="CA11" s="84">
        <v>0</v>
      </c>
      <c r="CB11" s="84">
        <v>0</v>
      </c>
      <c r="CC11" s="84">
        <v>0</v>
      </c>
      <c r="CD11" s="83">
        <v>0</v>
      </c>
      <c r="CE11" s="84">
        <v>0</v>
      </c>
      <c r="CF11" s="84">
        <v>0</v>
      </c>
      <c r="CG11" s="84">
        <v>0</v>
      </c>
      <c r="CH11" s="84">
        <v>0</v>
      </c>
      <c r="CI11" s="84">
        <v>0</v>
      </c>
      <c r="CJ11" s="84">
        <v>0</v>
      </c>
      <c r="CK11" s="83">
        <v>0</v>
      </c>
      <c r="CL11" s="84">
        <v>0</v>
      </c>
      <c r="CM11" s="84">
        <v>0</v>
      </c>
      <c r="CN11" s="84">
        <v>0</v>
      </c>
      <c r="CO11" s="84">
        <v>0</v>
      </c>
      <c r="CP11" s="84">
        <v>0</v>
      </c>
      <c r="CQ11" s="84">
        <v>0</v>
      </c>
      <c r="CR11" s="83">
        <v>0</v>
      </c>
      <c r="CS11" s="84">
        <v>0</v>
      </c>
      <c r="CT11" s="84">
        <v>0</v>
      </c>
      <c r="CU11" s="84">
        <v>0</v>
      </c>
      <c r="CV11" s="84">
        <v>0</v>
      </c>
      <c r="CW11" s="84">
        <v>0</v>
      </c>
      <c r="CX11" s="84">
        <v>0</v>
      </c>
      <c r="CY11" s="83">
        <v>0</v>
      </c>
      <c r="CZ11" s="84">
        <v>0</v>
      </c>
      <c r="DA11" s="84">
        <v>0</v>
      </c>
      <c r="DB11" s="84">
        <v>0</v>
      </c>
      <c r="DC11" s="84">
        <v>0</v>
      </c>
      <c r="DD11" s="84">
        <v>0</v>
      </c>
      <c r="DE11" s="84">
        <v>0</v>
      </c>
      <c r="DF11" s="83">
        <v>0</v>
      </c>
      <c r="DG11" s="84">
        <v>0</v>
      </c>
      <c r="DH11" s="84">
        <v>0</v>
      </c>
    </row>
    <row r="12" spans="1:112">
      <c r="L12" s="109">
        <v>9</v>
      </c>
      <c r="M12" s="103">
        <f t="shared" si="0"/>
        <v>0.79264616807448451</v>
      </c>
      <c r="N12" s="106">
        <f t="shared" si="1"/>
        <v>85.529233614896896</v>
      </c>
      <c r="P12" s="109">
        <v>9</v>
      </c>
      <c r="Q12" s="103">
        <f t="shared" si="2"/>
        <v>0.65742945157600075</v>
      </c>
      <c r="R12" s="106">
        <f t="shared" si="3"/>
        <v>38.485890315200123</v>
      </c>
      <c r="T12" s="46">
        <v>5</v>
      </c>
      <c r="U12" s="46">
        <v>20</v>
      </c>
      <c r="W12" s="46">
        <v>1880</v>
      </c>
      <c r="X12" s="46" t="s">
        <v>366</v>
      </c>
      <c r="Y12" s="46">
        <v>0</v>
      </c>
      <c r="Z12" s="46">
        <v>0</v>
      </c>
      <c r="AA12" s="46">
        <v>0</v>
      </c>
      <c r="AB12" s="46">
        <v>0</v>
      </c>
      <c r="AC12" s="46">
        <v>0</v>
      </c>
      <c r="AD12" s="46">
        <v>0</v>
      </c>
      <c r="AE12" s="83">
        <v>0</v>
      </c>
      <c r="AF12" s="88">
        <v>0</v>
      </c>
      <c r="AG12" s="83">
        <v>0</v>
      </c>
      <c r="AH12" s="83">
        <v>0</v>
      </c>
      <c r="AI12" s="85">
        <v>0</v>
      </c>
      <c r="AJ12" s="84">
        <v>0</v>
      </c>
      <c r="AK12" s="84">
        <v>0</v>
      </c>
      <c r="AL12" s="84">
        <v>0</v>
      </c>
      <c r="AM12" s="84">
        <v>0</v>
      </c>
      <c r="AN12" s="83">
        <v>0</v>
      </c>
      <c r="AO12" s="84">
        <v>0</v>
      </c>
      <c r="AP12" s="84">
        <v>0</v>
      </c>
      <c r="AQ12" s="84">
        <v>0</v>
      </c>
      <c r="AR12" s="84">
        <v>0</v>
      </c>
      <c r="AS12" s="84">
        <v>0</v>
      </c>
      <c r="AT12" s="84">
        <v>0</v>
      </c>
      <c r="AU12" s="83">
        <v>0</v>
      </c>
      <c r="AV12" s="84">
        <v>0</v>
      </c>
      <c r="AW12" s="84">
        <v>0</v>
      </c>
      <c r="AX12" s="84">
        <v>0</v>
      </c>
      <c r="AY12" s="84">
        <v>0</v>
      </c>
      <c r="AZ12" s="84">
        <v>0</v>
      </c>
      <c r="BA12" s="84">
        <v>0</v>
      </c>
      <c r="BB12" s="83">
        <v>0</v>
      </c>
      <c r="BC12" s="84">
        <v>0</v>
      </c>
      <c r="BD12" s="84">
        <v>0</v>
      </c>
      <c r="BE12" s="46">
        <v>0</v>
      </c>
      <c r="BF12" s="46">
        <v>0</v>
      </c>
      <c r="BG12" s="46">
        <v>0</v>
      </c>
      <c r="BH12" s="46">
        <v>2</v>
      </c>
      <c r="BI12" s="83">
        <v>0</v>
      </c>
      <c r="BJ12" s="46">
        <v>0</v>
      </c>
      <c r="BK12" s="46">
        <v>0</v>
      </c>
      <c r="BL12" s="84">
        <v>0</v>
      </c>
      <c r="BM12" s="84">
        <v>0</v>
      </c>
      <c r="BN12" s="84">
        <v>0</v>
      </c>
      <c r="BO12" s="84">
        <v>2</v>
      </c>
      <c r="BP12" s="83">
        <v>0</v>
      </c>
      <c r="BQ12" s="84">
        <v>0</v>
      </c>
      <c r="BR12" s="84">
        <v>0</v>
      </c>
      <c r="BS12" s="84">
        <v>1</v>
      </c>
      <c r="BT12" s="84">
        <v>0</v>
      </c>
      <c r="BU12" s="84">
        <v>1</v>
      </c>
      <c r="BV12" s="84">
        <v>2</v>
      </c>
      <c r="BW12" s="83">
        <v>0</v>
      </c>
      <c r="BX12" s="84">
        <v>0</v>
      </c>
      <c r="BY12" s="84">
        <v>0</v>
      </c>
      <c r="BZ12" s="84">
        <v>0</v>
      </c>
      <c r="CA12" s="84">
        <v>0</v>
      </c>
      <c r="CB12" s="84">
        <v>0</v>
      </c>
      <c r="CC12" s="84">
        <v>1</v>
      </c>
      <c r="CD12" s="83">
        <v>0</v>
      </c>
      <c r="CE12" s="84">
        <v>0</v>
      </c>
      <c r="CF12" s="84">
        <v>0</v>
      </c>
      <c r="CG12" s="84">
        <v>0</v>
      </c>
      <c r="CH12" s="84">
        <v>0</v>
      </c>
      <c r="CI12" s="84">
        <v>0</v>
      </c>
      <c r="CJ12" s="84">
        <v>0</v>
      </c>
      <c r="CK12" s="83">
        <v>0</v>
      </c>
      <c r="CL12" s="84">
        <v>0</v>
      </c>
      <c r="CM12" s="84">
        <v>0</v>
      </c>
      <c r="CN12" s="84">
        <v>0</v>
      </c>
      <c r="CO12" s="84">
        <v>0</v>
      </c>
      <c r="CP12" s="84">
        <v>0</v>
      </c>
      <c r="CQ12" s="84">
        <v>0</v>
      </c>
      <c r="CR12" s="83">
        <v>0</v>
      </c>
      <c r="CS12" s="84">
        <v>0</v>
      </c>
      <c r="CT12" s="84">
        <v>0</v>
      </c>
      <c r="CU12" s="84">
        <v>0</v>
      </c>
      <c r="CV12" s="84">
        <v>0</v>
      </c>
      <c r="CW12" s="84">
        <v>0</v>
      </c>
      <c r="CX12" s="84">
        <v>0</v>
      </c>
      <c r="CY12" s="83">
        <v>0</v>
      </c>
      <c r="CZ12" s="84">
        <v>0</v>
      </c>
      <c r="DA12" s="84">
        <v>0</v>
      </c>
      <c r="DB12" s="84">
        <v>0</v>
      </c>
      <c r="DC12" s="84">
        <v>0</v>
      </c>
      <c r="DD12" s="84">
        <v>0</v>
      </c>
      <c r="DE12" s="84">
        <v>0</v>
      </c>
      <c r="DF12" s="83">
        <v>0</v>
      </c>
      <c r="DG12" s="84">
        <v>0</v>
      </c>
      <c r="DH12" s="84">
        <v>0</v>
      </c>
    </row>
    <row r="13" spans="1:112">
      <c r="L13" s="109">
        <v>10</v>
      </c>
      <c r="M13" s="103">
        <f t="shared" si="0"/>
        <v>0.77463831787914184</v>
      </c>
      <c r="N13" s="106">
        <f t="shared" si="1"/>
        <v>81.927663575828376</v>
      </c>
      <c r="P13" s="109">
        <v>10</v>
      </c>
      <c r="Q13" s="103">
        <f t="shared" si="2"/>
        <v>0.62393654803772614</v>
      </c>
      <c r="R13" s="106">
        <f t="shared" si="3"/>
        <v>31.787309607545208</v>
      </c>
      <c r="T13" s="46">
        <v>6</v>
      </c>
      <c r="U13" s="46">
        <v>25</v>
      </c>
      <c r="W13" s="46">
        <v>1895</v>
      </c>
      <c r="X13" s="46">
        <v>0</v>
      </c>
      <c r="Y13" s="46">
        <v>1</v>
      </c>
      <c r="Z13" s="46">
        <v>0</v>
      </c>
      <c r="AA13" s="46">
        <v>0</v>
      </c>
      <c r="AB13" s="46">
        <v>1</v>
      </c>
      <c r="AC13" s="46">
        <v>0</v>
      </c>
      <c r="AD13" s="46">
        <v>0</v>
      </c>
      <c r="AE13" s="83">
        <v>0</v>
      </c>
      <c r="AF13" s="88">
        <v>0</v>
      </c>
      <c r="AG13" s="83">
        <v>0</v>
      </c>
      <c r="AH13" s="83">
        <v>0</v>
      </c>
      <c r="AI13" s="85">
        <v>0</v>
      </c>
      <c r="AJ13" s="84">
        <v>-1</v>
      </c>
      <c r="AK13" s="84">
        <v>0</v>
      </c>
      <c r="AL13" s="84">
        <v>0</v>
      </c>
      <c r="AM13" s="84">
        <v>0</v>
      </c>
      <c r="AN13" s="83">
        <v>0</v>
      </c>
      <c r="AO13" s="84">
        <v>0</v>
      </c>
      <c r="AP13" s="84">
        <v>0</v>
      </c>
      <c r="AQ13" s="84">
        <v>0</v>
      </c>
      <c r="AR13" s="84">
        <v>0</v>
      </c>
      <c r="AS13" s="84">
        <v>0</v>
      </c>
      <c r="AT13" s="84">
        <v>0</v>
      </c>
      <c r="AU13" s="83">
        <v>0</v>
      </c>
      <c r="AV13" s="84">
        <v>0</v>
      </c>
      <c r="AW13" s="84">
        <v>0</v>
      </c>
      <c r="AX13" s="84">
        <v>0</v>
      </c>
      <c r="AY13" s="84">
        <v>0</v>
      </c>
      <c r="AZ13" s="84">
        <v>0</v>
      </c>
      <c r="BA13" s="84">
        <v>0</v>
      </c>
      <c r="BB13" s="83">
        <v>0</v>
      </c>
      <c r="BC13" s="84">
        <v>0</v>
      </c>
      <c r="BD13" s="84">
        <v>0</v>
      </c>
      <c r="BE13" s="46">
        <v>-1</v>
      </c>
      <c r="BF13" s="46">
        <v>0</v>
      </c>
      <c r="BG13" s="46">
        <v>0</v>
      </c>
      <c r="BH13" s="46">
        <v>0</v>
      </c>
      <c r="BI13" s="83">
        <v>0</v>
      </c>
      <c r="BJ13" s="46">
        <v>0</v>
      </c>
      <c r="BK13" s="46">
        <v>0</v>
      </c>
      <c r="BL13" s="84">
        <v>0</v>
      </c>
      <c r="BM13" s="84">
        <v>0</v>
      </c>
      <c r="BN13" s="84">
        <v>0</v>
      </c>
      <c r="BO13" s="84">
        <v>0</v>
      </c>
      <c r="BP13" s="83">
        <v>0</v>
      </c>
      <c r="BQ13" s="84">
        <v>0</v>
      </c>
      <c r="BR13" s="84">
        <v>0</v>
      </c>
      <c r="BS13" s="84">
        <v>0</v>
      </c>
      <c r="BT13" s="84">
        <v>0</v>
      </c>
      <c r="BU13" s="84">
        <v>0</v>
      </c>
      <c r="BV13" s="84">
        <v>0</v>
      </c>
      <c r="BW13" s="83">
        <v>0</v>
      </c>
      <c r="BX13" s="84">
        <v>0</v>
      </c>
      <c r="BY13" s="84">
        <v>0</v>
      </c>
      <c r="BZ13" s="84">
        <v>0</v>
      </c>
      <c r="CA13" s="84">
        <v>0</v>
      </c>
      <c r="CB13" s="84">
        <v>0</v>
      </c>
      <c r="CC13" s="84">
        <v>0</v>
      </c>
      <c r="CD13" s="83">
        <v>0</v>
      </c>
      <c r="CE13" s="84">
        <v>0</v>
      </c>
      <c r="CF13" s="84">
        <v>0</v>
      </c>
      <c r="CG13" s="84">
        <v>0</v>
      </c>
      <c r="CH13" s="84">
        <v>0</v>
      </c>
      <c r="CI13" s="84">
        <v>5</v>
      </c>
      <c r="CJ13" s="84">
        <v>0</v>
      </c>
      <c r="CK13" s="83">
        <v>0</v>
      </c>
      <c r="CL13" s="84">
        <v>0</v>
      </c>
      <c r="CM13" s="84">
        <v>0</v>
      </c>
      <c r="CN13" s="84">
        <v>0</v>
      </c>
      <c r="CO13" s="84">
        <v>0</v>
      </c>
      <c r="CP13" s="84">
        <v>5</v>
      </c>
      <c r="CQ13" s="84">
        <v>0</v>
      </c>
      <c r="CR13" s="83">
        <v>0</v>
      </c>
      <c r="CS13" s="84">
        <v>0</v>
      </c>
      <c r="CT13" s="84">
        <v>0</v>
      </c>
      <c r="CU13" s="84">
        <v>0</v>
      </c>
      <c r="CV13" s="84">
        <v>0</v>
      </c>
      <c r="CW13" s="84">
        <v>0</v>
      </c>
      <c r="CX13" s="84">
        <v>0</v>
      </c>
      <c r="CY13" s="83">
        <v>0</v>
      </c>
      <c r="CZ13" s="84">
        <v>0</v>
      </c>
      <c r="DA13" s="84">
        <v>0</v>
      </c>
      <c r="DB13" s="84">
        <v>0</v>
      </c>
      <c r="DC13" s="84">
        <v>0</v>
      </c>
      <c r="DD13" s="84">
        <v>5</v>
      </c>
      <c r="DE13" s="84">
        <v>0</v>
      </c>
      <c r="DF13" s="83">
        <v>0</v>
      </c>
      <c r="DG13" s="84">
        <v>0</v>
      </c>
      <c r="DH13" s="84">
        <v>0</v>
      </c>
    </row>
    <row r="14" spans="1:112">
      <c r="L14" s="109">
        <v>11</v>
      </c>
      <c r="M14" s="103">
        <f t="shared" si="0"/>
        <v>0.75754788199810852</v>
      </c>
      <c r="N14" s="106">
        <f t="shared" si="1"/>
        <v>78.509576399621707</v>
      </c>
      <c r="P14" s="109">
        <v>11</v>
      </c>
      <c r="Q14" s="103">
        <f t="shared" si="2"/>
        <v>0.59120455802406935</v>
      </c>
      <c r="R14" s="106">
        <f t="shared" si="3"/>
        <v>25.240911604813842</v>
      </c>
      <c r="T14" s="46">
        <v>7</v>
      </c>
      <c r="U14" s="46">
        <v>30</v>
      </c>
      <c r="W14" s="46">
        <v>1900</v>
      </c>
      <c r="X14" s="46" t="s">
        <v>368</v>
      </c>
      <c r="Y14" s="46">
        <v>0</v>
      </c>
      <c r="Z14" s="46">
        <v>1</v>
      </c>
      <c r="AA14" s="46">
        <v>0</v>
      </c>
      <c r="AB14" s="46">
        <v>0</v>
      </c>
      <c r="AC14" s="46">
        <v>16</v>
      </c>
      <c r="AD14" s="46">
        <v>-10</v>
      </c>
      <c r="AE14" s="83">
        <v>1</v>
      </c>
      <c r="AF14" s="88">
        <v>0</v>
      </c>
      <c r="AG14" s="83">
        <v>0</v>
      </c>
      <c r="AH14" s="83">
        <v>0</v>
      </c>
      <c r="AI14" s="85">
        <v>0</v>
      </c>
      <c r="AJ14" s="84">
        <v>0</v>
      </c>
      <c r="AK14" s="84">
        <v>0</v>
      </c>
      <c r="AL14" s="84">
        <v>0</v>
      </c>
      <c r="AM14" s="84">
        <v>1</v>
      </c>
      <c r="AN14" s="83">
        <v>0.1</v>
      </c>
      <c r="AO14" s="84">
        <v>0</v>
      </c>
      <c r="AP14" s="84">
        <v>0</v>
      </c>
      <c r="AQ14" s="84">
        <v>0</v>
      </c>
      <c r="AR14" s="84">
        <v>0</v>
      </c>
      <c r="AS14" s="84">
        <v>0</v>
      </c>
      <c r="AT14" s="84">
        <v>0</v>
      </c>
      <c r="AU14" s="83">
        <v>0</v>
      </c>
      <c r="AV14" s="84">
        <v>0</v>
      </c>
      <c r="AW14" s="84">
        <v>0</v>
      </c>
      <c r="AX14" s="84">
        <v>0</v>
      </c>
      <c r="AY14" s="84">
        <v>0</v>
      </c>
      <c r="AZ14" s="84">
        <v>0</v>
      </c>
      <c r="BA14" s="84">
        <v>0</v>
      </c>
      <c r="BB14" s="83">
        <v>0</v>
      </c>
      <c r="BC14" s="84">
        <v>0</v>
      </c>
      <c r="BD14" s="84">
        <v>0</v>
      </c>
      <c r="BE14" s="46">
        <v>0</v>
      </c>
      <c r="BF14" s="46">
        <v>0</v>
      </c>
      <c r="BG14" s="46">
        <v>0</v>
      </c>
      <c r="BH14" s="46">
        <v>8</v>
      </c>
      <c r="BI14" s="83">
        <v>0.25</v>
      </c>
      <c r="BJ14" s="46">
        <v>0</v>
      </c>
      <c r="BK14" s="46">
        <v>0</v>
      </c>
      <c r="BL14" s="84">
        <v>0</v>
      </c>
      <c r="BM14" s="84">
        <v>0</v>
      </c>
      <c r="BN14" s="84">
        <v>0</v>
      </c>
      <c r="BO14" s="84">
        <v>0</v>
      </c>
      <c r="BP14" s="83">
        <v>0</v>
      </c>
      <c r="BQ14" s="84">
        <v>0</v>
      </c>
      <c r="BR14" s="84">
        <v>0</v>
      </c>
      <c r="BS14" s="84">
        <v>0</v>
      </c>
      <c r="BT14" s="84">
        <v>0</v>
      </c>
      <c r="BU14" s="84">
        <v>0</v>
      </c>
      <c r="BV14" s="84">
        <v>0</v>
      </c>
      <c r="BW14" s="83">
        <v>0</v>
      </c>
      <c r="BX14" s="84">
        <v>0</v>
      </c>
      <c r="BY14" s="84">
        <v>0</v>
      </c>
      <c r="BZ14" s="84">
        <v>0</v>
      </c>
      <c r="CA14" s="84">
        <v>0</v>
      </c>
      <c r="CB14" s="84">
        <v>0</v>
      </c>
      <c r="CC14" s="84">
        <v>6</v>
      </c>
      <c r="CD14" s="83">
        <v>0</v>
      </c>
      <c r="CE14" s="84">
        <v>0</v>
      </c>
      <c r="CF14" s="84">
        <v>0</v>
      </c>
      <c r="CG14" s="84">
        <v>0</v>
      </c>
      <c r="CH14" s="84">
        <v>0</v>
      </c>
      <c r="CI14" s="84">
        <v>0</v>
      </c>
      <c r="CJ14" s="84">
        <v>5</v>
      </c>
      <c r="CK14" s="83">
        <v>0</v>
      </c>
      <c r="CL14" s="84">
        <v>0</v>
      </c>
      <c r="CM14" s="84">
        <v>0</v>
      </c>
      <c r="CN14" s="84">
        <v>2</v>
      </c>
      <c r="CO14" s="84">
        <v>0</v>
      </c>
      <c r="CP14" s="84">
        <v>0</v>
      </c>
      <c r="CQ14" s="84">
        <v>3</v>
      </c>
      <c r="CR14" s="83">
        <v>0</v>
      </c>
      <c r="CS14" s="84">
        <v>0</v>
      </c>
      <c r="CT14" s="84">
        <v>0</v>
      </c>
      <c r="CU14" s="84">
        <v>0</v>
      </c>
      <c r="CV14" s="84">
        <v>12</v>
      </c>
      <c r="CW14" s="84">
        <v>0</v>
      </c>
      <c r="CX14" s="84">
        <v>0</v>
      </c>
      <c r="CY14" s="83">
        <v>0</v>
      </c>
      <c r="CZ14" s="84">
        <v>0</v>
      </c>
      <c r="DA14" s="84">
        <v>0</v>
      </c>
      <c r="DB14" s="84">
        <v>2</v>
      </c>
      <c r="DC14" s="84">
        <v>0</v>
      </c>
      <c r="DD14" s="84">
        <v>2</v>
      </c>
      <c r="DE14" s="84">
        <v>0</v>
      </c>
      <c r="DF14" s="83">
        <v>0</v>
      </c>
      <c r="DG14" s="84">
        <v>0</v>
      </c>
      <c r="DH14" s="84">
        <v>0</v>
      </c>
    </row>
    <row r="15" spans="1:112">
      <c r="L15" s="109">
        <v>12</v>
      </c>
      <c r="M15" s="103">
        <f t="shared" si="0"/>
        <v>0.74135401801744927</v>
      </c>
      <c r="N15" s="106">
        <f t="shared" si="1"/>
        <v>75.270803603489853</v>
      </c>
      <c r="P15" s="109">
        <v>12</v>
      </c>
      <c r="Q15" s="103">
        <f t="shared" si="2"/>
        <v>0.5591947166101856</v>
      </c>
      <c r="R15" s="106">
        <f t="shared" si="3"/>
        <v>18.8389433220371</v>
      </c>
      <c r="T15" s="46">
        <v>8</v>
      </c>
      <c r="U15" s="46">
        <v>35</v>
      </c>
      <c r="W15" s="46">
        <v>1914</v>
      </c>
      <c r="X15" s="46">
        <v>0</v>
      </c>
      <c r="Y15" s="46">
        <v>2</v>
      </c>
      <c r="Z15" s="46">
        <v>0</v>
      </c>
      <c r="AA15" s="46">
        <v>1</v>
      </c>
      <c r="AB15" s="46">
        <v>0</v>
      </c>
      <c r="AC15" s="46">
        <v>0</v>
      </c>
      <c r="AD15" s="46">
        <v>0</v>
      </c>
      <c r="AE15" s="83">
        <v>0</v>
      </c>
      <c r="AF15" s="88">
        <v>0</v>
      </c>
      <c r="AG15" s="83">
        <v>0</v>
      </c>
      <c r="AH15" s="83">
        <v>0</v>
      </c>
      <c r="AI15" s="85">
        <v>0</v>
      </c>
      <c r="AJ15" s="84">
        <v>-2</v>
      </c>
      <c r="AK15" s="84">
        <v>0</v>
      </c>
      <c r="AL15" s="84">
        <v>0</v>
      </c>
      <c r="AM15" s="84">
        <v>0</v>
      </c>
      <c r="AN15" s="83">
        <v>0</v>
      </c>
      <c r="AO15" s="84">
        <v>0</v>
      </c>
      <c r="AP15" s="84">
        <v>0</v>
      </c>
      <c r="AQ15" s="84">
        <v>0</v>
      </c>
      <c r="AR15" s="84">
        <v>0</v>
      </c>
      <c r="AS15" s="84">
        <v>0</v>
      </c>
      <c r="AT15" s="84">
        <v>0</v>
      </c>
      <c r="AU15" s="83">
        <v>0</v>
      </c>
      <c r="AV15" s="84">
        <v>0</v>
      </c>
      <c r="AW15" s="84">
        <v>0</v>
      </c>
      <c r="AX15" s="84">
        <v>0</v>
      </c>
      <c r="AY15" s="84">
        <v>0</v>
      </c>
      <c r="AZ15" s="84">
        <v>0</v>
      </c>
      <c r="BA15" s="84">
        <v>0</v>
      </c>
      <c r="BB15" s="83">
        <v>0</v>
      </c>
      <c r="BC15" s="84">
        <v>0</v>
      </c>
      <c r="BD15" s="84">
        <v>0</v>
      </c>
      <c r="BE15" s="46">
        <v>-2</v>
      </c>
      <c r="BF15" s="46">
        <v>0</v>
      </c>
      <c r="BG15" s="46">
        <v>0</v>
      </c>
      <c r="BH15" s="46">
        <v>0</v>
      </c>
      <c r="BI15" s="83">
        <v>0</v>
      </c>
      <c r="BJ15" s="46">
        <v>0</v>
      </c>
      <c r="BK15" s="46">
        <v>0</v>
      </c>
      <c r="BL15" s="84">
        <v>0</v>
      </c>
      <c r="BM15" s="84">
        <v>0</v>
      </c>
      <c r="BN15" s="84">
        <v>0</v>
      </c>
      <c r="BO15" s="84">
        <v>0</v>
      </c>
      <c r="BP15" s="83">
        <v>0</v>
      </c>
      <c r="BQ15" s="84">
        <v>0</v>
      </c>
      <c r="BR15" s="84">
        <v>0</v>
      </c>
      <c r="BS15" s="84">
        <v>0</v>
      </c>
      <c r="BT15" s="84">
        <v>0</v>
      </c>
      <c r="BU15" s="84">
        <v>0</v>
      </c>
      <c r="BV15" s="84">
        <v>0</v>
      </c>
      <c r="BW15" s="83">
        <v>0</v>
      </c>
      <c r="BX15" s="84">
        <v>0</v>
      </c>
      <c r="BY15" s="84">
        <v>0</v>
      </c>
      <c r="BZ15" s="84">
        <v>0</v>
      </c>
      <c r="CA15" s="84">
        <v>0</v>
      </c>
      <c r="CB15" s="84">
        <v>0</v>
      </c>
      <c r="CC15" s="84">
        <v>0</v>
      </c>
      <c r="CD15" s="83">
        <v>0</v>
      </c>
      <c r="CE15" s="84">
        <v>0</v>
      </c>
      <c r="CF15" s="84">
        <v>0</v>
      </c>
      <c r="CG15" s="84">
        <v>0</v>
      </c>
      <c r="CH15" s="84">
        <v>0</v>
      </c>
      <c r="CI15" s="84">
        <v>0</v>
      </c>
      <c r="CJ15" s="84">
        <v>0</v>
      </c>
      <c r="CK15" s="83">
        <v>0</v>
      </c>
      <c r="CL15" s="84">
        <v>0</v>
      </c>
      <c r="CM15" s="84">
        <v>0</v>
      </c>
      <c r="CN15" s="84">
        <v>0</v>
      </c>
      <c r="CO15" s="84">
        <v>0</v>
      </c>
      <c r="CP15" s="84">
        <v>0</v>
      </c>
      <c r="CQ15" s="84">
        <v>0</v>
      </c>
      <c r="CR15" s="83">
        <v>0</v>
      </c>
      <c r="CS15" s="84">
        <v>0</v>
      </c>
      <c r="CT15" s="84">
        <v>0</v>
      </c>
      <c r="CU15" s="84">
        <v>0</v>
      </c>
      <c r="CV15" s="84">
        <v>0</v>
      </c>
      <c r="CW15" s="84">
        <v>0</v>
      </c>
      <c r="CX15" s="84">
        <v>0</v>
      </c>
      <c r="CY15" s="83">
        <v>0</v>
      </c>
      <c r="CZ15" s="84">
        <v>0</v>
      </c>
      <c r="DA15" s="84">
        <v>0</v>
      </c>
      <c r="DB15" s="84">
        <v>0</v>
      </c>
      <c r="DC15" s="84">
        <v>0</v>
      </c>
      <c r="DD15" s="84">
        <v>0</v>
      </c>
      <c r="DE15" s="84">
        <v>0</v>
      </c>
      <c r="DF15" s="83">
        <v>0</v>
      </c>
      <c r="DG15" s="84">
        <v>0</v>
      </c>
      <c r="DH15" s="84">
        <v>0</v>
      </c>
    </row>
    <row r="16" spans="1:112">
      <c r="L16" s="109">
        <v>13</v>
      </c>
      <c r="M16" s="103">
        <f t="shared" si="0"/>
        <v>0.72603694534508334</v>
      </c>
      <c r="N16" s="106">
        <f t="shared" si="1"/>
        <v>72.207389069016656</v>
      </c>
      <c r="P16" s="109">
        <v>13</v>
      </c>
      <c r="Q16" s="103">
        <f t="shared" si="2"/>
        <v>0.52786913955795733</v>
      </c>
      <c r="R16" s="106">
        <f t="shared" si="3"/>
        <v>12.573827911591454</v>
      </c>
      <c r="T16" s="46">
        <v>9</v>
      </c>
      <c r="U16" s="46">
        <v>40</v>
      </c>
      <c r="W16" s="46">
        <v>1919</v>
      </c>
      <c r="X16" s="46">
        <v>0</v>
      </c>
      <c r="Y16" s="46">
        <v>0</v>
      </c>
      <c r="Z16" s="46">
        <v>0</v>
      </c>
      <c r="AA16" s="46">
        <v>0</v>
      </c>
      <c r="AB16" s="46">
        <v>0</v>
      </c>
      <c r="AC16" s="46">
        <v>13</v>
      </c>
      <c r="AD16" s="46">
        <v>-10</v>
      </c>
      <c r="AE16" s="83">
        <v>1</v>
      </c>
      <c r="AF16" s="88">
        <v>-0.1</v>
      </c>
      <c r="AG16" s="83">
        <v>0</v>
      </c>
      <c r="AH16" s="83">
        <v>0</v>
      </c>
      <c r="AI16" s="85">
        <v>0</v>
      </c>
      <c r="AJ16" s="84">
        <v>0</v>
      </c>
      <c r="AK16" s="84">
        <v>0</v>
      </c>
      <c r="AL16" s="84">
        <v>0</v>
      </c>
      <c r="AM16" s="84">
        <v>0</v>
      </c>
      <c r="AN16" s="83">
        <v>0</v>
      </c>
      <c r="AO16" s="84">
        <v>0</v>
      </c>
      <c r="AP16" s="84">
        <v>0</v>
      </c>
      <c r="AQ16" s="84">
        <v>0</v>
      </c>
      <c r="AR16" s="84">
        <v>0</v>
      </c>
      <c r="AS16" s="84">
        <v>0</v>
      </c>
      <c r="AT16" s="84">
        <v>0</v>
      </c>
      <c r="AU16" s="83">
        <v>0</v>
      </c>
      <c r="AV16" s="84">
        <v>0</v>
      </c>
      <c r="AW16" s="84">
        <v>0</v>
      </c>
      <c r="AX16" s="84">
        <v>0</v>
      </c>
      <c r="AY16" s="84">
        <v>0</v>
      </c>
      <c r="AZ16" s="84">
        <v>0</v>
      </c>
      <c r="BA16" s="84">
        <v>0</v>
      </c>
      <c r="BB16" s="83">
        <v>0</v>
      </c>
      <c r="BC16" s="84">
        <v>0</v>
      </c>
      <c r="BD16" s="84">
        <v>0</v>
      </c>
      <c r="BE16" s="46">
        <v>0</v>
      </c>
      <c r="BF16" s="46">
        <v>0</v>
      </c>
      <c r="BG16" s="46">
        <v>0</v>
      </c>
      <c r="BH16" s="46">
        <v>7</v>
      </c>
      <c r="BI16" s="83">
        <v>0</v>
      </c>
      <c r="BJ16" s="46">
        <v>0</v>
      </c>
      <c r="BK16" s="46">
        <v>0</v>
      </c>
      <c r="BL16" s="84">
        <v>0</v>
      </c>
      <c r="BM16" s="84">
        <v>0</v>
      </c>
      <c r="BN16" s="84">
        <v>0</v>
      </c>
      <c r="BO16" s="84">
        <v>0</v>
      </c>
      <c r="BP16" s="83">
        <v>0</v>
      </c>
      <c r="BQ16" s="84">
        <v>0</v>
      </c>
      <c r="BR16" s="84">
        <v>0</v>
      </c>
      <c r="BS16" s="84">
        <v>0</v>
      </c>
      <c r="BT16" s="84">
        <v>0</v>
      </c>
      <c r="BU16" s="84">
        <v>0</v>
      </c>
      <c r="BV16" s="84">
        <v>0</v>
      </c>
      <c r="BW16" s="83">
        <v>0</v>
      </c>
      <c r="BX16" s="84">
        <v>0</v>
      </c>
      <c r="BY16" s="84">
        <v>0</v>
      </c>
      <c r="BZ16" s="84">
        <v>0</v>
      </c>
      <c r="CA16" s="84">
        <v>0</v>
      </c>
      <c r="CB16" s="84">
        <v>0</v>
      </c>
      <c r="CC16" s="84">
        <v>0</v>
      </c>
      <c r="CD16" s="83">
        <v>0</v>
      </c>
      <c r="CE16" s="84">
        <v>0</v>
      </c>
      <c r="CF16" s="84">
        <v>0</v>
      </c>
      <c r="CG16" s="84">
        <v>3</v>
      </c>
      <c r="CH16" s="84">
        <v>4</v>
      </c>
      <c r="CI16" s="84">
        <v>1</v>
      </c>
      <c r="CJ16" s="84">
        <v>6</v>
      </c>
      <c r="CK16" s="83">
        <v>0</v>
      </c>
      <c r="CL16" s="84">
        <v>0</v>
      </c>
      <c r="CM16" s="84">
        <v>0</v>
      </c>
      <c r="CN16" s="84">
        <v>4</v>
      </c>
      <c r="CO16" s="84">
        <v>0</v>
      </c>
      <c r="CP16" s="84">
        <v>1</v>
      </c>
      <c r="CQ16" s="84">
        <v>1</v>
      </c>
      <c r="CR16" s="83">
        <v>0</v>
      </c>
      <c r="CS16" s="84">
        <v>0</v>
      </c>
      <c r="CT16" s="84">
        <v>0</v>
      </c>
      <c r="CU16" s="84">
        <v>3</v>
      </c>
      <c r="CV16" s="84">
        <v>4</v>
      </c>
      <c r="CW16" s="84">
        <v>1</v>
      </c>
      <c r="CX16" s="84">
        <v>4</v>
      </c>
      <c r="CY16" s="83">
        <v>0</v>
      </c>
      <c r="CZ16" s="84">
        <v>0</v>
      </c>
      <c r="DA16" s="84">
        <v>0</v>
      </c>
      <c r="DB16" s="84">
        <v>8</v>
      </c>
      <c r="DC16" s="84">
        <v>0</v>
      </c>
      <c r="DD16" s="84">
        <v>1</v>
      </c>
      <c r="DE16" s="84">
        <v>5</v>
      </c>
      <c r="DF16" s="83">
        <v>0</v>
      </c>
      <c r="DG16" s="84">
        <v>0</v>
      </c>
      <c r="DH16" s="84">
        <v>0</v>
      </c>
    </row>
    <row r="17" spans="12:112">
      <c r="L17" s="109">
        <v>14</v>
      </c>
      <c r="M17" s="103">
        <f t="shared" si="0"/>
        <v>0.7115779210876263</v>
      </c>
      <c r="N17" s="106">
        <f t="shared" si="1"/>
        <v>69.315584217525242</v>
      </c>
      <c r="P17" s="109">
        <v>14</v>
      </c>
      <c r="Q17" s="103">
        <f t="shared" si="2"/>
        <v>0.49719077844919418</v>
      </c>
      <c r="R17" s="106">
        <f t="shared" si="3"/>
        <v>6.4381556898388226</v>
      </c>
      <c r="T17" s="46">
        <v>10</v>
      </c>
      <c r="U17" s="46">
        <v>45</v>
      </c>
    </row>
    <row r="18" spans="12:112">
      <c r="L18" s="109">
        <v>15</v>
      </c>
      <c r="M18" s="103">
        <f t="shared" si="0"/>
        <v>0.6979592171561918</v>
      </c>
      <c r="N18" s="106">
        <f t="shared" si="1"/>
        <v>66.591843431238345</v>
      </c>
      <c r="P18" s="109">
        <v>15</v>
      </c>
      <c r="Q18" s="103">
        <f t="shared" si="2"/>
        <v>0.46712337683814609</v>
      </c>
      <c r="R18" s="106">
        <f t="shared" si="3"/>
        <v>0.42467536762920943</v>
      </c>
      <c r="T18" s="46">
        <v>11</v>
      </c>
      <c r="U18" s="46">
        <v>50</v>
      </c>
      <c r="W18" s="6" t="s">
        <v>0</v>
      </c>
      <c r="X18" s="6" t="s">
        <v>338</v>
      </c>
      <c r="Y18" s="6" t="s">
        <v>340</v>
      </c>
      <c r="Z18" s="6" t="s">
        <v>341</v>
      </c>
      <c r="AA18" s="6" t="s">
        <v>98</v>
      </c>
      <c r="AB18" s="6" t="s">
        <v>342</v>
      </c>
      <c r="AC18" s="6" t="s">
        <v>343</v>
      </c>
      <c r="AD18" s="6" t="s">
        <v>344</v>
      </c>
      <c r="AE18" s="6" t="s">
        <v>345</v>
      </c>
      <c r="AF18" s="6" t="s">
        <v>346</v>
      </c>
      <c r="AG18" s="6" t="s">
        <v>352</v>
      </c>
      <c r="AH18" s="6" t="s">
        <v>353</v>
      </c>
      <c r="AI18" s="86" t="s">
        <v>355</v>
      </c>
      <c r="AJ18" s="80" t="s">
        <v>357</v>
      </c>
      <c r="AK18" s="80"/>
      <c r="AL18" s="80"/>
      <c r="AM18" s="80"/>
      <c r="AN18" s="80"/>
      <c r="AO18" s="80"/>
      <c r="AP18" s="80"/>
      <c r="AQ18" s="81" t="s">
        <v>349</v>
      </c>
      <c r="AR18" s="81"/>
      <c r="AS18" s="81"/>
      <c r="AT18" s="81"/>
      <c r="AU18" s="81"/>
      <c r="AV18" s="81"/>
      <c r="AW18" s="81"/>
      <c r="AX18" s="89" t="s">
        <v>350</v>
      </c>
      <c r="AY18" s="89"/>
      <c r="AZ18" s="89"/>
      <c r="BA18" s="89"/>
      <c r="BB18" s="89"/>
      <c r="BC18" s="89"/>
      <c r="BD18" s="89"/>
      <c r="BE18" s="87" t="s">
        <v>356</v>
      </c>
      <c r="BF18" s="87"/>
      <c r="BG18" s="87"/>
      <c r="BH18" s="87"/>
      <c r="BI18" s="87"/>
      <c r="BJ18" s="87"/>
      <c r="BK18" s="87"/>
      <c r="BL18" s="82" t="s">
        <v>358</v>
      </c>
      <c r="BM18" s="82"/>
      <c r="BN18" s="82"/>
      <c r="BO18" s="82"/>
      <c r="BP18" s="82"/>
      <c r="BQ18" s="82"/>
      <c r="BR18" s="82"/>
      <c r="BS18" s="90" t="s">
        <v>361</v>
      </c>
      <c r="BT18" s="90"/>
      <c r="BU18" s="90"/>
      <c r="BV18" s="90"/>
      <c r="BW18" s="90"/>
      <c r="BX18" s="90"/>
      <c r="BY18" s="90"/>
      <c r="BZ18" s="91" t="s">
        <v>362</v>
      </c>
      <c r="CA18" s="91"/>
      <c r="CB18" s="91"/>
      <c r="CC18" s="91"/>
      <c r="CD18" s="91"/>
      <c r="CE18" s="91"/>
      <c r="CF18" s="91"/>
      <c r="CG18" s="92" t="s">
        <v>367</v>
      </c>
      <c r="CH18" s="92"/>
      <c r="CI18" s="92"/>
      <c r="CJ18" s="92"/>
      <c r="CK18" s="92"/>
      <c r="CL18" s="92"/>
      <c r="CM18" s="92"/>
      <c r="CN18" s="93" t="s">
        <v>363</v>
      </c>
      <c r="CO18" s="93"/>
      <c r="CP18" s="93"/>
      <c r="CQ18" s="93"/>
      <c r="CR18" s="93"/>
      <c r="CS18" s="93"/>
      <c r="CT18" s="93"/>
      <c r="CU18" s="95" t="s">
        <v>364</v>
      </c>
      <c r="CV18" s="95"/>
      <c r="CW18" s="95"/>
      <c r="CX18" s="95"/>
      <c r="CY18" s="95"/>
      <c r="CZ18" s="95"/>
      <c r="DA18" s="95"/>
      <c r="DB18" s="94" t="s">
        <v>365</v>
      </c>
      <c r="DC18" s="94"/>
      <c r="DD18" s="94"/>
      <c r="DE18" s="94"/>
      <c r="DF18" s="94"/>
      <c r="DG18" s="94"/>
      <c r="DH18" s="94"/>
    </row>
    <row r="19" spans="12:112">
      <c r="L19" s="109">
        <v>16</v>
      </c>
      <c r="M19" s="103">
        <f t="shared" si="0"/>
        <v>0.6851640985732339</v>
      </c>
      <c r="N19" s="106">
        <f t="shared" si="1"/>
        <v>64.032819714646763</v>
      </c>
      <c r="P19" s="109">
        <v>16</v>
      </c>
      <c r="Q19" s="103">
        <f t="shared" si="2"/>
        <v>0.43763142737140082</v>
      </c>
      <c r="R19" s="106">
        <f t="shared" si="3"/>
        <v>0</v>
      </c>
      <c r="T19" s="46">
        <v>12</v>
      </c>
      <c r="U19" s="46">
        <v>60</v>
      </c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86"/>
      <c r="AJ19" s="46" t="s">
        <v>194</v>
      </c>
      <c r="AK19" s="46" t="s">
        <v>359</v>
      </c>
      <c r="AL19" s="46" t="s">
        <v>205</v>
      </c>
      <c r="AM19" s="46" t="s">
        <v>347</v>
      </c>
      <c r="AN19" s="46" t="s">
        <v>207</v>
      </c>
      <c r="AO19" s="46" t="s">
        <v>348</v>
      </c>
      <c r="AP19" s="46" t="s">
        <v>351</v>
      </c>
      <c r="AQ19" s="46" t="s">
        <v>194</v>
      </c>
      <c r="AR19" s="46" t="s">
        <v>359</v>
      </c>
      <c r="AS19" s="46" t="s">
        <v>205</v>
      </c>
      <c r="AT19" s="46" t="s">
        <v>347</v>
      </c>
      <c r="AU19" s="46" t="s">
        <v>207</v>
      </c>
      <c r="AV19" s="46" t="s">
        <v>348</v>
      </c>
      <c r="AW19" s="46" t="s">
        <v>351</v>
      </c>
      <c r="AX19" s="46" t="s">
        <v>194</v>
      </c>
      <c r="AY19" s="46" t="s">
        <v>359</v>
      </c>
      <c r="AZ19" s="46" t="s">
        <v>205</v>
      </c>
      <c r="BA19" s="46" t="s">
        <v>347</v>
      </c>
      <c r="BB19" s="46" t="s">
        <v>207</v>
      </c>
      <c r="BC19" s="46" t="s">
        <v>348</v>
      </c>
      <c r="BD19" s="46" t="s">
        <v>351</v>
      </c>
      <c r="BE19" s="46" t="s">
        <v>194</v>
      </c>
      <c r="BF19" s="46" t="s">
        <v>359</v>
      </c>
      <c r="BG19" s="46" t="s">
        <v>205</v>
      </c>
      <c r="BH19" s="46" t="s">
        <v>347</v>
      </c>
      <c r="BI19" s="46" t="s">
        <v>207</v>
      </c>
      <c r="BJ19" s="46" t="s">
        <v>348</v>
      </c>
      <c r="BK19" s="46" t="s">
        <v>351</v>
      </c>
      <c r="BL19" s="46" t="s">
        <v>194</v>
      </c>
      <c r="BM19" s="46" t="s">
        <v>359</v>
      </c>
      <c r="BN19" s="46" t="s">
        <v>205</v>
      </c>
      <c r="BO19" s="46" t="s">
        <v>347</v>
      </c>
      <c r="BP19" s="46" t="s">
        <v>207</v>
      </c>
      <c r="BQ19" s="46" t="s">
        <v>348</v>
      </c>
      <c r="BR19" s="46" t="s">
        <v>351</v>
      </c>
      <c r="BS19" s="46" t="s">
        <v>194</v>
      </c>
      <c r="BT19" s="46" t="s">
        <v>359</v>
      </c>
      <c r="BU19" s="46" t="s">
        <v>205</v>
      </c>
      <c r="BV19" s="46" t="s">
        <v>347</v>
      </c>
      <c r="BW19" s="46" t="s">
        <v>207</v>
      </c>
      <c r="BX19" s="46" t="s">
        <v>348</v>
      </c>
      <c r="BY19" s="46" t="s">
        <v>351</v>
      </c>
      <c r="BZ19" s="46" t="s">
        <v>194</v>
      </c>
      <c r="CA19" s="46" t="s">
        <v>359</v>
      </c>
      <c r="CB19" s="46" t="s">
        <v>205</v>
      </c>
      <c r="CC19" s="46" t="s">
        <v>347</v>
      </c>
      <c r="CD19" s="46" t="s">
        <v>207</v>
      </c>
      <c r="CE19" s="46" t="s">
        <v>348</v>
      </c>
      <c r="CF19" s="46" t="s">
        <v>351</v>
      </c>
      <c r="CG19" s="46" t="s">
        <v>194</v>
      </c>
      <c r="CH19" s="46" t="s">
        <v>359</v>
      </c>
      <c r="CI19" s="46" t="s">
        <v>205</v>
      </c>
      <c r="CJ19" s="46" t="s">
        <v>347</v>
      </c>
      <c r="CK19" s="46" t="s">
        <v>207</v>
      </c>
      <c r="CL19" s="46" t="s">
        <v>348</v>
      </c>
      <c r="CM19" s="46" t="s">
        <v>351</v>
      </c>
      <c r="CN19" s="46" t="s">
        <v>194</v>
      </c>
      <c r="CO19" s="46" t="s">
        <v>359</v>
      </c>
      <c r="CP19" s="46" t="s">
        <v>205</v>
      </c>
      <c r="CQ19" s="46" t="s">
        <v>347</v>
      </c>
      <c r="CR19" s="46" t="s">
        <v>207</v>
      </c>
      <c r="CS19" s="46" t="s">
        <v>348</v>
      </c>
      <c r="CT19" s="46" t="s">
        <v>351</v>
      </c>
      <c r="CU19" s="46" t="s">
        <v>194</v>
      </c>
      <c r="CV19" s="46" t="s">
        <v>359</v>
      </c>
      <c r="CW19" s="46" t="s">
        <v>205</v>
      </c>
      <c r="CX19" s="46" t="s">
        <v>347</v>
      </c>
      <c r="CY19" s="46" t="s">
        <v>207</v>
      </c>
      <c r="CZ19" s="46" t="s">
        <v>348</v>
      </c>
      <c r="DA19" s="46" t="s">
        <v>351</v>
      </c>
      <c r="DB19" s="46" t="s">
        <v>194</v>
      </c>
      <c r="DC19" s="46" t="s">
        <v>359</v>
      </c>
      <c r="DD19" s="46" t="s">
        <v>205</v>
      </c>
      <c r="DE19" s="46" t="s">
        <v>347</v>
      </c>
      <c r="DF19" s="46" t="s">
        <v>207</v>
      </c>
      <c r="DG19" s="46" t="s">
        <v>348</v>
      </c>
      <c r="DH19" s="46" t="s">
        <v>351</v>
      </c>
    </row>
    <row r="20" spans="12:112">
      <c r="L20" s="109">
        <v>17</v>
      </c>
      <c r="M20" s="103">
        <f t="shared" si="0"/>
        <v>0.6851640985732339</v>
      </c>
      <c r="N20" s="106">
        <f t="shared" si="1"/>
        <v>64.032819714646763</v>
      </c>
      <c r="P20" s="109">
        <v>17</v>
      </c>
      <c r="Q20" s="103">
        <f t="shared" si="2"/>
        <v>0.37972883227743004</v>
      </c>
      <c r="R20" s="106">
        <f t="shared" si="3"/>
        <v>0</v>
      </c>
      <c r="T20" s="46">
        <v>13</v>
      </c>
      <c r="U20" s="46">
        <v>70</v>
      </c>
      <c r="W20" s="46" t="s">
        <v>211</v>
      </c>
      <c r="X20" s="46" t="str">
        <f>X3</f>
        <v>Clipper Transport, Frigate, Man'o'war</v>
      </c>
      <c r="Y20" s="46">
        <f t="shared" ref="Y20:BU20" si="4">SUM(Y3)</f>
        <v>0</v>
      </c>
      <c r="Z20" s="46">
        <f t="shared" si="4"/>
        <v>0</v>
      </c>
      <c r="AA20" s="46">
        <f t="shared" si="4"/>
        <v>0</v>
      </c>
      <c r="AB20" s="46">
        <f t="shared" si="4"/>
        <v>0</v>
      </c>
      <c r="AC20" s="46">
        <f t="shared" si="4"/>
        <v>30</v>
      </c>
      <c r="AD20" s="46">
        <f t="shared" si="4"/>
        <v>0</v>
      </c>
      <c r="AE20" s="46">
        <f t="shared" si="4"/>
        <v>0</v>
      </c>
      <c r="AF20" s="88">
        <f t="shared" si="4"/>
        <v>0</v>
      </c>
      <c r="AG20" s="83">
        <f t="shared" si="4"/>
        <v>0</v>
      </c>
      <c r="AH20" s="83">
        <f t="shared" si="4"/>
        <v>0</v>
      </c>
      <c r="AI20" s="46">
        <f t="shared" si="4"/>
        <v>0</v>
      </c>
      <c r="AJ20" s="46">
        <f t="shared" si="4"/>
        <v>1</v>
      </c>
      <c r="AK20" s="46">
        <f t="shared" si="4"/>
        <v>0</v>
      </c>
      <c r="AL20" s="46">
        <f t="shared" si="4"/>
        <v>1</v>
      </c>
      <c r="AM20" s="46">
        <f t="shared" si="4"/>
        <v>6</v>
      </c>
      <c r="AN20" s="83">
        <f t="shared" si="4"/>
        <v>0</v>
      </c>
      <c r="AO20" s="46">
        <f t="shared" si="4"/>
        <v>20</v>
      </c>
      <c r="AP20" s="46">
        <f t="shared" si="4"/>
        <v>90</v>
      </c>
      <c r="AQ20" s="46">
        <f t="shared" si="4"/>
        <v>3</v>
      </c>
      <c r="AR20" s="46">
        <f t="shared" si="4"/>
        <v>0</v>
      </c>
      <c r="AS20" s="46">
        <f t="shared" si="4"/>
        <v>2</v>
      </c>
      <c r="AT20" s="46">
        <f t="shared" si="4"/>
        <v>6</v>
      </c>
      <c r="AU20" s="83">
        <f t="shared" si="4"/>
        <v>0.1</v>
      </c>
      <c r="AV20" s="46">
        <f t="shared" si="4"/>
        <v>25</v>
      </c>
      <c r="AW20" s="46">
        <f t="shared" si="4"/>
        <v>180</v>
      </c>
      <c r="AX20" s="46">
        <f t="shared" si="4"/>
        <v>6</v>
      </c>
      <c r="AY20" s="46">
        <f t="shared" si="4"/>
        <v>0</v>
      </c>
      <c r="AZ20" s="46">
        <f t="shared" si="4"/>
        <v>3</v>
      </c>
      <c r="BA20" s="46">
        <f t="shared" si="4"/>
        <v>6</v>
      </c>
      <c r="BB20" s="83">
        <f t="shared" si="4"/>
        <v>0</v>
      </c>
      <c r="BC20" s="46">
        <f t="shared" si="4"/>
        <v>30</v>
      </c>
      <c r="BD20" s="46">
        <f t="shared" si="4"/>
        <v>360</v>
      </c>
      <c r="BE20" s="46">
        <f t="shared" si="4"/>
        <v>1</v>
      </c>
      <c r="BF20" s="46">
        <f t="shared" si="4"/>
        <v>0</v>
      </c>
      <c r="BG20" s="46">
        <f t="shared" si="4"/>
        <v>5</v>
      </c>
      <c r="BH20" s="46">
        <f t="shared" si="4"/>
        <v>16</v>
      </c>
      <c r="BI20" s="83">
        <f t="shared" si="4"/>
        <v>0</v>
      </c>
      <c r="BJ20" s="46">
        <f t="shared" si="4"/>
        <v>40</v>
      </c>
      <c r="BK20" s="46">
        <f t="shared" si="4"/>
        <v>90</v>
      </c>
      <c r="BL20" s="46">
        <f t="shared" si="4"/>
        <v>4</v>
      </c>
      <c r="BM20" s="46">
        <f t="shared" si="4"/>
        <v>0</v>
      </c>
      <c r="BN20" s="46">
        <f t="shared" si="4"/>
        <v>6</v>
      </c>
      <c r="BO20" s="46">
        <f t="shared" si="4"/>
        <v>17</v>
      </c>
      <c r="BP20" s="83">
        <f t="shared" si="4"/>
        <v>0.25</v>
      </c>
      <c r="BQ20" s="46">
        <f t="shared" si="4"/>
        <v>60</v>
      </c>
      <c r="BR20" s="46">
        <f t="shared" si="4"/>
        <v>360</v>
      </c>
      <c r="BS20" s="46">
        <f t="shared" si="4"/>
        <v>12</v>
      </c>
      <c r="BT20" s="46">
        <f t="shared" si="4"/>
        <v>0</v>
      </c>
      <c r="BU20" s="46">
        <f t="shared" si="4"/>
        <v>12</v>
      </c>
      <c r="BV20" s="46">
        <f t="shared" ref="BV20:CI20" si="5">SUM(BV3)</f>
        <v>20</v>
      </c>
      <c r="BW20" s="83">
        <f t="shared" si="5"/>
        <v>0</v>
      </c>
      <c r="BX20" s="46">
        <f t="shared" si="5"/>
        <v>50</v>
      </c>
      <c r="BY20" s="46">
        <f t="shared" si="5"/>
        <v>360</v>
      </c>
      <c r="BZ20" s="46">
        <f t="shared" si="5"/>
        <v>20</v>
      </c>
      <c r="CA20" s="46">
        <f t="shared" si="5"/>
        <v>0</v>
      </c>
      <c r="CB20" s="46">
        <f t="shared" si="5"/>
        <v>10</v>
      </c>
      <c r="CC20" s="46">
        <f t="shared" si="5"/>
        <v>8</v>
      </c>
      <c r="CD20" s="83">
        <f t="shared" si="5"/>
        <v>0</v>
      </c>
      <c r="CE20" s="46">
        <f t="shared" si="5"/>
        <v>60</v>
      </c>
      <c r="CF20" s="46">
        <f t="shared" si="5"/>
        <v>360</v>
      </c>
      <c r="CG20" s="46">
        <f t="shared" si="5"/>
        <v>30</v>
      </c>
      <c r="CH20" s="46">
        <f t="shared" si="5"/>
        <v>2</v>
      </c>
      <c r="CI20" s="46">
        <f t="shared" si="5"/>
        <v>50</v>
      </c>
      <c r="CJ20" s="46">
        <f t="shared" ref="CJ20:DA20" si="6">SUM(CJ3)</f>
        <v>27</v>
      </c>
      <c r="CK20" s="83">
        <f t="shared" si="6"/>
        <v>0.3</v>
      </c>
      <c r="CL20" s="46">
        <f t="shared" si="6"/>
        <v>65</v>
      </c>
      <c r="CM20" s="46">
        <f t="shared" si="6"/>
        <v>240</v>
      </c>
      <c r="CN20" s="46">
        <f t="shared" si="6"/>
        <v>50</v>
      </c>
      <c r="CO20" s="46">
        <f t="shared" si="6"/>
        <v>0</v>
      </c>
      <c r="CP20" s="46">
        <f t="shared" si="6"/>
        <v>70</v>
      </c>
      <c r="CQ20" s="46">
        <f t="shared" si="6"/>
        <v>26</v>
      </c>
      <c r="CR20" s="83">
        <f t="shared" si="6"/>
        <v>0</v>
      </c>
      <c r="CS20" s="46">
        <f t="shared" si="6"/>
        <v>75</v>
      </c>
      <c r="CT20" s="46">
        <f t="shared" si="6"/>
        <v>360</v>
      </c>
      <c r="CU20" s="46">
        <f t="shared" si="6"/>
        <v>14</v>
      </c>
      <c r="CV20" s="46">
        <f t="shared" si="6"/>
        <v>8</v>
      </c>
      <c r="CW20" s="46">
        <f t="shared" si="6"/>
        <v>30</v>
      </c>
      <c r="CX20" s="46">
        <f t="shared" si="6"/>
        <v>5</v>
      </c>
      <c r="CY20" s="83">
        <f t="shared" si="6"/>
        <v>0.6</v>
      </c>
      <c r="CZ20" s="46">
        <f t="shared" si="6"/>
        <v>70</v>
      </c>
      <c r="DA20" s="46">
        <f t="shared" si="6"/>
        <v>240</v>
      </c>
      <c r="DB20" s="46">
        <f t="shared" ref="DB20:DH20" si="7">SUM(DB3)</f>
        <v>60</v>
      </c>
      <c r="DC20" s="46">
        <f t="shared" si="7"/>
        <v>0</v>
      </c>
      <c r="DD20" s="46">
        <f t="shared" si="7"/>
        <v>80</v>
      </c>
      <c r="DE20" s="46">
        <f t="shared" si="7"/>
        <v>31</v>
      </c>
      <c r="DF20" s="83">
        <f t="shared" si="7"/>
        <v>0</v>
      </c>
      <c r="DG20" s="46">
        <f t="shared" si="7"/>
        <v>80</v>
      </c>
      <c r="DH20" s="46">
        <f t="shared" si="7"/>
        <v>360</v>
      </c>
    </row>
    <row r="21" spans="12:112">
      <c r="L21" s="109">
        <v>18</v>
      </c>
      <c r="M21" s="103">
        <f t="shared" si="0"/>
        <v>0.6851640985732339</v>
      </c>
      <c r="N21" s="106">
        <f t="shared" si="1"/>
        <v>64.032819714646763</v>
      </c>
      <c r="P21" s="109">
        <v>18</v>
      </c>
      <c r="Q21" s="103">
        <f t="shared" si="2"/>
        <v>0.32182623718345926</v>
      </c>
      <c r="R21" s="106">
        <f t="shared" si="3"/>
        <v>0</v>
      </c>
      <c r="T21" s="46">
        <v>14</v>
      </c>
      <c r="U21" s="46">
        <v>80</v>
      </c>
      <c r="W21" s="46" t="s">
        <v>212</v>
      </c>
      <c r="X21" s="46">
        <f t="shared" ref="X21:X33" si="8">X4</f>
        <v>0</v>
      </c>
      <c r="Y21" s="46">
        <f t="shared" ref="Y21:BU21" si="9">SUM(Y3:Y4)</f>
        <v>0</v>
      </c>
      <c r="Z21" s="46">
        <f t="shared" si="9"/>
        <v>0</v>
      </c>
      <c r="AA21" s="46">
        <f t="shared" si="9"/>
        <v>0</v>
      </c>
      <c r="AB21" s="46">
        <f t="shared" si="9"/>
        <v>0</v>
      </c>
      <c r="AC21" s="46">
        <f t="shared" si="9"/>
        <v>30</v>
      </c>
      <c r="AD21" s="46">
        <f t="shared" si="9"/>
        <v>0</v>
      </c>
      <c r="AE21" s="46">
        <f t="shared" si="9"/>
        <v>0</v>
      </c>
      <c r="AF21" s="88">
        <f t="shared" si="9"/>
        <v>0</v>
      </c>
      <c r="AG21" s="83">
        <f t="shared" si="9"/>
        <v>0</v>
      </c>
      <c r="AH21" s="83">
        <f t="shared" si="9"/>
        <v>0</v>
      </c>
      <c r="AI21" s="46">
        <f t="shared" si="9"/>
        <v>0</v>
      </c>
      <c r="AJ21" s="46">
        <f t="shared" si="9"/>
        <v>1</v>
      </c>
      <c r="AK21" s="46">
        <f t="shared" si="9"/>
        <v>0</v>
      </c>
      <c r="AL21" s="46">
        <f t="shared" si="9"/>
        <v>1</v>
      </c>
      <c r="AM21" s="46">
        <f t="shared" si="9"/>
        <v>6</v>
      </c>
      <c r="AN21" s="83">
        <f t="shared" si="9"/>
        <v>0</v>
      </c>
      <c r="AO21" s="46">
        <f t="shared" si="9"/>
        <v>20</v>
      </c>
      <c r="AP21" s="46">
        <f t="shared" si="9"/>
        <v>90</v>
      </c>
      <c r="AQ21" s="46">
        <f t="shared" si="9"/>
        <v>3</v>
      </c>
      <c r="AR21" s="46">
        <f t="shared" si="9"/>
        <v>0</v>
      </c>
      <c r="AS21" s="46">
        <f t="shared" si="9"/>
        <v>2</v>
      </c>
      <c r="AT21" s="46">
        <f t="shared" si="9"/>
        <v>6</v>
      </c>
      <c r="AU21" s="83">
        <f t="shared" si="9"/>
        <v>0.1</v>
      </c>
      <c r="AV21" s="46">
        <f t="shared" si="9"/>
        <v>25</v>
      </c>
      <c r="AW21" s="46">
        <f t="shared" si="9"/>
        <v>180</v>
      </c>
      <c r="AX21" s="46">
        <f t="shared" si="9"/>
        <v>6</v>
      </c>
      <c r="AY21" s="46">
        <f t="shared" si="9"/>
        <v>0</v>
      </c>
      <c r="AZ21" s="46">
        <f t="shared" si="9"/>
        <v>3</v>
      </c>
      <c r="BA21" s="46">
        <f t="shared" si="9"/>
        <v>6</v>
      </c>
      <c r="BB21" s="83">
        <f t="shared" si="9"/>
        <v>0</v>
      </c>
      <c r="BC21" s="46">
        <f t="shared" si="9"/>
        <v>30</v>
      </c>
      <c r="BD21" s="46">
        <f t="shared" si="9"/>
        <v>360</v>
      </c>
      <c r="BE21" s="46">
        <f t="shared" si="9"/>
        <v>1</v>
      </c>
      <c r="BF21" s="46">
        <f t="shared" si="9"/>
        <v>0</v>
      </c>
      <c r="BG21" s="46">
        <f t="shared" si="9"/>
        <v>5</v>
      </c>
      <c r="BH21" s="46">
        <f t="shared" si="9"/>
        <v>16</v>
      </c>
      <c r="BI21" s="83">
        <f t="shared" si="9"/>
        <v>0</v>
      </c>
      <c r="BJ21" s="46">
        <f t="shared" si="9"/>
        <v>40</v>
      </c>
      <c r="BK21" s="46">
        <f t="shared" si="9"/>
        <v>90</v>
      </c>
      <c r="BL21" s="46">
        <f t="shared" si="9"/>
        <v>4</v>
      </c>
      <c r="BM21" s="46">
        <f t="shared" si="9"/>
        <v>0</v>
      </c>
      <c r="BN21" s="46">
        <f t="shared" si="9"/>
        <v>6</v>
      </c>
      <c r="BO21" s="46">
        <f t="shared" si="9"/>
        <v>17</v>
      </c>
      <c r="BP21" s="83">
        <f t="shared" si="9"/>
        <v>0.25</v>
      </c>
      <c r="BQ21" s="46">
        <f t="shared" si="9"/>
        <v>60</v>
      </c>
      <c r="BR21" s="46">
        <f t="shared" si="9"/>
        <v>360</v>
      </c>
      <c r="BS21" s="46">
        <f t="shared" si="9"/>
        <v>12</v>
      </c>
      <c r="BT21" s="46">
        <f t="shared" si="9"/>
        <v>0</v>
      </c>
      <c r="BU21" s="46">
        <f t="shared" si="9"/>
        <v>12</v>
      </c>
      <c r="BV21" s="46">
        <f t="shared" ref="BV21:CI21" si="10">SUM(BV3:BV4)</f>
        <v>20</v>
      </c>
      <c r="BW21" s="83">
        <f t="shared" si="10"/>
        <v>0</v>
      </c>
      <c r="BX21" s="46">
        <f t="shared" si="10"/>
        <v>50</v>
      </c>
      <c r="BY21" s="46">
        <f t="shared" si="10"/>
        <v>360</v>
      </c>
      <c r="BZ21" s="46">
        <f t="shared" si="10"/>
        <v>20</v>
      </c>
      <c r="CA21" s="46">
        <f t="shared" si="10"/>
        <v>0</v>
      </c>
      <c r="CB21" s="46">
        <f t="shared" si="10"/>
        <v>10</v>
      </c>
      <c r="CC21" s="46">
        <f t="shared" si="10"/>
        <v>8</v>
      </c>
      <c r="CD21" s="83">
        <f t="shared" si="10"/>
        <v>0</v>
      </c>
      <c r="CE21" s="46">
        <f t="shared" si="10"/>
        <v>60</v>
      </c>
      <c r="CF21" s="46">
        <f t="shared" si="10"/>
        <v>360</v>
      </c>
      <c r="CG21" s="46">
        <f t="shared" si="10"/>
        <v>30</v>
      </c>
      <c r="CH21" s="46">
        <f t="shared" si="10"/>
        <v>2</v>
      </c>
      <c r="CI21" s="46">
        <f t="shared" si="10"/>
        <v>50</v>
      </c>
      <c r="CJ21" s="46">
        <f t="shared" ref="CJ21:DA21" si="11">SUM(CJ3:CJ4)</f>
        <v>27</v>
      </c>
      <c r="CK21" s="83">
        <f t="shared" si="11"/>
        <v>0.3</v>
      </c>
      <c r="CL21" s="46">
        <f t="shared" si="11"/>
        <v>65</v>
      </c>
      <c r="CM21" s="46">
        <f t="shared" si="11"/>
        <v>240</v>
      </c>
      <c r="CN21" s="46">
        <f t="shared" si="11"/>
        <v>50</v>
      </c>
      <c r="CO21" s="46">
        <f t="shared" si="11"/>
        <v>0</v>
      </c>
      <c r="CP21" s="46">
        <f t="shared" si="11"/>
        <v>70</v>
      </c>
      <c r="CQ21" s="46">
        <f t="shared" si="11"/>
        <v>26</v>
      </c>
      <c r="CR21" s="83">
        <f t="shared" si="11"/>
        <v>0</v>
      </c>
      <c r="CS21" s="46">
        <f t="shared" si="11"/>
        <v>75</v>
      </c>
      <c r="CT21" s="46">
        <f t="shared" si="11"/>
        <v>360</v>
      </c>
      <c r="CU21" s="46">
        <f t="shared" si="11"/>
        <v>14</v>
      </c>
      <c r="CV21" s="46">
        <f t="shared" si="11"/>
        <v>8</v>
      </c>
      <c r="CW21" s="46">
        <f t="shared" si="11"/>
        <v>30</v>
      </c>
      <c r="CX21" s="46">
        <f t="shared" si="11"/>
        <v>5</v>
      </c>
      <c r="CY21" s="83">
        <f t="shared" si="11"/>
        <v>0.6</v>
      </c>
      <c r="CZ21" s="46">
        <f t="shared" si="11"/>
        <v>70</v>
      </c>
      <c r="DA21" s="46">
        <f t="shared" si="11"/>
        <v>240</v>
      </c>
      <c r="DB21" s="46">
        <f t="shared" ref="DB21:DH21" si="12">SUM(DB3:DB4)</f>
        <v>60</v>
      </c>
      <c r="DC21" s="46">
        <f t="shared" si="12"/>
        <v>0</v>
      </c>
      <c r="DD21" s="46">
        <f t="shared" si="12"/>
        <v>80</v>
      </c>
      <c r="DE21" s="46">
        <f t="shared" si="12"/>
        <v>31</v>
      </c>
      <c r="DF21" s="83">
        <f t="shared" si="12"/>
        <v>0</v>
      </c>
      <c r="DG21" s="46">
        <f t="shared" si="12"/>
        <v>80</v>
      </c>
      <c r="DH21" s="46">
        <f t="shared" si="12"/>
        <v>360</v>
      </c>
    </row>
    <row r="22" spans="12:112">
      <c r="L22" s="109">
        <v>19</v>
      </c>
      <c r="M22" s="103">
        <f t="shared" si="0"/>
        <v>0.6851640985732339</v>
      </c>
      <c r="N22" s="106">
        <f t="shared" si="1"/>
        <v>64.032819714646763</v>
      </c>
      <c r="P22" s="109">
        <v>19</v>
      </c>
      <c r="Q22" s="103">
        <f t="shared" si="2"/>
        <v>0.26392364208948849</v>
      </c>
      <c r="R22" s="106">
        <f t="shared" si="3"/>
        <v>0</v>
      </c>
      <c r="W22" s="46" t="s">
        <v>213</v>
      </c>
      <c r="X22" s="46" t="str">
        <f t="shared" si="8"/>
        <v>Steam Transport, Steam Frigate</v>
      </c>
      <c r="Y22" s="46">
        <f t="shared" ref="Y22:BU22" si="13">SUM(Y3:Y5)</f>
        <v>0</v>
      </c>
      <c r="Z22" s="46">
        <f t="shared" si="13"/>
        <v>0</v>
      </c>
      <c r="AA22" s="46">
        <f t="shared" si="13"/>
        <v>1</v>
      </c>
      <c r="AB22" s="46">
        <f t="shared" si="13"/>
        <v>0</v>
      </c>
      <c r="AC22" s="46">
        <f t="shared" si="13"/>
        <v>30</v>
      </c>
      <c r="AD22" s="46">
        <f t="shared" si="13"/>
        <v>0</v>
      </c>
      <c r="AE22" s="46">
        <f t="shared" si="13"/>
        <v>0</v>
      </c>
      <c r="AF22" s="88">
        <f t="shared" si="13"/>
        <v>0</v>
      </c>
      <c r="AG22" s="83">
        <f t="shared" si="13"/>
        <v>0.2</v>
      </c>
      <c r="AH22" s="83">
        <f t="shared" si="13"/>
        <v>0.2</v>
      </c>
      <c r="AI22" s="46">
        <f t="shared" si="13"/>
        <v>10</v>
      </c>
      <c r="AJ22" s="46">
        <f t="shared" si="13"/>
        <v>1</v>
      </c>
      <c r="AK22" s="46">
        <f t="shared" si="13"/>
        <v>0</v>
      </c>
      <c r="AL22" s="46">
        <f t="shared" si="13"/>
        <v>1</v>
      </c>
      <c r="AM22" s="46">
        <f t="shared" si="13"/>
        <v>18</v>
      </c>
      <c r="AN22" s="83">
        <f t="shared" si="13"/>
        <v>0</v>
      </c>
      <c r="AO22" s="46">
        <f t="shared" si="13"/>
        <v>40</v>
      </c>
      <c r="AP22" s="46">
        <f t="shared" si="13"/>
        <v>90</v>
      </c>
      <c r="AQ22" s="46">
        <f t="shared" si="13"/>
        <v>4</v>
      </c>
      <c r="AR22" s="46">
        <f t="shared" si="13"/>
        <v>0</v>
      </c>
      <c r="AS22" s="46">
        <f t="shared" si="13"/>
        <v>3</v>
      </c>
      <c r="AT22" s="46">
        <f t="shared" si="13"/>
        <v>18</v>
      </c>
      <c r="AU22" s="83">
        <f t="shared" si="13"/>
        <v>0.25</v>
      </c>
      <c r="AV22" s="46">
        <f t="shared" si="13"/>
        <v>50</v>
      </c>
      <c r="AW22" s="46">
        <f t="shared" si="13"/>
        <v>180</v>
      </c>
      <c r="AX22" s="46">
        <f t="shared" si="13"/>
        <v>8</v>
      </c>
      <c r="AY22" s="46">
        <f t="shared" si="13"/>
        <v>0</v>
      </c>
      <c r="AZ22" s="46">
        <f t="shared" si="13"/>
        <v>4</v>
      </c>
      <c r="BA22" s="46">
        <f t="shared" si="13"/>
        <v>16</v>
      </c>
      <c r="BB22" s="83">
        <f t="shared" si="13"/>
        <v>0</v>
      </c>
      <c r="BC22" s="46">
        <f t="shared" si="13"/>
        <v>60</v>
      </c>
      <c r="BD22" s="46">
        <f t="shared" si="13"/>
        <v>360</v>
      </c>
      <c r="BE22" s="46">
        <f t="shared" si="13"/>
        <v>1</v>
      </c>
      <c r="BF22" s="46">
        <f t="shared" si="13"/>
        <v>0</v>
      </c>
      <c r="BG22" s="46">
        <f t="shared" si="13"/>
        <v>5</v>
      </c>
      <c r="BH22" s="46">
        <f t="shared" si="13"/>
        <v>16</v>
      </c>
      <c r="BI22" s="83">
        <f t="shared" si="13"/>
        <v>0</v>
      </c>
      <c r="BJ22" s="46">
        <f t="shared" si="13"/>
        <v>40</v>
      </c>
      <c r="BK22" s="46">
        <f t="shared" si="13"/>
        <v>90</v>
      </c>
      <c r="BL22" s="46">
        <f t="shared" si="13"/>
        <v>4</v>
      </c>
      <c r="BM22" s="46">
        <f t="shared" si="13"/>
        <v>0</v>
      </c>
      <c r="BN22" s="46">
        <f t="shared" si="13"/>
        <v>6</v>
      </c>
      <c r="BO22" s="46">
        <f t="shared" si="13"/>
        <v>17</v>
      </c>
      <c r="BP22" s="83">
        <f t="shared" si="13"/>
        <v>0.25</v>
      </c>
      <c r="BQ22" s="46">
        <f t="shared" si="13"/>
        <v>60</v>
      </c>
      <c r="BR22" s="46">
        <f t="shared" si="13"/>
        <v>360</v>
      </c>
      <c r="BS22" s="46">
        <f t="shared" si="13"/>
        <v>12</v>
      </c>
      <c r="BT22" s="46">
        <f t="shared" si="13"/>
        <v>0</v>
      </c>
      <c r="BU22" s="46">
        <f t="shared" si="13"/>
        <v>12</v>
      </c>
      <c r="BV22" s="46">
        <f t="shared" ref="BV22:CI22" si="14">SUM(BV3:BV5)</f>
        <v>20</v>
      </c>
      <c r="BW22" s="83">
        <f t="shared" si="14"/>
        <v>0</v>
      </c>
      <c r="BX22" s="46">
        <f t="shared" si="14"/>
        <v>50</v>
      </c>
      <c r="BY22" s="46">
        <f t="shared" si="14"/>
        <v>360</v>
      </c>
      <c r="BZ22" s="46">
        <f t="shared" si="14"/>
        <v>20</v>
      </c>
      <c r="CA22" s="46">
        <f t="shared" si="14"/>
        <v>0</v>
      </c>
      <c r="CB22" s="46">
        <f t="shared" si="14"/>
        <v>10</v>
      </c>
      <c r="CC22" s="46">
        <f t="shared" si="14"/>
        <v>8</v>
      </c>
      <c r="CD22" s="83">
        <f t="shared" si="14"/>
        <v>0</v>
      </c>
      <c r="CE22" s="46">
        <f t="shared" si="14"/>
        <v>60</v>
      </c>
      <c r="CF22" s="46">
        <f t="shared" si="14"/>
        <v>360</v>
      </c>
      <c r="CG22" s="46">
        <f t="shared" si="14"/>
        <v>30</v>
      </c>
      <c r="CH22" s="46">
        <f t="shared" si="14"/>
        <v>2</v>
      </c>
      <c r="CI22" s="46">
        <f t="shared" si="14"/>
        <v>50</v>
      </c>
      <c r="CJ22" s="46">
        <f t="shared" ref="CJ22:DA22" si="15">SUM(CJ3:CJ5)</f>
        <v>27</v>
      </c>
      <c r="CK22" s="83">
        <f t="shared" si="15"/>
        <v>0.3</v>
      </c>
      <c r="CL22" s="46">
        <f t="shared" si="15"/>
        <v>65</v>
      </c>
      <c r="CM22" s="46">
        <f t="shared" si="15"/>
        <v>240</v>
      </c>
      <c r="CN22" s="46">
        <f t="shared" si="15"/>
        <v>50</v>
      </c>
      <c r="CO22" s="46">
        <f t="shared" si="15"/>
        <v>0</v>
      </c>
      <c r="CP22" s="46">
        <f t="shared" si="15"/>
        <v>70</v>
      </c>
      <c r="CQ22" s="46">
        <f t="shared" si="15"/>
        <v>26</v>
      </c>
      <c r="CR22" s="83">
        <f t="shared" si="15"/>
        <v>0</v>
      </c>
      <c r="CS22" s="46">
        <f t="shared" si="15"/>
        <v>75</v>
      </c>
      <c r="CT22" s="46">
        <f t="shared" si="15"/>
        <v>360</v>
      </c>
      <c r="CU22" s="46">
        <f t="shared" si="15"/>
        <v>14</v>
      </c>
      <c r="CV22" s="46">
        <f t="shared" si="15"/>
        <v>8</v>
      </c>
      <c r="CW22" s="46">
        <f t="shared" si="15"/>
        <v>30</v>
      </c>
      <c r="CX22" s="46">
        <f t="shared" si="15"/>
        <v>5</v>
      </c>
      <c r="CY22" s="83">
        <f t="shared" si="15"/>
        <v>0.6</v>
      </c>
      <c r="CZ22" s="46">
        <f t="shared" si="15"/>
        <v>70</v>
      </c>
      <c r="DA22" s="46">
        <f t="shared" si="15"/>
        <v>240</v>
      </c>
      <c r="DB22" s="46">
        <f t="shared" ref="DB22:DH22" si="16">SUM(DB3:DB5)</f>
        <v>60</v>
      </c>
      <c r="DC22" s="46">
        <f t="shared" si="16"/>
        <v>0</v>
      </c>
      <c r="DD22" s="46">
        <f t="shared" si="16"/>
        <v>80</v>
      </c>
      <c r="DE22" s="46">
        <f t="shared" si="16"/>
        <v>31</v>
      </c>
      <c r="DF22" s="83">
        <f t="shared" si="16"/>
        <v>0</v>
      </c>
      <c r="DG22" s="46">
        <f t="shared" si="16"/>
        <v>80</v>
      </c>
      <c r="DH22" s="46">
        <f t="shared" si="16"/>
        <v>360</v>
      </c>
    </row>
    <row r="23" spans="12:112">
      <c r="L23" s="109">
        <v>20</v>
      </c>
      <c r="M23" s="103">
        <f t="shared" si="0"/>
        <v>0.6851640985732339</v>
      </c>
      <c r="N23" s="106">
        <f t="shared" si="1"/>
        <v>64.032819714646763</v>
      </c>
      <c r="P23" s="109">
        <v>20</v>
      </c>
      <c r="Q23" s="103">
        <f t="shared" si="2"/>
        <v>0.20602104699551774</v>
      </c>
      <c r="R23" s="106">
        <f t="shared" si="3"/>
        <v>0</v>
      </c>
      <c r="W23" s="46" t="s">
        <v>214</v>
      </c>
      <c r="X23" s="46">
        <f t="shared" si="8"/>
        <v>0</v>
      </c>
      <c r="Y23" s="46">
        <f t="shared" ref="Y23:BU23" si="17">SUM(Y3:Y6)</f>
        <v>0</v>
      </c>
      <c r="Z23" s="46">
        <f t="shared" si="17"/>
        <v>0</v>
      </c>
      <c r="AA23" s="46">
        <f t="shared" si="17"/>
        <v>1</v>
      </c>
      <c r="AB23" s="46">
        <f t="shared" si="17"/>
        <v>0</v>
      </c>
      <c r="AC23" s="46">
        <f t="shared" si="17"/>
        <v>40</v>
      </c>
      <c r="AD23" s="46">
        <f t="shared" si="17"/>
        <v>-10</v>
      </c>
      <c r="AE23" s="46">
        <f t="shared" si="17"/>
        <v>0.5</v>
      </c>
      <c r="AF23" s="88">
        <f t="shared" si="17"/>
        <v>0</v>
      </c>
      <c r="AG23" s="83">
        <f t="shared" si="17"/>
        <v>0</v>
      </c>
      <c r="AH23" s="83">
        <f t="shared" si="17"/>
        <v>0</v>
      </c>
      <c r="AI23" s="46">
        <f t="shared" si="17"/>
        <v>0</v>
      </c>
      <c r="AJ23" s="46">
        <f t="shared" si="17"/>
        <v>1</v>
      </c>
      <c r="AK23" s="46">
        <f t="shared" si="17"/>
        <v>0</v>
      </c>
      <c r="AL23" s="46">
        <f t="shared" si="17"/>
        <v>1</v>
      </c>
      <c r="AM23" s="46">
        <f t="shared" si="17"/>
        <v>18</v>
      </c>
      <c r="AN23" s="83">
        <f t="shared" si="17"/>
        <v>0</v>
      </c>
      <c r="AO23" s="46">
        <f t="shared" si="17"/>
        <v>40</v>
      </c>
      <c r="AP23" s="46">
        <f t="shared" si="17"/>
        <v>90</v>
      </c>
      <c r="AQ23" s="46">
        <f t="shared" si="17"/>
        <v>4</v>
      </c>
      <c r="AR23" s="46">
        <f t="shared" si="17"/>
        <v>0</v>
      </c>
      <c r="AS23" s="46">
        <f t="shared" si="17"/>
        <v>3</v>
      </c>
      <c r="AT23" s="46">
        <f t="shared" si="17"/>
        <v>18</v>
      </c>
      <c r="AU23" s="83">
        <f t="shared" si="17"/>
        <v>0.25</v>
      </c>
      <c r="AV23" s="46">
        <f t="shared" si="17"/>
        <v>50</v>
      </c>
      <c r="AW23" s="46">
        <f t="shared" si="17"/>
        <v>180</v>
      </c>
      <c r="AX23" s="46">
        <f t="shared" si="17"/>
        <v>8</v>
      </c>
      <c r="AY23" s="46">
        <f t="shared" si="17"/>
        <v>0</v>
      </c>
      <c r="AZ23" s="46">
        <f t="shared" si="17"/>
        <v>4</v>
      </c>
      <c r="BA23" s="46">
        <f t="shared" si="17"/>
        <v>16</v>
      </c>
      <c r="BB23" s="83">
        <f t="shared" si="17"/>
        <v>0</v>
      </c>
      <c r="BC23" s="46">
        <f t="shared" si="17"/>
        <v>60</v>
      </c>
      <c r="BD23" s="46">
        <f t="shared" si="17"/>
        <v>360</v>
      </c>
      <c r="BE23" s="46">
        <f t="shared" si="17"/>
        <v>1</v>
      </c>
      <c r="BF23" s="46">
        <f t="shared" si="17"/>
        <v>0</v>
      </c>
      <c r="BG23" s="46">
        <f t="shared" si="17"/>
        <v>5</v>
      </c>
      <c r="BH23" s="46">
        <f t="shared" si="17"/>
        <v>16</v>
      </c>
      <c r="BI23" s="83">
        <f t="shared" si="17"/>
        <v>0</v>
      </c>
      <c r="BJ23" s="46">
        <f t="shared" si="17"/>
        <v>40</v>
      </c>
      <c r="BK23" s="46">
        <f t="shared" si="17"/>
        <v>90</v>
      </c>
      <c r="BL23" s="46">
        <f t="shared" si="17"/>
        <v>4</v>
      </c>
      <c r="BM23" s="46">
        <f t="shared" si="17"/>
        <v>0</v>
      </c>
      <c r="BN23" s="46">
        <f t="shared" si="17"/>
        <v>6</v>
      </c>
      <c r="BO23" s="46">
        <f t="shared" si="17"/>
        <v>17</v>
      </c>
      <c r="BP23" s="83">
        <f t="shared" si="17"/>
        <v>0.25</v>
      </c>
      <c r="BQ23" s="46">
        <f t="shared" si="17"/>
        <v>60</v>
      </c>
      <c r="BR23" s="46">
        <f t="shared" si="17"/>
        <v>360</v>
      </c>
      <c r="BS23" s="46">
        <f t="shared" si="17"/>
        <v>12</v>
      </c>
      <c r="BT23" s="46">
        <f t="shared" si="17"/>
        <v>0</v>
      </c>
      <c r="BU23" s="46">
        <f t="shared" si="17"/>
        <v>12</v>
      </c>
      <c r="BV23" s="46">
        <f t="shared" ref="BV23:CI23" si="18">SUM(BV3:BV6)</f>
        <v>20</v>
      </c>
      <c r="BW23" s="83">
        <f t="shared" si="18"/>
        <v>0</v>
      </c>
      <c r="BX23" s="46">
        <f t="shared" si="18"/>
        <v>50</v>
      </c>
      <c r="BY23" s="46">
        <f t="shared" si="18"/>
        <v>360</v>
      </c>
      <c r="BZ23" s="46">
        <f t="shared" si="18"/>
        <v>20</v>
      </c>
      <c r="CA23" s="46">
        <f t="shared" si="18"/>
        <v>0</v>
      </c>
      <c r="CB23" s="46">
        <f t="shared" si="18"/>
        <v>10</v>
      </c>
      <c r="CC23" s="46">
        <f t="shared" si="18"/>
        <v>8</v>
      </c>
      <c r="CD23" s="83">
        <f t="shared" si="18"/>
        <v>0</v>
      </c>
      <c r="CE23" s="46">
        <f t="shared" si="18"/>
        <v>60</v>
      </c>
      <c r="CF23" s="46">
        <f t="shared" si="18"/>
        <v>360</v>
      </c>
      <c r="CG23" s="46">
        <f t="shared" si="18"/>
        <v>30</v>
      </c>
      <c r="CH23" s="46">
        <f t="shared" si="18"/>
        <v>2</v>
      </c>
      <c r="CI23" s="46">
        <f t="shared" si="18"/>
        <v>50</v>
      </c>
      <c r="CJ23" s="46">
        <f t="shared" ref="CJ23:DA23" si="19">SUM(CJ3:CJ6)</f>
        <v>27</v>
      </c>
      <c r="CK23" s="83">
        <f t="shared" si="19"/>
        <v>0.3</v>
      </c>
      <c r="CL23" s="46">
        <f t="shared" si="19"/>
        <v>65</v>
      </c>
      <c r="CM23" s="46">
        <f t="shared" si="19"/>
        <v>240</v>
      </c>
      <c r="CN23" s="46">
        <f t="shared" si="19"/>
        <v>50</v>
      </c>
      <c r="CO23" s="46">
        <f t="shared" si="19"/>
        <v>0</v>
      </c>
      <c r="CP23" s="46">
        <f t="shared" si="19"/>
        <v>70</v>
      </c>
      <c r="CQ23" s="46">
        <f t="shared" si="19"/>
        <v>26</v>
      </c>
      <c r="CR23" s="83">
        <f t="shared" si="19"/>
        <v>0</v>
      </c>
      <c r="CS23" s="46">
        <f t="shared" si="19"/>
        <v>75</v>
      </c>
      <c r="CT23" s="46">
        <f t="shared" si="19"/>
        <v>360</v>
      </c>
      <c r="CU23" s="46">
        <f t="shared" si="19"/>
        <v>14</v>
      </c>
      <c r="CV23" s="46">
        <f t="shared" si="19"/>
        <v>8</v>
      </c>
      <c r="CW23" s="46">
        <f t="shared" si="19"/>
        <v>30</v>
      </c>
      <c r="CX23" s="46">
        <f t="shared" si="19"/>
        <v>5</v>
      </c>
      <c r="CY23" s="83">
        <f t="shared" si="19"/>
        <v>0.6</v>
      </c>
      <c r="CZ23" s="46">
        <f t="shared" si="19"/>
        <v>70</v>
      </c>
      <c r="DA23" s="46">
        <f t="shared" si="19"/>
        <v>240</v>
      </c>
      <c r="DB23" s="46">
        <f t="shared" ref="DB23:DH23" si="20">SUM(DB3:DB6)</f>
        <v>60</v>
      </c>
      <c r="DC23" s="46">
        <f t="shared" si="20"/>
        <v>0</v>
      </c>
      <c r="DD23" s="46">
        <f t="shared" si="20"/>
        <v>80</v>
      </c>
      <c r="DE23" s="46">
        <f t="shared" si="20"/>
        <v>31</v>
      </c>
      <c r="DF23" s="83">
        <f t="shared" si="20"/>
        <v>0</v>
      </c>
      <c r="DG23" s="46">
        <f t="shared" si="20"/>
        <v>80</v>
      </c>
      <c r="DH23" s="46">
        <f t="shared" si="20"/>
        <v>360</v>
      </c>
    </row>
    <row r="24" spans="12:112">
      <c r="W24" s="46" t="s">
        <v>294</v>
      </c>
      <c r="X24" s="46">
        <f t="shared" si="8"/>
        <v>0</v>
      </c>
      <c r="Y24" s="46">
        <f t="shared" ref="Y24:BU24" si="21">SUM(Y3:Y7)</f>
        <v>2</v>
      </c>
      <c r="Z24" s="46">
        <f t="shared" si="21"/>
        <v>0</v>
      </c>
      <c r="AA24" s="46">
        <f t="shared" si="21"/>
        <v>2</v>
      </c>
      <c r="AB24" s="46">
        <f t="shared" si="21"/>
        <v>1</v>
      </c>
      <c r="AC24" s="46">
        <f t="shared" si="21"/>
        <v>56</v>
      </c>
      <c r="AD24" s="46">
        <f t="shared" si="21"/>
        <v>-20</v>
      </c>
      <c r="AE24" s="46">
        <f t="shared" si="21"/>
        <v>1</v>
      </c>
      <c r="AF24" s="88">
        <f t="shared" si="21"/>
        <v>-2.5000000000000001E-2</v>
      </c>
      <c r="AG24" s="83">
        <f t="shared" si="21"/>
        <v>0</v>
      </c>
      <c r="AH24" s="83">
        <f t="shared" si="21"/>
        <v>0</v>
      </c>
      <c r="AI24" s="46">
        <f t="shared" si="21"/>
        <v>0</v>
      </c>
      <c r="AJ24" s="46">
        <f t="shared" si="21"/>
        <v>-1</v>
      </c>
      <c r="AK24" s="46">
        <f t="shared" si="21"/>
        <v>0</v>
      </c>
      <c r="AL24" s="46">
        <f t="shared" si="21"/>
        <v>1</v>
      </c>
      <c r="AM24" s="46">
        <f t="shared" si="21"/>
        <v>18</v>
      </c>
      <c r="AN24" s="83">
        <f t="shared" si="21"/>
        <v>0</v>
      </c>
      <c r="AO24" s="46">
        <f t="shared" si="21"/>
        <v>40</v>
      </c>
      <c r="AP24" s="46">
        <f t="shared" si="21"/>
        <v>90</v>
      </c>
      <c r="AQ24" s="46">
        <f t="shared" si="21"/>
        <v>4</v>
      </c>
      <c r="AR24" s="46">
        <f t="shared" si="21"/>
        <v>0</v>
      </c>
      <c r="AS24" s="46">
        <f t="shared" si="21"/>
        <v>3</v>
      </c>
      <c r="AT24" s="46">
        <f t="shared" si="21"/>
        <v>18</v>
      </c>
      <c r="AU24" s="83">
        <f t="shared" si="21"/>
        <v>0.25</v>
      </c>
      <c r="AV24" s="46">
        <f t="shared" si="21"/>
        <v>50</v>
      </c>
      <c r="AW24" s="46">
        <f t="shared" si="21"/>
        <v>180</v>
      </c>
      <c r="AX24" s="46">
        <f t="shared" si="21"/>
        <v>8</v>
      </c>
      <c r="AY24" s="46">
        <f t="shared" si="21"/>
        <v>0</v>
      </c>
      <c r="AZ24" s="46">
        <f t="shared" si="21"/>
        <v>4</v>
      </c>
      <c r="BA24" s="46">
        <f t="shared" si="21"/>
        <v>16</v>
      </c>
      <c r="BB24" s="83">
        <f t="shared" si="21"/>
        <v>0</v>
      </c>
      <c r="BC24" s="46">
        <f t="shared" si="21"/>
        <v>60</v>
      </c>
      <c r="BD24" s="46">
        <f t="shared" si="21"/>
        <v>360</v>
      </c>
      <c r="BE24" s="46">
        <f t="shared" si="21"/>
        <v>-1</v>
      </c>
      <c r="BF24" s="46">
        <f t="shared" si="21"/>
        <v>0</v>
      </c>
      <c r="BG24" s="46">
        <f t="shared" si="21"/>
        <v>5</v>
      </c>
      <c r="BH24" s="46">
        <f t="shared" si="21"/>
        <v>16</v>
      </c>
      <c r="BI24" s="83">
        <f t="shared" si="21"/>
        <v>0</v>
      </c>
      <c r="BJ24" s="46">
        <f t="shared" si="21"/>
        <v>40</v>
      </c>
      <c r="BK24" s="46">
        <f t="shared" si="21"/>
        <v>90</v>
      </c>
      <c r="BL24" s="46">
        <f t="shared" si="21"/>
        <v>4</v>
      </c>
      <c r="BM24" s="46">
        <f t="shared" si="21"/>
        <v>0</v>
      </c>
      <c r="BN24" s="46">
        <f t="shared" si="21"/>
        <v>6</v>
      </c>
      <c r="BO24" s="46">
        <f t="shared" si="21"/>
        <v>17</v>
      </c>
      <c r="BP24" s="83">
        <f t="shared" si="21"/>
        <v>0.25</v>
      </c>
      <c r="BQ24" s="46">
        <f t="shared" si="21"/>
        <v>60</v>
      </c>
      <c r="BR24" s="46">
        <f t="shared" si="21"/>
        <v>360</v>
      </c>
      <c r="BS24" s="46">
        <f t="shared" si="21"/>
        <v>12</v>
      </c>
      <c r="BT24" s="46">
        <f t="shared" si="21"/>
        <v>0</v>
      </c>
      <c r="BU24" s="46">
        <f t="shared" si="21"/>
        <v>12</v>
      </c>
      <c r="BV24" s="46">
        <f t="shared" ref="BV24:CI24" si="22">SUM(BV3:BV7)</f>
        <v>20</v>
      </c>
      <c r="BW24" s="83">
        <f t="shared" si="22"/>
        <v>0</v>
      </c>
      <c r="BX24" s="46">
        <f t="shared" si="22"/>
        <v>50</v>
      </c>
      <c r="BY24" s="46">
        <f t="shared" si="22"/>
        <v>360</v>
      </c>
      <c r="BZ24" s="46">
        <f t="shared" si="22"/>
        <v>20</v>
      </c>
      <c r="CA24" s="46">
        <f t="shared" si="22"/>
        <v>0</v>
      </c>
      <c r="CB24" s="46">
        <f t="shared" si="22"/>
        <v>10</v>
      </c>
      <c r="CC24" s="46">
        <f t="shared" si="22"/>
        <v>8</v>
      </c>
      <c r="CD24" s="83">
        <f t="shared" si="22"/>
        <v>0</v>
      </c>
      <c r="CE24" s="46">
        <f t="shared" si="22"/>
        <v>60</v>
      </c>
      <c r="CF24" s="46">
        <f t="shared" si="22"/>
        <v>360</v>
      </c>
      <c r="CG24" s="46">
        <f t="shared" si="22"/>
        <v>30</v>
      </c>
      <c r="CH24" s="46">
        <f t="shared" si="22"/>
        <v>2</v>
      </c>
      <c r="CI24" s="46">
        <f t="shared" si="22"/>
        <v>50</v>
      </c>
      <c r="CJ24" s="46">
        <f t="shared" ref="CJ24:DA24" si="23">SUM(CJ3:CJ7)</f>
        <v>27</v>
      </c>
      <c r="CK24" s="83">
        <f t="shared" si="23"/>
        <v>0.3</v>
      </c>
      <c r="CL24" s="46">
        <f t="shared" si="23"/>
        <v>65</v>
      </c>
      <c r="CM24" s="46">
        <f t="shared" si="23"/>
        <v>240</v>
      </c>
      <c r="CN24" s="46">
        <f t="shared" si="23"/>
        <v>50</v>
      </c>
      <c r="CO24" s="46">
        <f t="shared" si="23"/>
        <v>0</v>
      </c>
      <c r="CP24" s="46">
        <f t="shared" si="23"/>
        <v>70</v>
      </c>
      <c r="CQ24" s="46">
        <f t="shared" si="23"/>
        <v>26</v>
      </c>
      <c r="CR24" s="83">
        <f t="shared" si="23"/>
        <v>0</v>
      </c>
      <c r="CS24" s="46">
        <f t="shared" si="23"/>
        <v>75</v>
      </c>
      <c r="CT24" s="46">
        <f t="shared" si="23"/>
        <v>360</v>
      </c>
      <c r="CU24" s="46">
        <f t="shared" si="23"/>
        <v>14</v>
      </c>
      <c r="CV24" s="46">
        <f t="shared" si="23"/>
        <v>8</v>
      </c>
      <c r="CW24" s="46">
        <f t="shared" si="23"/>
        <v>30</v>
      </c>
      <c r="CX24" s="46">
        <f t="shared" si="23"/>
        <v>5</v>
      </c>
      <c r="CY24" s="83">
        <f t="shared" si="23"/>
        <v>0.6</v>
      </c>
      <c r="CZ24" s="46">
        <f t="shared" si="23"/>
        <v>70</v>
      </c>
      <c r="DA24" s="46">
        <f t="shared" si="23"/>
        <v>240</v>
      </c>
      <c r="DB24" s="46">
        <f t="shared" ref="DB24:DH24" si="24">SUM(DB3:DB7)</f>
        <v>60</v>
      </c>
      <c r="DC24" s="46">
        <f t="shared" si="24"/>
        <v>0</v>
      </c>
      <c r="DD24" s="46">
        <f t="shared" si="24"/>
        <v>80</v>
      </c>
      <c r="DE24" s="46">
        <f t="shared" si="24"/>
        <v>31</v>
      </c>
      <c r="DF24" s="83">
        <f t="shared" si="24"/>
        <v>0</v>
      </c>
      <c r="DG24" s="46">
        <f t="shared" si="24"/>
        <v>80</v>
      </c>
      <c r="DH24" s="46">
        <f t="shared" si="24"/>
        <v>360</v>
      </c>
    </row>
    <row r="25" spans="12:112">
      <c r="W25" s="46">
        <v>1850</v>
      </c>
      <c r="X25" s="46">
        <f t="shared" si="8"/>
        <v>0</v>
      </c>
      <c r="Y25" s="46">
        <f t="shared" ref="Y25:BU25" si="25">SUM(Y3:Y8)</f>
        <v>4</v>
      </c>
      <c r="Z25" s="46">
        <f t="shared" si="25"/>
        <v>1</v>
      </c>
      <c r="AA25" s="46">
        <f t="shared" si="25"/>
        <v>2</v>
      </c>
      <c r="AB25" s="46">
        <f t="shared" si="25"/>
        <v>1</v>
      </c>
      <c r="AC25" s="46">
        <f t="shared" si="25"/>
        <v>67</v>
      </c>
      <c r="AD25" s="46">
        <f t="shared" si="25"/>
        <v>-30</v>
      </c>
      <c r="AE25" s="46">
        <f t="shared" si="25"/>
        <v>1.5</v>
      </c>
      <c r="AF25" s="88">
        <f t="shared" si="25"/>
        <v>-7.5000000000000011E-2</v>
      </c>
      <c r="AG25" s="83">
        <f t="shared" si="25"/>
        <v>0</v>
      </c>
      <c r="AH25" s="83">
        <f t="shared" si="25"/>
        <v>0</v>
      </c>
      <c r="AI25" s="46">
        <f t="shared" si="25"/>
        <v>0</v>
      </c>
      <c r="AJ25" s="46">
        <f t="shared" si="25"/>
        <v>-3</v>
      </c>
      <c r="AK25" s="46">
        <f t="shared" si="25"/>
        <v>0</v>
      </c>
      <c r="AL25" s="46">
        <f t="shared" si="25"/>
        <v>1</v>
      </c>
      <c r="AM25" s="46">
        <f t="shared" si="25"/>
        <v>18</v>
      </c>
      <c r="AN25" s="83">
        <f t="shared" si="25"/>
        <v>0</v>
      </c>
      <c r="AO25" s="46">
        <f t="shared" si="25"/>
        <v>40</v>
      </c>
      <c r="AP25" s="46">
        <f t="shared" si="25"/>
        <v>90</v>
      </c>
      <c r="AQ25" s="46">
        <f t="shared" si="25"/>
        <v>4</v>
      </c>
      <c r="AR25" s="46">
        <f t="shared" si="25"/>
        <v>0</v>
      </c>
      <c r="AS25" s="46">
        <f t="shared" si="25"/>
        <v>3</v>
      </c>
      <c r="AT25" s="46">
        <f t="shared" si="25"/>
        <v>18</v>
      </c>
      <c r="AU25" s="83">
        <f t="shared" si="25"/>
        <v>0.25</v>
      </c>
      <c r="AV25" s="46">
        <f t="shared" si="25"/>
        <v>50</v>
      </c>
      <c r="AW25" s="46">
        <f t="shared" si="25"/>
        <v>180</v>
      </c>
      <c r="AX25" s="46">
        <f t="shared" si="25"/>
        <v>8</v>
      </c>
      <c r="AY25" s="46">
        <f t="shared" si="25"/>
        <v>0</v>
      </c>
      <c r="AZ25" s="46">
        <f t="shared" si="25"/>
        <v>4</v>
      </c>
      <c r="BA25" s="46">
        <f t="shared" si="25"/>
        <v>16</v>
      </c>
      <c r="BB25" s="83">
        <f t="shared" si="25"/>
        <v>0</v>
      </c>
      <c r="BC25" s="46">
        <f t="shared" si="25"/>
        <v>60</v>
      </c>
      <c r="BD25" s="46">
        <f t="shared" si="25"/>
        <v>360</v>
      </c>
      <c r="BE25" s="46">
        <f t="shared" si="25"/>
        <v>-3</v>
      </c>
      <c r="BF25" s="46">
        <f t="shared" si="25"/>
        <v>0</v>
      </c>
      <c r="BG25" s="46">
        <f t="shared" si="25"/>
        <v>5</v>
      </c>
      <c r="BH25" s="46">
        <f t="shared" si="25"/>
        <v>16</v>
      </c>
      <c r="BI25" s="83">
        <f t="shared" si="25"/>
        <v>0</v>
      </c>
      <c r="BJ25" s="46">
        <f t="shared" si="25"/>
        <v>40</v>
      </c>
      <c r="BK25" s="46">
        <f t="shared" si="25"/>
        <v>90</v>
      </c>
      <c r="BL25" s="46">
        <f t="shared" si="25"/>
        <v>4</v>
      </c>
      <c r="BM25" s="46">
        <f t="shared" si="25"/>
        <v>0</v>
      </c>
      <c r="BN25" s="46">
        <f t="shared" si="25"/>
        <v>6</v>
      </c>
      <c r="BO25" s="46">
        <f t="shared" si="25"/>
        <v>17</v>
      </c>
      <c r="BP25" s="83">
        <f t="shared" si="25"/>
        <v>0.25</v>
      </c>
      <c r="BQ25" s="46">
        <f t="shared" si="25"/>
        <v>60</v>
      </c>
      <c r="BR25" s="46">
        <f t="shared" si="25"/>
        <v>360</v>
      </c>
      <c r="BS25" s="46">
        <f t="shared" si="25"/>
        <v>12</v>
      </c>
      <c r="BT25" s="46">
        <f t="shared" si="25"/>
        <v>0</v>
      </c>
      <c r="BU25" s="46">
        <f t="shared" si="25"/>
        <v>12</v>
      </c>
      <c r="BV25" s="46">
        <f t="shared" ref="BV25:CI25" si="26">SUM(BV3:BV8)</f>
        <v>20</v>
      </c>
      <c r="BW25" s="83">
        <f t="shared" si="26"/>
        <v>0</v>
      </c>
      <c r="BX25" s="46">
        <f t="shared" si="26"/>
        <v>50</v>
      </c>
      <c r="BY25" s="46">
        <f t="shared" si="26"/>
        <v>360</v>
      </c>
      <c r="BZ25" s="46">
        <f t="shared" si="26"/>
        <v>20</v>
      </c>
      <c r="CA25" s="46">
        <f t="shared" si="26"/>
        <v>0</v>
      </c>
      <c r="CB25" s="46">
        <f t="shared" si="26"/>
        <v>10</v>
      </c>
      <c r="CC25" s="46">
        <f t="shared" si="26"/>
        <v>8</v>
      </c>
      <c r="CD25" s="83">
        <f t="shared" si="26"/>
        <v>0</v>
      </c>
      <c r="CE25" s="46">
        <f t="shared" si="26"/>
        <v>60</v>
      </c>
      <c r="CF25" s="46">
        <f t="shared" si="26"/>
        <v>360</v>
      </c>
      <c r="CG25" s="46">
        <f t="shared" si="26"/>
        <v>30</v>
      </c>
      <c r="CH25" s="46">
        <f t="shared" si="26"/>
        <v>2</v>
      </c>
      <c r="CI25" s="46">
        <f t="shared" si="26"/>
        <v>50</v>
      </c>
      <c r="CJ25" s="46">
        <f t="shared" ref="CJ25:DA25" si="27">SUM(CJ3:CJ8)</f>
        <v>27</v>
      </c>
      <c r="CK25" s="83">
        <f t="shared" si="27"/>
        <v>0.3</v>
      </c>
      <c r="CL25" s="46">
        <f t="shared" si="27"/>
        <v>65</v>
      </c>
      <c r="CM25" s="46">
        <f t="shared" si="27"/>
        <v>240</v>
      </c>
      <c r="CN25" s="46">
        <f t="shared" si="27"/>
        <v>50</v>
      </c>
      <c r="CO25" s="46">
        <f t="shared" si="27"/>
        <v>0</v>
      </c>
      <c r="CP25" s="46">
        <f t="shared" si="27"/>
        <v>70</v>
      </c>
      <c r="CQ25" s="46">
        <f t="shared" si="27"/>
        <v>26</v>
      </c>
      <c r="CR25" s="83">
        <f t="shared" si="27"/>
        <v>0</v>
      </c>
      <c r="CS25" s="46">
        <f t="shared" si="27"/>
        <v>75</v>
      </c>
      <c r="CT25" s="46">
        <f t="shared" si="27"/>
        <v>360</v>
      </c>
      <c r="CU25" s="46">
        <f t="shared" si="27"/>
        <v>14</v>
      </c>
      <c r="CV25" s="46">
        <f t="shared" si="27"/>
        <v>8</v>
      </c>
      <c r="CW25" s="46">
        <f t="shared" si="27"/>
        <v>30</v>
      </c>
      <c r="CX25" s="46">
        <f t="shared" si="27"/>
        <v>5</v>
      </c>
      <c r="CY25" s="83">
        <f t="shared" si="27"/>
        <v>0.6</v>
      </c>
      <c r="CZ25" s="46">
        <f t="shared" si="27"/>
        <v>70</v>
      </c>
      <c r="DA25" s="46">
        <f t="shared" si="27"/>
        <v>240</v>
      </c>
      <c r="DB25" s="46">
        <f t="shared" ref="DB25:DH25" si="28">SUM(DB3:DB8)</f>
        <v>60</v>
      </c>
      <c r="DC25" s="46">
        <f t="shared" si="28"/>
        <v>0</v>
      </c>
      <c r="DD25" s="46">
        <f t="shared" si="28"/>
        <v>80</v>
      </c>
      <c r="DE25" s="46">
        <f t="shared" si="28"/>
        <v>31</v>
      </c>
      <c r="DF25" s="83">
        <f t="shared" si="28"/>
        <v>0</v>
      </c>
      <c r="DG25" s="46">
        <f t="shared" si="28"/>
        <v>80</v>
      </c>
      <c r="DH25" s="46">
        <f t="shared" si="28"/>
        <v>360</v>
      </c>
    </row>
    <row r="26" spans="12:112">
      <c r="W26" s="46">
        <v>1855</v>
      </c>
      <c r="X26" s="46" t="str">
        <f t="shared" si="8"/>
        <v>Ironclad, Monitor</v>
      </c>
      <c r="Y26" s="46">
        <f t="shared" ref="Y26:BU26" si="29">SUM(Y3:Y9)</f>
        <v>5</v>
      </c>
      <c r="Z26" s="46">
        <f t="shared" si="29"/>
        <v>1</v>
      </c>
      <c r="AA26" s="46">
        <f t="shared" si="29"/>
        <v>3</v>
      </c>
      <c r="AB26" s="46">
        <f t="shared" si="29"/>
        <v>4</v>
      </c>
      <c r="AC26" s="46">
        <f t="shared" si="29"/>
        <v>67</v>
      </c>
      <c r="AD26" s="46">
        <f t="shared" si="29"/>
        <v>-30</v>
      </c>
      <c r="AE26" s="46">
        <f t="shared" si="29"/>
        <v>1.5</v>
      </c>
      <c r="AF26" s="88">
        <f t="shared" si="29"/>
        <v>-7.5000000000000011E-2</v>
      </c>
      <c r="AG26" s="83">
        <f t="shared" si="29"/>
        <v>0</v>
      </c>
      <c r="AH26" s="83">
        <f t="shared" si="29"/>
        <v>0</v>
      </c>
      <c r="AI26" s="46">
        <f t="shared" si="29"/>
        <v>0</v>
      </c>
      <c r="AJ26" s="46">
        <f t="shared" si="29"/>
        <v>-4</v>
      </c>
      <c r="AK26" s="46">
        <f t="shared" si="29"/>
        <v>0</v>
      </c>
      <c r="AL26" s="46">
        <f t="shared" si="29"/>
        <v>1</v>
      </c>
      <c r="AM26" s="46">
        <f t="shared" si="29"/>
        <v>18</v>
      </c>
      <c r="AN26" s="83">
        <f t="shared" si="29"/>
        <v>0</v>
      </c>
      <c r="AO26" s="46">
        <f t="shared" si="29"/>
        <v>40</v>
      </c>
      <c r="AP26" s="46">
        <f t="shared" si="29"/>
        <v>90</v>
      </c>
      <c r="AQ26" s="46">
        <f t="shared" si="29"/>
        <v>4</v>
      </c>
      <c r="AR26" s="46">
        <f t="shared" si="29"/>
        <v>0</v>
      </c>
      <c r="AS26" s="46">
        <f t="shared" si="29"/>
        <v>3</v>
      </c>
      <c r="AT26" s="46">
        <f t="shared" si="29"/>
        <v>18</v>
      </c>
      <c r="AU26" s="83">
        <f t="shared" si="29"/>
        <v>0.25</v>
      </c>
      <c r="AV26" s="46">
        <f t="shared" si="29"/>
        <v>50</v>
      </c>
      <c r="AW26" s="46">
        <f t="shared" si="29"/>
        <v>180</v>
      </c>
      <c r="AX26" s="46">
        <f t="shared" si="29"/>
        <v>8</v>
      </c>
      <c r="AY26" s="46">
        <f t="shared" si="29"/>
        <v>0</v>
      </c>
      <c r="AZ26" s="46">
        <f t="shared" si="29"/>
        <v>4</v>
      </c>
      <c r="BA26" s="46">
        <f t="shared" si="29"/>
        <v>16</v>
      </c>
      <c r="BB26" s="83">
        <f t="shared" si="29"/>
        <v>0</v>
      </c>
      <c r="BC26" s="46">
        <f t="shared" si="29"/>
        <v>60</v>
      </c>
      <c r="BD26" s="46">
        <f t="shared" si="29"/>
        <v>360</v>
      </c>
      <c r="BE26" s="46">
        <f t="shared" si="29"/>
        <v>-4</v>
      </c>
      <c r="BF26" s="46">
        <f t="shared" si="29"/>
        <v>0</v>
      </c>
      <c r="BG26" s="46">
        <f t="shared" si="29"/>
        <v>5</v>
      </c>
      <c r="BH26" s="46">
        <f t="shared" si="29"/>
        <v>19</v>
      </c>
      <c r="BI26" s="83">
        <f t="shared" si="29"/>
        <v>0</v>
      </c>
      <c r="BJ26" s="46">
        <f t="shared" si="29"/>
        <v>40</v>
      </c>
      <c r="BK26" s="46">
        <f t="shared" si="29"/>
        <v>90</v>
      </c>
      <c r="BL26" s="46">
        <f t="shared" si="29"/>
        <v>4</v>
      </c>
      <c r="BM26" s="46">
        <f t="shared" si="29"/>
        <v>2</v>
      </c>
      <c r="BN26" s="46">
        <f t="shared" si="29"/>
        <v>10</v>
      </c>
      <c r="BO26" s="46">
        <f t="shared" si="29"/>
        <v>19</v>
      </c>
      <c r="BP26" s="83">
        <f t="shared" si="29"/>
        <v>0.25</v>
      </c>
      <c r="BQ26" s="46">
        <f t="shared" si="29"/>
        <v>60</v>
      </c>
      <c r="BR26" s="46">
        <f t="shared" si="29"/>
        <v>360</v>
      </c>
      <c r="BS26" s="46">
        <f t="shared" si="29"/>
        <v>12</v>
      </c>
      <c r="BT26" s="46">
        <f t="shared" si="29"/>
        <v>0</v>
      </c>
      <c r="BU26" s="46">
        <f t="shared" si="29"/>
        <v>12</v>
      </c>
      <c r="BV26" s="46">
        <f t="shared" ref="BV26:CI26" si="30">SUM(BV3:BV9)</f>
        <v>20</v>
      </c>
      <c r="BW26" s="83">
        <f t="shared" si="30"/>
        <v>0</v>
      </c>
      <c r="BX26" s="46">
        <f t="shared" si="30"/>
        <v>50</v>
      </c>
      <c r="BY26" s="46">
        <f t="shared" si="30"/>
        <v>360</v>
      </c>
      <c r="BZ26" s="46">
        <f t="shared" si="30"/>
        <v>20</v>
      </c>
      <c r="CA26" s="46">
        <f t="shared" si="30"/>
        <v>0</v>
      </c>
      <c r="CB26" s="46">
        <f t="shared" si="30"/>
        <v>10</v>
      </c>
      <c r="CC26" s="46">
        <f t="shared" si="30"/>
        <v>8</v>
      </c>
      <c r="CD26" s="83">
        <f t="shared" si="30"/>
        <v>0</v>
      </c>
      <c r="CE26" s="46">
        <f t="shared" si="30"/>
        <v>60</v>
      </c>
      <c r="CF26" s="46">
        <f t="shared" si="30"/>
        <v>360</v>
      </c>
      <c r="CG26" s="46">
        <f t="shared" si="30"/>
        <v>30</v>
      </c>
      <c r="CH26" s="46">
        <f t="shared" si="30"/>
        <v>2</v>
      </c>
      <c r="CI26" s="46">
        <f t="shared" si="30"/>
        <v>50</v>
      </c>
      <c r="CJ26" s="46">
        <f t="shared" ref="CJ26:DA26" si="31">SUM(CJ3:CJ9)</f>
        <v>27</v>
      </c>
      <c r="CK26" s="83">
        <f t="shared" si="31"/>
        <v>0.3</v>
      </c>
      <c r="CL26" s="46">
        <f t="shared" si="31"/>
        <v>65</v>
      </c>
      <c r="CM26" s="46">
        <f t="shared" si="31"/>
        <v>240</v>
      </c>
      <c r="CN26" s="46">
        <f t="shared" si="31"/>
        <v>50</v>
      </c>
      <c r="CO26" s="46">
        <f t="shared" si="31"/>
        <v>0</v>
      </c>
      <c r="CP26" s="46">
        <f t="shared" si="31"/>
        <v>70</v>
      </c>
      <c r="CQ26" s="46">
        <f t="shared" si="31"/>
        <v>26</v>
      </c>
      <c r="CR26" s="83">
        <f t="shared" si="31"/>
        <v>0</v>
      </c>
      <c r="CS26" s="46">
        <f t="shared" si="31"/>
        <v>75</v>
      </c>
      <c r="CT26" s="46">
        <f t="shared" si="31"/>
        <v>360</v>
      </c>
      <c r="CU26" s="46">
        <f t="shared" si="31"/>
        <v>14</v>
      </c>
      <c r="CV26" s="46">
        <f t="shared" si="31"/>
        <v>8</v>
      </c>
      <c r="CW26" s="46">
        <f t="shared" si="31"/>
        <v>30</v>
      </c>
      <c r="CX26" s="46">
        <f t="shared" si="31"/>
        <v>5</v>
      </c>
      <c r="CY26" s="83">
        <f t="shared" si="31"/>
        <v>0.6</v>
      </c>
      <c r="CZ26" s="46">
        <f t="shared" si="31"/>
        <v>70</v>
      </c>
      <c r="DA26" s="46">
        <f t="shared" si="31"/>
        <v>240</v>
      </c>
      <c r="DB26" s="46">
        <f t="shared" ref="DB26:DH26" si="32">SUM(DB3:DB9)</f>
        <v>60</v>
      </c>
      <c r="DC26" s="46">
        <f t="shared" si="32"/>
        <v>0</v>
      </c>
      <c r="DD26" s="46">
        <f t="shared" si="32"/>
        <v>80</v>
      </c>
      <c r="DE26" s="46">
        <f t="shared" si="32"/>
        <v>31</v>
      </c>
      <c r="DF26" s="83">
        <f t="shared" si="32"/>
        <v>0</v>
      </c>
      <c r="DG26" s="46">
        <f t="shared" si="32"/>
        <v>80</v>
      </c>
      <c r="DH26" s="46">
        <f t="shared" si="32"/>
        <v>360</v>
      </c>
    </row>
    <row r="27" spans="12:112">
      <c r="W27" s="46">
        <v>1870</v>
      </c>
      <c r="X27" s="46">
        <f t="shared" si="8"/>
        <v>0</v>
      </c>
      <c r="Y27" s="46">
        <f t="shared" ref="Y27:BU27" si="33">SUM(Y3:Y10)</f>
        <v>8</v>
      </c>
      <c r="Z27" s="46">
        <f t="shared" si="33"/>
        <v>1</v>
      </c>
      <c r="AA27" s="46">
        <f t="shared" si="33"/>
        <v>3</v>
      </c>
      <c r="AB27" s="46">
        <f t="shared" si="33"/>
        <v>4</v>
      </c>
      <c r="AC27" s="46">
        <f t="shared" si="33"/>
        <v>78</v>
      </c>
      <c r="AD27" s="46">
        <f t="shared" si="33"/>
        <v>-40</v>
      </c>
      <c r="AE27" s="46">
        <f t="shared" si="33"/>
        <v>2.5</v>
      </c>
      <c r="AF27" s="88">
        <f t="shared" si="33"/>
        <v>-7.5000000000000011E-2</v>
      </c>
      <c r="AG27" s="83">
        <f t="shared" si="33"/>
        <v>0</v>
      </c>
      <c r="AH27" s="83">
        <f t="shared" si="33"/>
        <v>0</v>
      </c>
      <c r="AI27" s="46">
        <f t="shared" si="33"/>
        <v>0</v>
      </c>
      <c r="AJ27" s="46">
        <f t="shared" si="33"/>
        <v>-7</v>
      </c>
      <c r="AK27" s="46">
        <f t="shared" si="33"/>
        <v>0</v>
      </c>
      <c r="AL27" s="46">
        <f t="shared" si="33"/>
        <v>1</v>
      </c>
      <c r="AM27" s="46">
        <f t="shared" si="33"/>
        <v>18</v>
      </c>
      <c r="AN27" s="83">
        <f t="shared" si="33"/>
        <v>0</v>
      </c>
      <c r="AO27" s="46">
        <f t="shared" si="33"/>
        <v>40</v>
      </c>
      <c r="AP27" s="46">
        <f t="shared" si="33"/>
        <v>90</v>
      </c>
      <c r="AQ27" s="46">
        <f t="shared" si="33"/>
        <v>4</v>
      </c>
      <c r="AR27" s="46">
        <f t="shared" si="33"/>
        <v>0</v>
      </c>
      <c r="AS27" s="46">
        <f t="shared" si="33"/>
        <v>3</v>
      </c>
      <c r="AT27" s="46">
        <f t="shared" si="33"/>
        <v>18</v>
      </c>
      <c r="AU27" s="83">
        <f t="shared" si="33"/>
        <v>0.25</v>
      </c>
      <c r="AV27" s="46">
        <f t="shared" si="33"/>
        <v>50</v>
      </c>
      <c r="AW27" s="46">
        <f t="shared" si="33"/>
        <v>180</v>
      </c>
      <c r="AX27" s="46">
        <f t="shared" si="33"/>
        <v>8</v>
      </c>
      <c r="AY27" s="46">
        <f t="shared" si="33"/>
        <v>0</v>
      </c>
      <c r="AZ27" s="46">
        <f t="shared" si="33"/>
        <v>4</v>
      </c>
      <c r="BA27" s="46">
        <f t="shared" si="33"/>
        <v>16</v>
      </c>
      <c r="BB27" s="83">
        <f t="shared" si="33"/>
        <v>0</v>
      </c>
      <c r="BC27" s="46">
        <f t="shared" si="33"/>
        <v>60</v>
      </c>
      <c r="BD27" s="46">
        <f t="shared" si="33"/>
        <v>360</v>
      </c>
      <c r="BE27" s="46">
        <f t="shared" si="33"/>
        <v>-7</v>
      </c>
      <c r="BF27" s="46">
        <f t="shared" si="33"/>
        <v>0</v>
      </c>
      <c r="BG27" s="46">
        <f t="shared" si="33"/>
        <v>5</v>
      </c>
      <c r="BH27" s="46">
        <f t="shared" si="33"/>
        <v>19</v>
      </c>
      <c r="BI27" s="83">
        <f t="shared" si="33"/>
        <v>0</v>
      </c>
      <c r="BJ27" s="46">
        <f t="shared" si="33"/>
        <v>40</v>
      </c>
      <c r="BK27" s="46">
        <f t="shared" si="33"/>
        <v>90</v>
      </c>
      <c r="BL27" s="46">
        <f t="shared" si="33"/>
        <v>4</v>
      </c>
      <c r="BM27" s="46">
        <f t="shared" si="33"/>
        <v>2</v>
      </c>
      <c r="BN27" s="46">
        <f t="shared" si="33"/>
        <v>10</v>
      </c>
      <c r="BO27" s="46">
        <f t="shared" si="33"/>
        <v>19</v>
      </c>
      <c r="BP27" s="83">
        <f t="shared" si="33"/>
        <v>0.25</v>
      </c>
      <c r="BQ27" s="46">
        <f t="shared" si="33"/>
        <v>60</v>
      </c>
      <c r="BR27" s="46">
        <f t="shared" si="33"/>
        <v>360</v>
      </c>
      <c r="BS27" s="46">
        <f t="shared" si="33"/>
        <v>12</v>
      </c>
      <c r="BT27" s="46">
        <f t="shared" si="33"/>
        <v>0</v>
      </c>
      <c r="BU27" s="46">
        <f t="shared" si="33"/>
        <v>12</v>
      </c>
      <c r="BV27" s="46">
        <f t="shared" ref="BV27:CI27" si="34">SUM(BV3:BV10)</f>
        <v>20</v>
      </c>
      <c r="BW27" s="83">
        <f t="shared" si="34"/>
        <v>0</v>
      </c>
      <c r="BX27" s="46">
        <f t="shared" si="34"/>
        <v>50</v>
      </c>
      <c r="BY27" s="46">
        <f t="shared" si="34"/>
        <v>360</v>
      </c>
      <c r="BZ27" s="46">
        <f t="shared" si="34"/>
        <v>20</v>
      </c>
      <c r="CA27" s="46">
        <f t="shared" si="34"/>
        <v>0</v>
      </c>
      <c r="CB27" s="46">
        <f t="shared" si="34"/>
        <v>10</v>
      </c>
      <c r="CC27" s="46">
        <f t="shared" si="34"/>
        <v>8</v>
      </c>
      <c r="CD27" s="83">
        <f t="shared" si="34"/>
        <v>0</v>
      </c>
      <c r="CE27" s="46">
        <f t="shared" si="34"/>
        <v>60</v>
      </c>
      <c r="CF27" s="46">
        <f t="shared" si="34"/>
        <v>360</v>
      </c>
      <c r="CG27" s="46">
        <f t="shared" si="34"/>
        <v>30</v>
      </c>
      <c r="CH27" s="46">
        <f t="shared" si="34"/>
        <v>10</v>
      </c>
      <c r="CI27" s="46">
        <f t="shared" si="34"/>
        <v>50</v>
      </c>
      <c r="CJ27" s="46">
        <f t="shared" ref="CJ27:DA27" si="35">SUM(CJ3:CJ10)</f>
        <v>27</v>
      </c>
      <c r="CK27" s="83">
        <f t="shared" si="35"/>
        <v>0.3</v>
      </c>
      <c r="CL27" s="46">
        <f t="shared" si="35"/>
        <v>65</v>
      </c>
      <c r="CM27" s="46">
        <f t="shared" si="35"/>
        <v>240</v>
      </c>
      <c r="CN27" s="46">
        <f t="shared" si="35"/>
        <v>52</v>
      </c>
      <c r="CO27" s="46">
        <f t="shared" si="35"/>
        <v>0</v>
      </c>
      <c r="CP27" s="46">
        <f t="shared" si="35"/>
        <v>72</v>
      </c>
      <c r="CQ27" s="46">
        <f t="shared" si="35"/>
        <v>26</v>
      </c>
      <c r="CR27" s="83">
        <f t="shared" si="35"/>
        <v>0</v>
      </c>
      <c r="CS27" s="46">
        <f t="shared" si="35"/>
        <v>75</v>
      </c>
      <c r="CT27" s="46">
        <f t="shared" si="35"/>
        <v>360</v>
      </c>
      <c r="CU27" s="46">
        <f t="shared" si="35"/>
        <v>14</v>
      </c>
      <c r="CV27" s="46">
        <f t="shared" si="35"/>
        <v>16</v>
      </c>
      <c r="CW27" s="46">
        <f t="shared" si="35"/>
        <v>30</v>
      </c>
      <c r="CX27" s="46">
        <f t="shared" si="35"/>
        <v>5</v>
      </c>
      <c r="CY27" s="83">
        <f t="shared" si="35"/>
        <v>0.6</v>
      </c>
      <c r="CZ27" s="46">
        <f t="shared" si="35"/>
        <v>70</v>
      </c>
      <c r="DA27" s="46">
        <f t="shared" si="35"/>
        <v>240</v>
      </c>
      <c r="DB27" s="46">
        <f t="shared" ref="DB27:DH27" si="36">SUM(DB3:DB10)</f>
        <v>62</v>
      </c>
      <c r="DC27" s="46">
        <f t="shared" si="36"/>
        <v>0</v>
      </c>
      <c r="DD27" s="46">
        <f t="shared" si="36"/>
        <v>82</v>
      </c>
      <c r="DE27" s="46">
        <f t="shared" si="36"/>
        <v>31</v>
      </c>
      <c r="DF27" s="83">
        <f t="shared" si="36"/>
        <v>0</v>
      </c>
      <c r="DG27" s="46">
        <f t="shared" si="36"/>
        <v>80</v>
      </c>
      <c r="DH27" s="46">
        <f t="shared" si="36"/>
        <v>360</v>
      </c>
    </row>
    <row r="28" spans="12:112">
      <c r="W28" s="46">
        <v>1875</v>
      </c>
      <c r="X28" s="46">
        <f t="shared" si="8"/>
        <v>0</v>
      </c>
      <c r="Y28" s="46">
        <f t="shared" ref="Y28:BU28" si="37">SUM(Y3:Y11)</f>
        <v>8</v>
      </c>
      <c r="Z28" s="46">
        <f t="shared" si="37"/>
        <v>1</v>
      </c>
      <c r="AA28" s="46">
        <f t="shared" si="37"/>
        <v>4</v>
      </c>
      <c r="AB28" s="46">
        <f t="shared" si="37"/>
        <v>4</v>
      </c>
      <c r="AC28" s="46">
        <f t="shared" si="37"/>
        <v>78</v>
      </c>
      <c r="AD28" s="46">
        <f t="shared" si="37"/>
        <v>-60</v>
      </c>
      <c r="AE28" s="46">
        <f t="shared" si="37"/>
        <v>2.5</v>
      </c>
      <c r="AF28" s="88">
        <f t="shared" si="37"/>
        <v>-7.5000000000000011E-2</v>
      </c>
      <c r="AG28" s="83">
        <f t="shared" si="37"/>
        <v>0</v>
      </c>
      <c r="AH28" s="83">
        <f t="shared" si="37"/>
        <v>0</v>
      </c>
      <c r="AI28" s="46">
        <f t="shared" si="37"/>
        <v>0</v>
      </c>
      <c r="AJ28" s="46">
        <f t="shared" si="37"/>
        <v>-7</v>
      </c>
      <c r="AK28" s="46">
        <f t="shared" si="37"/>
        <v>0</v>
      </c>
      <c r="AL28" s="46">
        <f t="shared" si="37"/>
        <v>1</v>
      </c>
      <c r="AM28" s="46">
        <f t="shared" si="37"/>
        <v>18</v>
      </c>
      <c r="AN28" s="83">
        <f t="shared" si="37"/>
        <v>0</v>
      </c>
      <c r="AO28" s="46">
        <f t="shared" si="37"/>
        <v>40</v>
      </c>
      <c r="AP28" s="46">
        <f t="shared" si="37"/>
        <v>90</v>
      </c>
      <c r="AQ28" s="46">
        <f t="shared" si="37"/>
        <v>4</v>
      </c>
      <c r="AR28" s="46">
        <f t="shared" si="37"/>
        <v>0</v>
      </c>
      <c r="AS28" s="46">
        <f t="shared" si="37"/>
        <v>3</v>
      </c>
      <c r="AT28" s="46">
        <f t="shared" si="37"/>
        <v>18</v>
      </c>
      <c r="AU28" s="83">
        <f t="shared" si="37"/>
        <v>0.25</v>
      </c>
      <c r="AV28" s="46">
        <f t="shared" si="37"/>
        <v>50</v>
      </c>
      <c r="AW28" s="46">
        <f t="shared" si="37"/>
        <v>180</v>
      </c>
      <c r="AX28" s="46">
        <f t="shared" si="37"/>
        <v>8</v>
      </c>
      <c r="AY28" s="46">
        <f t="shared" si="37"/>
        <v>0</v>
      </c>
      <c r="AZ28" s="46">
        <f t="shared" si="37"/>
        <v>4</v>
      </c>
      <c r="BA28" s="46">
        <f t="shared" si="37"/>
        <v>16</v>
      </c>
      <c r="BB28" s="83">
        <f t="shared" si="37"/>
        <v>0</v>
      </c>
      <c r="BC28" s="46">
        <f t="shared" si="37"/>
        <v>60</v>
      </c>
      <c r="BD28" s="46">
        <f t="shared" si="37"/>
        <v>360</v>
      </c>
      <c r="BE28" s="46">
        <f t="shared" si="37"/>
        <v>-7</v>
      </c>
      <c r="BF28" s="46">
        <f t="shared" si="37"/>
        <v>0</v>
      </c>
      <c r="BG28" s="46">
        <f t="shared" si="37"/>
        <v>5</v>
      </c>
      <c r="BH28" s="46">
        <f t="shared" si="37"/>
        <v>19</v>
      </c>
      <c r="BI28" s="83">
        <f t="shared" si="37"/>
        <v>0</v>
      </c>
      <c r="BJ28" s="46">
        <f t="shared" si="37"/>
        <v>40</v>
      </c>
      <c r="BK28" s="46">
        <f t="shared" si="37"/>
        <v>90</v>
      </c>
      <c r="BL28" s="46">
        <f t="shared" si="37"/>
        <v>4</v>
      </c>
      <c r="BM28" s="46">
        <f t="shared" si="37"/>
        <v>2</v>
      </c>
      <c r="BN28" s="46">
        <f t="shared" si="37"/>
        <v>10</v>
      </c>
      <c r="BO28" s="46">
        <f t="shared" si="37"/>
        <v>19</v>
      </c>
      <c r="BP28" s="83">
        <f t="shared" si="37"/>
        <v>0.25</v>
      </c>
      <c r="BQ28" s="46">
        <f t="shared" si="37"/>
        <v>60</v>
      </c>
      <c r="BR28" s="46">
        <f t="shared" si="37"/>
        <v>360</v>
      </c>
      <c r="BS28" s="46">
        <f t="shared" si="37"/>
        <v>12</v>
      </c>
      <c r="BT28" s="46">
        <f t="shared" si="37"/>
        <v>0</v>
      </c>
      <c r="BU28" s="46">
        <f t="shared" si="37"/>
        <v>12</v>
      </c>
      <c r="BV28" s="46">
        <f t="shared" ref="BV28:CI28" si="38">SUM(BV3:BV11)</f>
        <v>20</v>
      </c>
      <c r="BW28" s="83">
        <f t="shared" si="38"/>
        <v>0</v>
      </c>
      <c r="BX28" s="46">
        <f t="shared" si="38"/>
        <v>50</v>
      </c>
      <c r="BY28" s="46">
        <f t="shared" si="38"/>
        <v>360</v>
      </c>
      <c r="BZ28" s="46">
        <f t="shared" si="38"/>
        <v>20</v>
      </c>
      <c r="CA28" s="46">
        <f t="shared" si="38"/>
        <v>0</v>
      </c>
      <c r="CB28" s="46">
        <f t="shared" si="38"/>
        <v>10</v>
      </c>
      <c r="CC28" s="46">
        <f t="shared" si="38"/>
        <v>8</v>
      </c>
      <c r="CD28" s="83">
        <f t="shared" si="38"/>
        <v>0</v>
      </c>
      <c r="CE28" s="46">
        <f t="shared" si="38"/>
        <v>60</v>
      </c>
      <c r="CF28" s="46">
        <f t="shared" si="38"/>
        <v>360</v>
      </c>
      <c r="CG28" s="46">
        <f t="shared" si="38"/>
        <v>30</v>
      </c>
      <c r="CH28" s="46">
        <f t="shared" si="38"/>
        <v>10</v>
      </c>
      <c r="CI28" s="46">
        <f t="shared" si="38"/>
        <v>50</v>
      </c>
      <c r="CJ28" s="46">
        <f t="shared" ref="CJ28:DA28" si="39">SUM(CJ3:CJ11)</f>
        <v>27</v>
      </c>
      <c r="CK28" s="83">
        <f t="shared" si="39"/>
        <v>0.3</v>
      </c>
      <c r="CL28" s="46">
        <f t="shared" si="39"/>
        <v>65</v>
      </c>
      <c r="CM28" s="46">
        <f t="shared" si="39"/>
        <v>240</v>
      </c>
      <c r="CN28" s="46">
        <f t="shared" si="39"/>
        <v>52</v>
      </c>
      <c r="CO28" s="46">
        <f t="shared" si="39"/>
        <v>0</v>
      </c>
      <c r="CP28" s="46">
        <f t="shared" si="39"/>
        <v>72</v>
      </c>
      <c r="CQ28" s="46">
        <f t="shared" si="39"/>
        <v>26</v>
      </c>
      <c r="CR28" s="83">
        <f t="shared" si="39"/>
        <v>0</v>
      </c>
      <c r="CS28" s="46">
        <f t="shared" si="39"/>
        <v>75</v>
      </c>
      <c r="CT28" s="46">
        <f t="shared" si="39"/>
        <v>360</v>
      </c>
      <c r="CU28" s="46">
        <f t="shared" si="39"/>
        <v>14</v>
      </c>
      <c r="CV28" s="46">
        <f t="shared" si="39"/>
        <v>16</v>
      </c>
      <c r="CW28" s="46">
        <f t="shared" si="39"/>
        <v>30</v>
      </c>
      <c r="CX28" s="46">
        <f t="shared" si="39"/>
        <v>5</v>
      </c>
      <c r="CY28" s="83">
        <f t="shared" si="39"/>
        <v>0.6</v>
      </c>
      <c r="CZ28" s="46">
        <f t="shared" si="39"/>
        <v>70</v>
      </c>
      <c r="DA28" s="46">
        <f t="shared" si="39"/>
        <v>240</v>
      </c>
      <c r="DB28" s="46">
        <f t="shared" ref="DB28:DH28" si="40">SUM(DB3:DB11)</f>
        <v>62</v>
      </c>
      <c r="DC28" s="46">
        <f t="shared" si="40"/>
        <v>0</v>
      </c>
      <c r="DD28" s="46">
        <f t="shared" si="40"/>
        <v>82</v>
      </c>
      <c r="DE28" s="46">
        <f t="shared" si="40"/>
        <v>31</v>
      </c>
      <c r="DF28" s="83">
        <f t="shared" si="40"/>
        <v>0</v>
      </c>
      <c r="DG28" s="46">
        <f t="shared" si="40"/>
        <v>80</v>
      </c>
      <c r="DH28" s="46">
        <f t="shared" si="40"/>
        <v>360</v>
      </c>
    </row>
    <row r="29" spans="12:112">
      <c r="W29" s="46">
        <v>1880</v>
      </c>
      <c r="X29" s="46" t="str">
        <f t="shared" si="8"/>
        <v>Cruiseer, Battleship</v>
      </c>
      <c r="Y29" s="46">
        <f t="shared" ref="Y29:BU29" si="41">SUM(Y3:Y12)</f>
        <v>8</v>
      </c>
      <c r="Z29" s="46">
        <f t="shared" si="41"/>
        <v>1</v>
      </c>
      <c r="AA29" s="46">
        <f t="shared" si="41"/>
        <v>4</v>
      </c>
      <c r="AB29" s="46">
        <f t="shared" si="41"/>
        <v>4</v>
      </c>
      <c r="AC29" s="46">
        <f t="shared" si="41"/>
        <v>78</v>
      </c>
      <c r="AD29" s="46">
        <f t="shared" si="41"/>
        <v>-60</v>
      </c>
      <c r="AE29" s="46">
        <f t="shared" si="41"/>
        <v>2.5</v>
      </c>
      <c r="AF29" s="88">
        <f t="shared" si="41"/>
        <v>-7.5000000000000011E-2</v>
      </c>
      <c r="AG29" s="83">
        <f t="shared" si="41"/>
        <v>0</v>
      </c>
      <c r="AH29" s="83">
        <f t="shared" si="41"/>
        <v>0</v>
      </c>
      <c r="AI29" s="46">
        <f t="shared" si="41"/>
        <v>0</v>
      </c>
      <c r="AJ29" s="46">
        <f t="shared" si="41"/>
        <v>-7</v>
      </c>
      <c r="AK29" s="46">
        <f t="shared" si="41"/>
        <v>0</v>
      </c>
      <c r="AL29" s="46">
        <f t="shared" si="41"/>
        <v>1</v>
      </c>
      <c r="AM29" s="46">
        <f t="shared" si="41"/>
        <v>18</v>
      </c>
      <c r="AN29" s="83">
        <f t="shared" si="41"/>
        <v>0</v>
      </c>
      <c r="AO29" s="46">
        <f t="shared" si="41"/>
        <v>40</v>
      </c>
      <c r="AP29" s="46">
        <f t="shared" si="41"/>
        <v>90</v>
      </c>
      <c r="AQ29" s="46">
        <f t="shared" si="41"/>
        <v>4</v>
      </c>
      <c r="AR29" s="46">
        <f t="shared" si="41"/>
        <v>0</v>
      </c>
      <c r="AS29" s="46">
        <f t="shared" si="41"/>
        <v>3</v>
      </c>
      <c r="AT29" s="46">
        <f t="shared" si="41"/>
        <v>18</v>
      </c>
      <c r="AU29" s="83">
        <f t="shared" si="41"/>
        <v>0.25</v>
      </c>
      <c r="AV29" s="46">
        <f t="shared" si="41"/>
        <v>50</v>
      </c>
      <c r="AW29" s="46">
        <f t="shared" si="41"/>
        <v>180</v>
      </c>
      <c r="AX29" s="46">
        <f t="shared" si="41"/>
        <v>8</v>
      </c>
      <c r="AY29" s="46">
        <f t="shared" si="41"/>
        <v>0</v>
      </c>
      <c r="AZ29" s="46">
        <f t="shared" si="41"/>
        <v>4</v>
      </c>
      <c r="BA29" s="46">
        <f t="shared" si="41"/>
        <v>16</v>
      </c>
      <c r="BB29" s="83">
        <f t="shared" si="41"/>
        <v>0</v>
      </c>
      <c r="BC29" s="46">
        <f t="shared" si="41"/>
        <v>60</v>
      </c>
      <c r="BD29" s="46">
        <f t="shared" si="41"/>
        <v>360</v>
      </c>
      <c r="BE29" s="46">
        <f t="shared" si="41"/>
        <v>-7</v>
      </c>
      <c r="BF29" s="46">
        <f t="shared" si="41"/>
        <v>0</v>
      </c>
      <c r="BG29" s="46">
        <f t="shared" si="41"/>
        <v>5</v>
      </c>
      <c r="BH29" s="46">
        <f t="shared" si="41"/>
        <v>21</v>
      </c>
      <c r="BI29" s="83">
        <f t="shared" si="41"/>
        <v>0</v>
      </c>
      <c r="BJ29" s="46">
        <f t="shared" si="41"/>
        <v>40</v>
      </c>
      <c r="BK29" s="46">
        <f t="shared" si="41"/>
        <v>90</v>
      </c>
      <c r="BL29" s="46">
        <f t="shared" si="41"/>
        <v>4</v>
      </c>
      <c r="BM29" s="46">
        <f t="shared" si="41"/>
        <v>2</v>
      </c>
      <c r="BN29" s="46">
        <f t="shared" si="41"/>
        <v>10</v>
      </c>
      <c r="BO29" s="46">
        <f t="shared" si="41"/>
        <v>21</v>
      </c>
      <c r="BP29" s="83">
        <f t="shared" si="41"/>
        <v>0.25</v>
      </c>
      <c r="BQ29" s="46">
        <f t="shared" si="41"/>
        <v>60</v>
      </c>
      <c r="BR29" s="46">
        <f t="shared" si="41"/>
        <v>360</v>
      </c>
      <c r="BS29" s="46">
        <f t="shared" si="41"/>
        <v>13</v>
      </c>
      <c r="BT29" s="46">
        <f t="shared" si="41"/>
        <v>0</v>
      </c>
      <c r="BU29" s="46">
        <f t="shared" si="41"/>
        <v>13</v>
      </c>
      <c r="BV29" s="46">
        <f t="shared" ref="BV29:CI29" si="42">SUM(BV3:BV12)</f>
        <v>22</v>
      </c>
      <c r="BW29" s="83">
        <f t="shared" si="42"/>
        <v>0</v>
      </c>
      <c r="BX29" s="46">
        <f t="shared" si="42"/>
        <v>50</v>
      </c>
      <c r="BY29" s="46">
        <f t="shared" si="42"/>
        <v>360</v>
      </c>
      <c r="BZ29" s="46">
        <f t="shared" si="42"/>
        <v>20</v>
      </c>
      <c r="CA29" s="46">
        <f t="shared" si="42"/>
        <v>0</v>
      </c>
      <c r="CB29" s="46">
        <f t="shared" si="42"/>
        <v>10</v>
      </c>
      <c r="CC29" s="46">
        <f t="shared" si="42"/>
        <v>9</v>
      </c>
      <c r="CD29" s="83">
        <f t="shared" si="42"/>
        <v>0</v>
      </c>
      <c r="CE29" s="46">
        <f t="shared" si="42"/>
        <v>60</v>
      </c>
      <c r="CF29" s="46">
        <f t="shared" si="42"/>
        <v>360</v>
      </c>
      <c r="CG29" s="46">
        <f t="shared" si="42"/>
        <v>30</v>
      </c>
      <c r="CH29" s="46">
        <f t="shared" si="42"/>
        <v>10</v>
      </c>
      <c r="CI29" s="46">
        <f t="shared" si="42"/>
        <v>50</v>
      </c>
      <c r="CJ29" s="46">
        <f t="shared" ref="CJ29:DA29" si="43">SUM(CJ3:CJ12)</f>
        <v>27</v>
      </c>
      <c r="CK29" s="83">
        <f t="shared" si="43"/>
        <v>0.3</v>
      </c>
      <c r="CL29" s="46">
        <f t="shared" si="43"/>
        <v>65</v>
      </c>
      <c r="CM29" s="46">
        <f t="shared" si="43"/>
        <v>240</v>
      </c>
      <c r="CN29" s="46">
        <f t="shared" si="43"/>
        <v>52</v>
      </c>
      <c r="CO29" s="46">
        <f t="shared" si="43"/>
        <v>0</v>
      </c>
      <c r="CP29" s="46">
        <f t="shared" si="43"/>
        <v>72</v>
      </c>
      <c r="CQ29" s="46">
        <f t="shared" si="43"/>
        <v>26</v>
      </c>
      <c r="CR29" s="83">
        <f t="shared" si="43"/>
        <v>0</v>
      </c>
      <c r="CS29" s="46">
        <f t="shared" si="43"/>
        <v>75</v>
      </c>
      <c r="CT29" s="46">
        <f t="shared" si="43"/>
        <v>360</v>
      </c>
      <c r="CU29" s="46">
        <f t="shared" si="43"/>
        <v>14</v>
      </c>
      <c r="CV29" s="46">
        <f t="shared" si="43"/>
        <v>16</v>
      </c>
      <c r="CW29" s="46">
        <f t="shared" si="43"/>
        <v>30</v>
      </c>
      <c r="CX29" s="46">
        <f t="shared" si="43"/>
        <v>5</v>
      </c>
      <c r="CY29" s="83">
        <f t="shared" si="43"/>
        <v>0.6</v>
      </c>
      <c r="CZ29" s="46">
        <f t="shared" si="43"/>
        <v>70</v>
      </c>
      <c r="DA29" s="46">
        <f t="shared" si="43"/>
        <v>240</v>
      </c>
      <c r="DB29" s="46">
        <f t="shared" ref="DB29:DH29" si="44">SUM(DB3:DB12)</f>
        <v>62</v>
      </c>
      <c r="DC29" s="46">
        <f t="shared" si="44"/>
        <v>0</v>
      </c>
      <c r="DD29" s="46">
        <f t="shared" si="44"/>
        <v>82</v>
      </c>
      <c r="DE29" s="46">
        <f t="shared" si="44"/>
        <v>31</v>
      </c>
      <c r="DF29" s="83">
        <f t="shared" si="44"/>
        <v>0</v>
      </c>
      <c r="DG29" s="46">
        <f t="shared" si="44"/>
        <v>80</v>
      </c>
      <c r="DH29" s="46">
        <f t="shared" si="44"/>
        <v>360</v>
      </c>
    </row>
    <row r="30" spans="12:112">
      <c r="W30" s="46">
        <v>1895</v>
      </c>
      <c r="X30" s="46">
        <f t="shared" si="8"/>
        <v>0</v>
      </c>
      <c r="Y30" s="46">
        <f t="shared" ref="Y30:BU30" si="45">SUM(Y3:Y13)</f>
        <v>9</v>
      </c>
      <c r="Z30" s="46">
        <f t="shared" si="45"/>
        <v>1</v>
      </c>
      <c r="AA30" s="46">
        <f t="shared" si="45"/>
        <v>4</v>
      </c>
      <c r="AB30" s="46">
        <f t="shared" si="45"/>
        <v>5</v>
      </c>
      <c r="AC30" s="46">
        <f t="shared" si="45"/>
        <v>78</v>
      </c>
      <c r="AD30" s="46">
        <f t="shared" si="45"/>
        <v>-60</v>
      </c>
      <c r="AE30" s="46">
        <f t="shared" si="45"/>
        <v>2.5</v>
      </c>
      <c r="AF30" s="88">
        <f t="shared" si="45"/>
        <v>-7.5000000000000011E-2</v>
      </c>
      <c r="AG30" s="83">
        <f t="shared" si="45"/>
        <v>0</v>
      </c>
      <c r="AH30" s="83">
        <f t="shared" si="45"/>
        <v>0</v>
      </c>
      <c r="AI30" s="46">
        <f t="shared" si="45"/>
        <v>0</v>
      </c>
      <c r="AJ30" s="46">
        <f t="shared" si="45"/>
        <v>-8</v>
      </c>
      <c r="AK30" s="46">
        <f t="shared" si="45"/>
        <v>0</v>
      </c>
      <c r="AL30" s="46">
        <f t="shared" si="45"/>
        <v>1</v>
      </c>
      <c r="AM30" s="46">
        <f t="shared" si="45"/>
        <v>18</v>
      </c>
      <c r="AN30" s="83">
        <f t="shared" si="45"/>
        <v>0</v>
      </c>
      <c r="AO30" s="46">
        <f t="shared" si="45"/>
        <v>40</v>
      </c>
      <c r="AP30" s="46">
        <f t="shared" si="45"/>
        <v>90</v>
      </c>
      <c r="AQ30" s="46">
        <f t="shared" si="45"/>
        <v>4</v>
      </c>
      <c r="AR30" s="46">
        <f t="shared" si="45"/>
        <v>0</v>
      </c>
      <c r="AS30" s="46">
        <f t="shared" si="45"/>
        <v>3</v>
      </c>
      <c r="AT30" s="46">
        <f t="shared" si="45"/>
        <v>18</v>
      </c>
      <c r="AU30" s="83">
        <f t="shared" si="45"/>
        <v>0.25</v>
      </c>
      <c r="AV30" s="46">
        <f t="shared" si="45"/>
        <v>50</v>
      </c>
      <c r="AW30" s="46">
        <f t="shared" si="45"/>
        <v>180</v>
      </c>
      <c r="AX30" s="46">
        <f t="shared" si="45"/>
        <v>8</v>
      </c>
      <c r="AY30" s="46">
        <f t="shared" si="45"/>
        <v>0</v>
      </c>
      <c r="AZ30" s="46">
        <f t="shared" si="45"/>
        <v>4</v>
      </c>
      <c r="BA30" s="46">
        <f t="shared" si="45"/>
        <v>16</v>
      </c>
      <c r="BB30" s="83">
        <f t="shared" si="45"/>
        <v>0</v>
      </c>
      <c r="BC30" s="46">
        <f t="shared" si="45"/>
        <v>60</v>
      </c>
      <c r="BD30" s="46">
        <f t="shared" si="45"/>
        <v>360</v>
      </c>
      <c r="BE30" s="46">
        <f t="shared" si="45"/>
        <v>-8</v>
      </c>
      <c r="BF30" s="46">
        <f t="shared" si="45"/>
        <v>0</v>
      </c>
      <c r="BG30" s="46">
        <f t="shared" si="45"/>
        <v>5</v>
      </c>
      <c r="BH30" s="46">
        <f t="shared" si="45"/>
        <v>21</v>
      </c>
      <c r="BI30" s="83">
        <f t="shared" si="45"/>
        <v>0</v>
      </c>
      <c r="BJ30" s="46">
        <f t="shared" si="45"/>
        <v>40</v>
      </c>
      <c r="BK30" s="46">
        <f t="shared" si="45"/>
        <v>90</v>
      </c>
      <c r="BL30" s="46">
        <f t="shared" si="45"/>
        <v>4</v>
      </c>
      <c r="BM30" s="46">
        <f t="shared" si="45"/>
        <v>2</v>
      </c>
      <c r="BN30" s="46">
        <f t="shared" si="45"/>
        <v>10</v>
      </c>
      <c r="BO30" s="46">
        <f t="shared" si="45"/>
        <v>21</v>
      </c>
      <c r="BP30" s="83">
        <f t="shared" si="45"/>
        <v>0.25</v>
      </c>
      <c r="BQ30" s="46">
        <f t="shared" si="45"/>
        <v>60</v>
      </c>
      <c r="BR30" s="46">
        <f t="shared" si="45"/>
        <v>360</v>
      </c>
      <c r="BS30" s="46">
        <f t="shared" si="45"/>
        <v>13</v>
      </c>
      <c r="BT30" s="46">
        <f t="shared" si="45"/>
        <v>0</v>
      </c>
      <c r="BU30" s="46">
        <f t="shared" si="45"/>
        <v>13</v>
      </c>
      <c r="BV30" s="46">
        <f t="shared" ref="BV30:CI30" si="46">SUM(BV3:BV13)</f>
        <v>22</v>
      </c>
      <c r="BW30" s="83">
        <f t="shared" si="46"/>
        <v>0</v>
      </c>
      <c r="BX30" s="46">
        <f t="shared" si="46"/>
        <v>50</v>
      </c>
      <c r="BY30" s="46">
        <f t="shared" si="46"/>
        <v>360</v>
      </c>
      <c r="BZ30" s="46">
        <f t="shared" si="46"/>
        <v>20</v>
      </c>
      <c r="CA30" s="46">
        <f t="shared" si="46"/>
        <v>0</v>
      </c>
      <c r="CB30" s="46">
        <f t="shared" si="46"/>
        <v>10</v>
      </c>
      <c r="CC30" s="46">
        <f t="shared" si="46"/>
        <v>9</v>
      </c>
      <c r="CD30" s="83">
        <f t="shared" si="46"/>
        <v>0</v>
      </c>
      <c r="CE30" s="46">
        <f t="shared" si="46"/>
        <v>60</v>
      </c>
      <c r="CF30" s="46">
        <f t="shared" si="46"/>
        <v>360</v>
      </c>
      <c r="CG30" s="46">
        <f t="shared" si="46"/>
        <v>30</v>
      </c>
      <c r="CH30" s="46">
        <f t="shared" si="46"/>
        <v>10</v>
      </c>
      <c r="CI30" s="46">
        <f t="shared" si="46"/>
        <v>55</v>
      </c>
      <c r="CJ30" s="46">
        <f t="shared" ref="CJ30:DA30" si="47">SUM(CJ3:CJ13)</f>
        <v>27</v>
      </c>
      <c r="CK30" s="83">
        <f t="shared" si="47"/>
        <v>0.3</v>
      </c>
      <c r="CL30" s="46">
        <f t="shared" si="47"/>
        <v>65</v>
      </c>
      <c r="CM30" s="46">
        <f t="shared" si="47"/>
        <v>240</v>
      </c>
      <c r="CN30" s="46">
        <f t="shared" si="47"/>
        <v>52</v>
      </c>
      <c r="CO30" s="46">
        <f t="shared" si="47"/>
        <v>0</v>
      </c>
      <c r="CP30" s="46">
        <f t="shared" si="47"/>
        <v>77</v>
      </c>
      <c r="CQ30" s="46">
        <f t="shared" si="47"/>
        <v>26</v>
      </c>
      <c r="CR30" s="83">
        <f t="shared" si="47"/>
        <v>0</v>
      </c>
      <c r="CS30" s="46">
        <f t="shared" si="47"/>
        <v>75</v>
      </c>
      <c r="CT30" s="46">
        <f t="shared" si="47"/>
        <v>360</v>
      </c>
      <c r="CU30" s="46">
        <f t="shared" si="47"/>
        <v>14</v>
      </c>
      <c r="CV30" s="46">
        <f t="shared" si="47"/>
        <v>16</v>
      </c>
      <c r="CW30" s="46">
        <f t="shared" si="47"/>
        <v>30</v>
      </c>
      <c r="CX30" s="46">
        <f t="shared" si="47"/>
        <v>5</v>
      </c>
      <c r="CY30" s="83">
        <f t="shared" si="47"/>
        <v>0.6</v>
      </c>
      <c r="CZ30" s="46">
        <f t="shared" si="47"/>
        <v>70</v>
      </c>
      <c r="DA30" s="46">
        <f t="shared" si="47"/>
        <v>240</v>
      </c>
      <c r="DB30" s="46">
        <f t="shared" ref="DB30:DH30" si="48">SUM(DB3:DB13)</f>
        <v>62</v>
      </c>
      <c r="DC30" s="46">
        <f t="shared" si="48"/>
        <v>0</v>
      </c>
      <c r="DD30" s="46">
        <f t="shared" si="48"/>
        <v>87</v>
      </c>
      <c r="DE30" s="46">
        <f t="shared" si="48"/>
        <v>31</v>
      </c>
      <c r="DF30" s="83">
        <f t="shared" si="48"/>
        <v>0</v>
      </c>
      <c r="DG30" s="46">
        <f t="shared" si="48"/>
        <v>80</v>
      </c>
      <c r="DH30" s="46">
        <f t="shared" si="48"/>
        <v>360</v>
      </c>
    </row>
    <row r="31" spans="12:112">
      <c r="W31" s="46">
        <v>1900</v>
      </c>
      <c r="X31" s="46" t="str">
        <f t="shared" si="8"/>
        <v>Submarine, Dreadnought</v>
      </c>
      <c r="Y31" s="46">
        <f t="shared" ref="Y31:BU31" si="49">SUM(Y3:Y14)</f>
        <v>9</v>
      </c>
      <c r="Z31" s="46">
        <f t="shared" si="49"/>
        <v>2</v>
      </c>
      <c r="AA31" s="46">
        <f t="shared" si="49"/>
        <v>4</v>
      </c>
      <c r="AB31" s="46">
        <f t="shared" si="49"/>
        <v>5</v>
      </c>
      <c r="AC31" s="46">
        <f t="shared" si="49"/>
        <v>94</v>
      </c>
      <c r="AD31" s="46">
        <f t="shared" si="49"/>
        <v>-70</v>
      </c>
      <c r="AE31" s="46">
        <f t="shared" si="49"/>
        <v>3.5</v>
      </c>
      <c r="AF31" s="88">
        <f t="shared" si="49"/>
        <v>-7.5000000000000011E-2</v>
      </c>
      <c r="AG31" s="83">
        <f t="shared" si="49"/>
        <v>0</v>
      </c>
      <c r="AH31" s="83">
        <f t="shared" si="49"/>
        <v>0</v>
      </c>
      <c r="AI31" s="46">
        <f t="shared" si="49"/>
        <v>0</v>
      </c>
      <c r="AJ31" s="46">
        <f t="shared" si="49"/>
        <v>-8</v>
      </c>
      <c r="AK31" s="46">
        <f t="shared" si="49"/>
        <v>0</v>
      </c>
      <c r="AL31" s="46">
        <f t="shared" si="49"/>
        <v>1</v>
      </c>
      <c r="AM31" s="46">
        <f t="shared" si="49"/>
        <v>19</v>
      </c>
      <c r="AN31" s="83">
        <f t="shared" si="49"/>
        <v>0.1</v>
      </c>
      <c r="AO31" s="46">
        <f t="shared" si="49"/>
        <v>40</v>
      </c>
      <c r="AP31" s="46">
        <f t="shared" si="49"/>
        <v>90</v>
      </c>
      <c r="AQ31" s="46">
        <f t="shared" si="49"/>
        <v>4</v>
      </c>
      <c r="AR31" s="46">
        <f t="shared" si="49"/>
        <v>0</v>
      </c>
      <c r="AS31" s="46">
        <f t="shared" si="49"/>
        <v>3</v>
      </c>
      <c r="AT31" s="46">
        <f t="shared" si="49"/>
        <v>18</v>
      </c>
      <c r="AU31" s="83">
        <f t="shared" si="49"/>
        <v>0.25</v>
      </c>
      <c r="AV31" s="46">
        <f t="shared" si="49"/>
        <v>50</v>
      </c>
      <c r="AW31" s="46">
        <f t="shared" si="49"/>
        <v>180</v>
      </c>
      <c r="AX31" s="46">
        <f t="shared" si="49"/>
        <v>8</v>
      </c>
      <c r="AY31" s="46">
        <f t="shared" si="49"/>
        <v>0</v>
      </c>
      <c r="AZ31" s="46">
        <f t="shared" si="49"/>
        <v>4</v>
      </c>
      <c r="BA31" s="46">
        <f t="shared" si="49"/>
        <v>16</v>
      </c>
      <c r="BB31" s="83">
        <f t="shared" si="49"/>
        <v>0</v>
      </c>
      <c r="BC31" s="46">
        <f t="shared" si="49"/>
        <v>60</v>
      </c>
      <c r="BD31" s="46">
        <f t="shared" si="49"/>
        <v>360</v>
      </c>
      <c r="BE31" s="46">
        <f t="shared" si="49"/>
        <v>-8</v>
      </c>
      <c r="BF31" s="46">
        <f t="shared" si="49"/>
        <v>0</v>
      </c>
      <c r="BG31" s="46">
        <f t="shared" si="49"/>
        <v>5</v>
      </c>
      <c r="BH31" s="46">
        <f t="shared" si="49"/>
        <v>29</v>
      </c>
      <c r="BI31" s="83">
        <f t="shared" si="49"/>
        <v>0.25</v>
      </c>
      <c r="BJ31" s="46">
        <f t="shared" si="49"/>
        <v>40</v>
      </c>
      <c r="BK31" s="46">
        <f t="shared" si="49"/>
        <v>90</v>
      </c>
      <c r="BL31" s="46">
        <f t="shared" si="49"/>
        <v>4</v>
      </c>
      <c r="BM31" s="46">
        <f t="shared" si="49"/>
        <v>2</v>
      </c>
      <c r="BN31" s="46">
        <f t="shared" si="49"/>
        <v>10</v>
      </c>
      <c r="BO31" s="46">
        <f t="shared" si="49"/>
        <v>21</v>
      </c>
      <c r="BP31" s="83">
        <f t="shared" si="49"/>
        <v>0.25</v>
      </c>
      <c r="BQ31" s="46">
        <f t="shared" si="49"/>
        <v>60</v>
      </c>
      <c r="BR31" s="46">
        <f t="shared" si="49"/>
        <v>360</v>
      </c>
      <c r="BS31" s="46">
        <f t="shared" si="49"/>
        <v>13</v>
      </c>
      <c r="BT31" s="46">
        <f t="shared" si="49"/>
        <v>0</v>
      </c>
      <c r="BU31" s="46">
        <f t="shared" si="49"/>
        <v>13</v>
      </c>
      <c r="BV31" s="46">
        <f t="shared" ref="BV31:CI31" si="50">SUM(BV3:BV14)</f>
        <v>22</v>
      </c>
      <c r="BW31" s="83">
        <f t="shared" si="50"/>
        <v>0</v>
      </c>
      <c r="BX31" s="46">
        <f t="shared" si="50"/>
        <v>50</v>
      </c>
      <c r="BY31" s="46">
        <f t="shared" si="50"/>
        <v>360</v>
      </c>
      <c r="BZ31" s="46">
        <f t="shared" si="50"/>
        <v>20</v>
      </c>
      <c r="CA31" s="46">
        <f t="shared" si="50"/>
        <v>0</v>
      </c>
      <c r="CB31" s="46">
        <f t="shared" si="50"/>
        <v>10</v>
      </c>
      <c r="CC31" s="46">
        <f t="shared" si="50"/>
        <v>15</v>
      </c>
      <c r="CD31" s="83">
        <f t="shared" si="50"/>
        <v>0</v>
      </c>
      <c r="CE31" s="46">
        <f t="shared" si="50"/>
        <v>60</v>
      </c>
      <c r="CF31" s="46">
        <f t="shared" si="50"/>
        <v>360</v>
      </c>
      <c r="CG31" s="46">
        <f t="shared" si="50"/>
        <v>30</v>
      </c>
      <c r="CH31" s="46">
        <f t="shared" si="50"/>
        <v>10</v>
      </c>
      <c r="CI31" s="46">
        <f t="shared" si="50"/>
        <v>55</v>
      </c>
      <c r="CJ31" s="46">
        <f t="shared" ref="CJ31:DA31" si="51">SUM(CJ3:CJ14)</f>
        <v>32</v>
      </c>
      <c r="CK31" s="83">
        <f t="shared" si="51"/>
        <v>0.3</v>
      </c>
      <c r="CL31" s="46">
        <f t="shared" si="51"/>
        <v>65</v>
      </c>
      <c r="CM31" s="46">
        <f t="shared" si="51"/>
        <v>240</v>
      </c>
      <c r="CN31" s="46">
        <f t="shared" si="51"/>
        <v>54</v>
      </c>
      <c r="CO31" s="46">
        <f t="shared" si="51"/>
        <v>0</v>
      </c>
      <c r="CP31" s="46">
        <f t="shared" si="51"/>
        <v>77</v>
      </c>
      <c r="CQ31" s="46">
        <f t="shared" si="51"/>
        <v>29</v>
      </c>
      <c r="CR31" s="83">
        <f t="shared" si="51"/>
        <v>0</v>
      </c>
      <c r="CS31" s="46">
        <f t="shared" si="51"/>
        <v>75</v>
      </c>
      <c r="CT31" s="46">
        <f t="shared" si="51"/>
        <v>360</v>
      </c>
      <c r="CU31" s="46">
        <f t="shared" si="51"/>
        <v>14</v>
      </c>
      <c r="CV31" s="46">
        <f t="shared" si="51"/>
        <v>28</v>
      </c>
      <c r="CW31" s="46">
        <f t="shared" si="51"/>
        <v>30</v>
      </c>
      <c r="CX31" s="46">
        <f t="shared" si="51"/>
        <v>5</v>
      </c>
      <c r="CY31" s="83">
        <f t="shared" si="51"/>
        <v>0.6</v>
      </c>
      <c r="CZ31" s="46">
        <f t="shared" si="51"/>
        <v>70</v>
      </c>
      <c r="DA31" s="46">
        <f t="shared" si="51"/>
        <v>240</v>
      </c>
      <c r="DB31" s="46">
        <f t="shared" ref="DB31:DH31" si="52">SUM(DB3:DB14)</f>
        <v>64</v>
      </c>
      <c r="DC31" s="46">
        <f t="shared" si="52"/>
        <v>0</v>
      </c>
      <c r="DD31" s="46">
        <f t="shared" si="52"/>
        <v>89</v>
      </c>
      <c r="DE31" s="46">
        <f t="shared" si="52"/>
        <v>31</v>
      </c>
      <c r="DF31" s="83">
        <f t="shared" si="52"/>
        <v>0</v>
      </c>
      <c r="DG31" s="46">
        <f t="shared" si="52"/>
        <v>80</v>
      </c>
      <c r="DH31" s="46">
        <f t="shared" si="52"/>
        <v>360</v>
      </c>
    </row>
    <row r="32" spans="12:112">
      <c r="W32" s="46">
        <v>1914</v>
      </c>
      <c r="X32" s="46">
        <f t="shared" si="8"/>
        <v>0</v>
      </c>
      <c r="Y32" s="46">
        <f t="shared" ref="Y32:BU32" si="53">SUM(Y3:Y15)</f>
        <v>11</v>
      </c>
      <c r="Z32" s="46">
        <f t="shared" si="53"/>
        <v>2</v>
      </c>
      <c r="AA32" s="46">
        <f t="shared" si="53"/>
        <v>5</v>
      </c>
      <c r="AB32" s="46">
        <f t="shared" si="53"/>
        <v>5</v>
      </c>
      <c r="AC32" s="46">
        <f t="shared" si="53"/>
        <v>94</v>
      </c>
      <c r="AD32" s="46">
        <f t="shared" si="53"/>
        <v>-70</v>
      </c>
      <c r="AE32" s="46">
        <f t="shared" si="53"/>
        <v>3.5</v>
      </c>
      <c r="AF32" s="88">
        <f t="shared" si="53"/>
        <v>-7.5000000000000011E-2</v>
      </c>
      <c r="AG32" s="83">
        <f t="shared" si="53"/>
        <v>0</v>
      </c>
      <c r="AH32" s="83">
        <f t="shared" si="53"/>
        <v>0</v>
      </c>
      <c r="AI32" s="46">
        <f t="shared" si="53"/>
        <v>0</v>
      </c>
      <c r="AJ32" s="46">
        <f t="shared" si="53"/>
        <v>-10</v>
      </c>
      <c r="AK32" s="46">
        <f t="shared" si="53"/>
        <v>0</v>
      </c>
      <c r="AL32" s="46">
        <f t="shared" si="53"/>
        <v>1</v>
      </c>
      <c r="AM32" s="46">
        <f t="shared" si="53"/>
        <v>19</v>
      </c>
      <c r="AN32" s="83">
        <f t="shared" si="53"/>
        <v>0.1</v>
      </c>
      <c r="AO32" s="46">
        <f t="shared" si="53"/>
        <v>40</v>
      </c>
      <c r="AP32" s="46">
        <f t="shared" si="53"/>
        <v>90</v>
      </c>
      <c r="AQ32" s="46">
        <f t="shared" si="53"/>
        <v>4</v>
      </c>
      <c r="AR32" s="46">
        <f t="shared" si="53"/>
        <v>0</v>
      </c>
      <c r="AS32" s="46">
        <f t="shared" si="53"/>
        <v>3</v>
      </c>
      <c r="AT32" s="46">
        <f t="shared" si="53"/>
        <v>18</v>
      </c>
      <c r="AU32" s="83">
        <f t="shared" si="53"/>
        <v>0.25</v>
      </c>
      <c r="AV32" s="46">
        <f t="shared" si="53"/>
        <v>50</v>
      </c>
      <c r="AW32" s="46">
        <f t="shared" si="53"/>
        <v>180</v>
      </c>
      <c r="AX32" s="46">
        <f t="shared" si="53"/>
        <v>8</v>
      </c>
      <c r="AY32" s="46">
        <f t="shared" si="53"/>
        <v>0</v>
      </c>
      <c r="AZ32" s="46">
        <f t="shared" si="53"/>
        <v>4</v>
      </c>
      <c r="BA32" s="46">
        <f t="shared" si="53"/>
        <v>16</v>
      </c>
      <c r="BB32" s="83">
        <f t="shared" si="53"/>
        <v>0</v>
      </c>
      <c r="BC32" s="46">
        <f t="shared" si="53"/>
        <v>60</v>
      </c>
      <c r="BD32" s="46">
        <f t="shared" si="53"/>
        <v>360</v>
      </c>
      <c r="BE32" s="46">
        <f t="shared" si="53"/>
        <v>-10</v>
      </c>
      <c r="BF32" s="46">
        <f t="shared" si="53"/>
        <v>0</v>
      </c>
      <c r="BG32" s="46">
        <f t="shared" si="53"/>
        <v>5</v>
      </c>
      <c r="BH32" s="46">
        <f t="shared" si="53"/>
        <v>29</v>
      </c>
      <c r="BI32" s="83">
        <f t="shared" si="53"/>
        <v>0.25</v>
      </c>
      <c r="BJ32" s="46">
        <f t="shared" si="53"/>
        <v>40</v>
      </c>
      <c r="BK32" s="46">
        <f t="shared" si="53"/>
        <v>90</v>
      </c>
      <c r="BL32" s="46">
        <f t="shared" si="53"/>
        <v>4</v>
      </c>
      <c r="BM32" s="46">
        <f t="shared" si="53"/>
        <v>2</v>
      </c>
      <c r="BN32" s="46">
        <f t="shared" si="53"/>
        <v>10</v>
      </c>
      <c r="BO32" s="46">
        <f t="shared" si="53"/>
        <v>21</v>
      </c>
      <c r="BP32" s="83">
        <f t="shared" si="53"/>
        <v>0.25</v>
      </c>
      <c r="BQ32" s="46">
        <f t="shared" si="53"/>
        <v>60</v>
      </c>
      <c r="BR32" s="46">
        <f t="shared" si="53"/>
        <v>360</v>
      </c>
      <c r="BS32" s="46">
        <f t="shared" si="53"/>
        <v>13</v>
      </c>
      <c r="BT32" s="46">
        <f t="shared" si="53"/>
        <v>0</v>
      </c>
      <c r="BU32" s="46">
        <f t="shared" si="53"/>
        <v>13</v>
      </c>
      <c r="BV32" s="46">
        <f t="shared" ref="BV32:CI32" si="54">SUM(BV3:BV15)</f>
        <v>22</v>
      </c>
      <c r="BW32" s="83">
        <f t="shared" si="54"/>
        <v>0</v>
      </c>
      <c r="BX32" s="46">
        <f t="shared" si="54"/>
        <v>50</v>
      </c>
      <c r="BY32" s="46">
        <f t="shared" si="54"/>
        <v>360</v>
      </c>
      <c r="BZ32" s="46">
        <f t="shared" si="54"/>
        <v>20</v>
      </c>
      <c r="CA32" s="46">
        <f t="shared" si="54"/>
        <v>0</v>
      </c>
      <c r="CB32" s="46">
        <f t="shared" si="54"/>
        <v>10</v>
      </c>
      <c r="CC32" s="46">
        <f t="shared" si="54"/>
        <v>15</v>
      </c>
      <c r="CD32" s="83">
        <f t="shared" si="54"/>
        <v>0</v>
      </c>
      <c r="CE32" s="46">
        <f t="shared" si="54"/>
        <v>60</v>
      </c>
      <c r="CF32" s="46">
        <f t="shared" si="54"/>
        <v>360</v>
      </c>
      <c r="CG32" s="46">
        <f t="shared" si="54"/>
        <v>30</v>
      </c>
      <c r="CH32" s="46">
        <f t="shared" si="54"/>
        <v>10</v>
      </c>
      <c r="CI32" s="46">
        <f t="shared" si="54"/>
        <v>55</v>
      </c>
      <c r="CJ32" s="46">
        <f t="shared" ref="CJ32:DA32" si="55">SUM(CJ3:CJ15)</f>
        <v>32</v>
      </c>
      <c r="CK32" s="83">
        <f t="shared" si="55"/>
        <v>0.3</v>
      </c>
      <c r="CL32" s="46">
        <f t="shared" si="55"/>
        <v>65</v>
      </c>
      <c r="CM32" s="46">
        <f t="shared" si="55"/>
        <v>240</v>
      </c>
      <c r="CN32" s="46">
        <f t="shared" si="55"/>
        <v>54</v>
      </c>
      <c r="CO32" s="46">
        <f t="shared" si="55"/>
        <v>0</v>
      </c>
      <c r="CP32" s="46">
        <f t="shared" si="55"/>
        <v>77</v>
      </c>
      <c r="CQ32" s="46">
        <f t="shared" si="55"/>
        <v>29</v>
      </c>
      <c r="CR32" s="83">
        <f t="shared" si="55"/>
        <v>0</v>
      </c>
      <c r="CS32" s="46">
        <f t="shared" si="55"/>
        <v>75</v>
      </c>
      <c r="CT32" s="46">
        <f t="shared" si="55"/>
        <v>360</v>
      </c>
      <c r="CU32" s="46">
        <f t="shared" si="55"/>
        <v>14</v>
      </c>
      <c r="CV32" s="46">
        <f t="shared" si="55"/>
        <v>28</v>
      </c>
      <c r="CW32" s="46">
        <f t="shared" si="55"/>
        <v>30</v>
      </c>
      <c r="CX32" s="46">
        <f t="shared" si="55"/>
        <v>5</v>
      </c>
      <c r="CY32" s="83">
        <f t="shared" si="55"/>
        <v>0.6</v>
      </c>
      <c r="CZ32" s="46">
        <f t="shared" si="55"/>
        <v>70</v>
      </c>
      <c r="DA32" s="46">
        <f t="shared" si="55"/>
        <v>240</v>
      </c>
      <c r="DB32" s="46">
        <f t="shared" ref="DB32:DH32" si="56">SUM(DB3:DB15)</f>
        <v>64</v>
      </c>
      <c r="DC32" s="46">
        <f t="shared" si="56"/>
        <v>0</v>
      </c>
      <c r="DD32" s="46">
        <f t="shared" si="56"/>
        <v>89</v>
      </c>
      <c r="DE32" s="46">
        <f t="shared" si="56"/>
        <v>31</v>
      </c>
      <c r="DF32" s="83">
        <f t="shared" si="56"/>
        <v>0</v>
      </c>
      <c r="DG32" s="46">
        <f t="shared" si="56"/>
        <v>80</v>
      </c>
      <c r="DH32" s="46">
        <f t="shared" si="56"/>
        <v>360</v>
      </c>
    </row>
    <row r="33" spans="23:112">
      <c r="W33" s="46">
        <v>1919</v>
      </c>
      <c r="X33" s="46">
        <f t="shared" si="8"/>
        <v>0</v>
      </c>
      <c r="Y33" s="46">
        <f t="shared" ref="Y33:BU33" si="57">SUM(Y3:Y16)</f>
        <v>11</v>
      </c>
      <c r="Z33" s="46">
        <f t="shared" si="57"/>
        <v>2</v>
      </c>
      <c r="AA33" s="46">
        <f t="shared" si="57"/>
        <v>5</v>
      </c>
      <c r="AB33" s="46">
        <f t="shared" si="57"/>
        <v>5</v>
      </c>
      <c r="AC33" s="46">
        <f t="shared" si="57"/>
        <v>107</v>
      </c>
      <c r="AD33" s="46">
        <f t="shared" si="57"/>
        <v>-80</v>
      </c>
      <c r="AE33" s="46">
        <f t="shared" si="57"/>
        <v>4.5</v>
      </c>
      <c r="AF33" s="88">
        <f t="shared" si="57"/>
        <v>-0.17500000000000002</v>
      </c>
      <c r="AG33" s="83">
        <f t="shared" si="57"/>
        <v>0</v>
      </c>
      <c r="AH33" s="83">
        <f t="shared" si="57"/>
        <v>0</v>
      </c>
      <c r="AI33" s="46">
        <f t="shared" si="57"/>
        <v>0</v>
      </c>
      <c r="AJ33" s="46">
        <f t="shared" si="57"/>
        <v>-10</v>
      </c>
      <c r="AK33" s="46">
        <f t="shared" si="57"/>
        <v>0</v>
      </c>
      <c r="AL33" s="46">
        <f t="shared" si="57"/>
        <v>1</v>
      </c>
      <c r="AM33" s="46">
        <f t="shared" si="57"/>
        <v>19</v>
      </c>
      <c r="AN33" s="83">
        <f t="shared" si="57"/>
        <v>0.1</v>
      </c>
      <c r="AO33" s="46">
        <f t="shared" si="57"/>
        <v>40</v>
      </c>
      <c r="AP33" s="46">
        <f t="shared" si="57"/>
        <v>90</v>
      </c>
      <c r="AQ33" s="46">
        <f t="shared" si="57"/>
        <v>4</v>
      </c>
      <c r="AR33" s="46">
        <f t="shared" si="57"/>
        <v>0</v>
      </c>
      <c r="AS33" s="46">
        <f t="shared" si="57"/>
        <v>3</v>
      </c>
      <c r="AT33" s="46">
        <f t="shared" si="57"/>
        <v>18</v>
      </c>
      <c r="AU33" s="83">
        <f t="shared" si="57"/>
        <v>0.25</v>
      </c>
      <c r="AV33" s="46">
        <f t="shared" si="57"/>
        <v>50</v>
      </c>
      <c r="AW33" s="46">
        <f t="shared" si="57"/>
        <v>180</v>
      </c>
      <c r="AX33" s="46">
        <f t="shared" si="57"/>
        <v>8</v>
      </c>
      <c r="AY33" s="46">
        <f t="shared" si="57"/>
        <v>0</v>
      </c>
      <c r="AZ33" s="46">
        <f t="shared" si="57"/>
        <v>4</v>
      </c>
      <c r="BA33" s="46">
        <f t="shared" si="57"/>
        <v>16</v>
      </c>
      <c r="BB33" s="83">
        <f t="shared" si="57"/>
        <v>0</v>
      </c>
      <c r="BC33" s="46">
        <f t="shared" si="57"/>
        <v>60</v>
      </c>
      <c r="BD33" s="46">
        <f t="shared" si="57"/>
        <v>360</v>
      </c>
      <c r="BE33" s="46">
        <f t="shared" si="57"/>
        <v>-10</v>
      </c>
      <c r="BF33" s="46">
        <f t="shared" si="57"/>
        <v>0</v>
      </c>
      <c r="BG33" s="46">
        <f t="shared" si="57"/>
        <v>5</v>
      </c>
      <c r="BH33" s="46">
        <f t="shared" si="57"/>
        <v>36</v>
      </c>
      <c r="BI33" s="83">
        <f t="shared" si="57"/>
        <v>0.25</v>
      </c>
      <c r="BJ33" s="46">
        <f t="shared" si="57"/>
        <v>40</v>
      </c>
      <c r="BK33" s="46">
        <f t="shared" si="57"/>
        <v>90</v>
      </c>
      <c r="BL33" s="46">
        <f t="shared" si="57"/>
        <v>4</v>
      </c>
      <c r="BM33" s="46">
        <f t="shared" si="57"/>
        <v>2</v>
      </c>
      <c r="BN33" s="46">
        <f t="shared" si="57"/>
        <v>10</v>
      </c>
      <c r="BO33" s="46">
        <f t="shared" si="57"/>
        <v>21</v>
      </c>
      <c r="BP33" s="83">
        <f t="shared" si="57"/>
        <v>0.25</v>
      </c>
      <c r="BQ33" s="46">
        <f t="shared" si="57"/>
        <v>60</v>
      </c>
      <c r="BR33" s="46">
        <f t="shared" si="57"/>
        <v>360</v>
      </c>
      <c r="BS33" s="46">
        <f t="shared" si="57"/>
        <v>13</v>
      </c>
      <c r="BT33" s="46">
        <f t="shared" si="57"/>
        <v>0</v>
      </c>
      <c r="BU33" s="46">
        <f t="shared" si="57"/>
        <v>13</v>
      </c>
      <c r="BV33" s="46">
        <f t="shared" ref="BV33:CI33" si="58">SUM(BV3:BV16)</f>
        <v>22</v>
      </c>
      <c r="BW33" s="83">
        <f t="shared" si="58"/>
        <v>0</v>
      </c>
      <c r="BX33" s="46">
        <f t="shared" si="58"/>
        <v>50</v>
      </c>
      <c r="BY33" s="46">
        <f t="shared" si="58"/>
        <v>360</v>
      </c>
      <c r="BZ33" s="46">
        <f t="shared" si="58"/>
        <v>20</v>
      </c>
      <c r="CA33" s="46">
        <f t="shared" si="58"/>
        <v>0</v>
      </c>
      <c r="CB33" s="46">
        <f t="shared" si="58"/>
        <v>10</v>
      </c>
      <c r="CC33" s="46">
        <f t="shared" si="58"/>
        <v>15</v>
      </c>
      <c r="CD33" s="83">
        <f t="shared" si="58"/>
        <v>0</v>
      </c>
      <c r="CE33" s="46">
        <f t="shared" si="58"/>
        <v>60</v>
      </c>
      <c r="CF33" s="46">
        <f t="shared" si="58"/>
        <v>360</v>
      </c>
      <c r="CG33" s="46">
        <f t="shared" si="58"/>
        <v>33</v>
      </c>
      <c r="CH33" s="46">
        <f t="shared" si="58"/>
        <v>14</v>
      </c>
      <c r="CI33" s="46">
        <f t="shared" si="58"/>
        <v>56</v>
      </c>
      <c r="CJ33" s="46">
        <f t="shared" ref="CJ33:DA33" si="59">SUM(CJ3:CJ16)</f>
        <v>38</v>
      </c>
      <c r="CK33" s="83">
        <f t="shared" si="59"/>
        <v>0.3</v>
      </c>
      <c r="CL33" s="46">
        <f t="shared" si="59"/>
        <v>65</v>
      </c>
      <c r="CM33" s="46">
        <f t="shared" si="59"/>
        <v>240</v>
      </c>
      <c r="CN33" s="46">
        <f t="shared" si="59"/>
        <v>58</v>
      </c>
      <c r="CO33" s="46">
        <f t="shared" si="59"/>
        <v>0</v>
      </c>
      <c r="CP33" s="46">
        <f t="shared" si="59"/>
        <v>78</v>
      </c>
      <c r="CQ33" s="46">
        <f t="shared" si="59"/>
        <v>30</v>
      </c>
      <c r="CR33" s="83">
        <f t="shared" si="59"/>
        <v>0</v>
      </c>
      <c r="CS33" s="46">
        <f t="shared" si="59"/>
        <v>75</v>
      </c>
      <c r="CT33" s="46">
        <f t="shared" si="59"/>
        <v>360</v>
      </c>
      <c r="CU33" s="46">
        <f t="shared" si="59"/>
        <v>17</v>
      </c>
      <c r="CV33" s="46">
        <f t="shared" si="59"/>
        <v>32</v>
      </c>
      <c r="CW33" s="46">
        <f t="shared" si="59"/>
        <v>31</v>
      </c>
      <c r="CX33" s="46">
        <f t="shared" si="59"/>
        <v>9</v>
      </c>
      <c r="CY33" s="83">
        <f t="shared" si="59"/>
        <v>0.6</v>
      </c>
      <c r="CZ33" s="46">
        <f t="shared" si="59"/>
        <v>70</v>
      </c>
      <c r="DA33" s="46">
        <f t="shared" si="59"/>
        <v>240</v>
      </c>
      <c r="DB33" s="46">
        <f t="shared" ref="DB33:DH33" si="60">SUM(DB3:DB16)</f>
        <v>72</v>
      </c>
      <c r="DC33" s="46">
        <f t="shared" si="60"/>
        <v>0</v>
      </c>
      <c r="DD33" s="46">
        <f t="shared" si="60"/>
        <v>90</v>
      </c>
      <c r="DE33" s="46">
        <f t="shared" si="60"/>
        <v>36</v>
      </c>
      <c r="DF33" s="83">
        <f t="shared" si="60"/>
        <v>0</v>
      </c>
      <c r="DG33" s="46">
        <f t="shared" si="60"/>
        <v>80</v>
      </c>
      <c r="DH33" s="46">
        <f t="shared" si="60"/>
        <v>360</v>
      </c>
    </row>
    <row r="35" spans="23:112">
      <c r="AD35" s="101" t="s">
        <v>372</v>
      </c>
      <c r="AE35" s="101"/>
      <c r="AF35" s="101"/>
      <c r="AG35" s="101"/>
      <c r="AH35" s="101"/>
      <c r="AI35" s="6" t="s">
        <v>0</v>
      </c>
      <c r="AJ35" s="80" t="s">
        <v>357</v>
      </c>
      <c r="AK35" s="80"/>
      <c r="AL35" s="80"/>
      <c r="AM35" s="80"/>
      <c r="AN35" s="80"/>
      <c r="AO35" s="80"/>
      <c r="AP35" s="80"/>
      <c r="AQ35" s="81" t="s">
        <v>349</v>
      </c>
      <c r="AR35" s="81"/>
      <c r="AS35" s="81"/>
      <c r="AT35" s="81"/>
      <c r="AU35" s="81"/>
      <c r="AV35" s="81"/>
      <c r="AW35" s="81"/>
      <c r="AX35" s="89" t="s">
        <v>350</v>
      </c>
      <c r="AY35" s="89"/>
      <c r="AZ35" s="89"/>
      <c r="BA35" s="89"/>
      <c r="BB35" s="89"/>
      <c r="BC35" s="89"/>
      <c r="BD35" s="89"/>
      <c r="BE35" s="87" t="s">
        <v>356</v>
      </c>
      <c r="BF35" s="87"/>
      <c r="BG35" s="87"/>
      <c r="BH35" s="87"/>
      <c r="BI35" s="87"/>
      <c r="BJ35" s="87"/>
      <c r="BK35" s="87"/>
      <c r="BL35" s="82" t="s">
        <v>358</v>
      </c>
      <c r="BM35" s="82"/>
      <c r="BN35" s="82"/>
      <c r="BO35" s="82"/>
      <c r="BP35" s="82"/>
      <c r="BQ35" s="82"/>
      <c r="BR35" s="82"/>
      <c r="BS35" s="90" t="s">
        <v>361</v>
      </c>
      <c r="BT35" s="90"/>
      <c r="BU35" s="90"/>
      <c r="BV35" s="90"/>
      <c r="BW35" s="90"/>
      <c r="BX35" s="90"/>
      <c r="BY35" s="90"/>
      <c r="BZ35" s="91" t="s">
        <v>362</v>
      </c>
      <c r="CA35" s="91"/>
      <c r="CB35" s="91"/>
      <c r="CC35" s="91"/>
      <c r="CD35" s="91"/>
      <c r="CE35" s="91"/>
      <c r="CF35" s="91"/>
      <c r="CG35" s="92" t="s">
        <v>367</v>
      </c>
      <c r="CH35" s="92"/>
      <c r="CI35" s="92"/>
      <c r="CJ35" s="92"/>
      <c r="CK35" s="92"/>
      <c r="CL35" s="92"/>
      <c r="CM35" s="92"/>
      <c r="CN35" s="93" t="s">
        <v>363</v>
      </c>
      <c r="CO35" s="93"/>
      <c r="CP35" s="93"/>
      <c r="CQ35" s="93"/>
      <c r="CR35" s="93"/>
      <c r="CS35" s="93"/>
      <c r="CT35" s="93"/>
      <c r="CU35" s="95" t="s">
        <v>364</v>
      </c>
      <c r="CV35" s="95"/>
      <c r="CW35" s="95"/>
      <c r="CX35" s="95"/>
      <c r="CY35" s="95"/>
      <c r="CZ35" s="95"/>
      <c r="DA35" s="95"/>
      <c r="DB35" s="94" t="s">
        <v>365</v>
      </c>
      <c r="DC35" s="94"/>
      <c r="DD35" s="94"/>
      <c r="DE35" s="94"/>
      <c r="DF35" s="94"/>
      <c r="DG35" s="94"/>
      <c r="DH35" s="94"/>
    </row>
    <row r="36" spans="23:112">
      <c r="AD36" s="96" t="s">
        <v>361</v>
      </c>
      <c r="AE36" s="97" t="s">
        <v>369</v>
      </c>
      <c r="AF36" s="99" t="s">
        <v>363</v>
      </c>
      <c r="AG36" s="98" t="s">
        <v>365</v>
      </c>
      <c r="AH36" s="100" t="s">
        <v>371</v>
      </c>
      <c r="AI36" s="6"/>
      <c r="AJ36" s="46" t="s">
        <v>194</v>
      </c>
      <c r="AK36" s="46" t="s">
        <v>359</v>
      </c>
      <c r="AL36" s="46" t="s">
        <v>205</v>
      </c>
      <c r="AM36" s="46" t="s">
        <v>347</v>
      </c>
      <c r="AN36" s="46" t="s">
        <v>207</v>
      </c>
      <c r="AO36" s="46" t="s">
        <v>348</v>
      </c>
      <c r="AP36" s="46" t="s">
        <v>351</v>
      </c>
      <c r="AQ36" s="46" t="s">
        <v>194</v>
      </c>
      <c r="AR36" s="46" t="s">
        <v>359</v>
      </c>
      <c r="AS36" s="46" t="s">
        <v>205</v>
      </c>
      <c r="AT36" s="46" t="s">
        <v>347</v>
      </c>
      <c r="AU36" s="46" t="s">
        <v>207</v>
      </c>
      <c r="AV36" s="46" t="s">
        <v>348</v>
      </c>
      <c r="AW36" s="46" t="s">
        <v>351</v>
      </c>
      <c r="AX36" s="46" t="s">
        <v>194</v>
      </c>
      <c r="AY36" s="46" t="s">
        <v>359</v>
      </c>
      <c r="AZ36" s="46" t="s">
        <v>205</v>
      </c>
      <c r="BA36" s="46" t="s">
        <v>347</v>
      </c>
      <c r="BB36" s="46" t="s">
        <v>207</v>
      </c>
      <c r="BC36" s="46" t="s">
        <v>348</v>
      </c>
      <c r="BD36" s="46" t="s">
        <v>351</v>
      </c>
      <c r="BE36" s="46" t="s">
        <v>194</v>
      </c>
      <c r="BF36" s="46" t="s">
        <v>359</v>
      </c>
      <c r="BG36" s="46" t="s">
        <v>205</v>
      </c>
      <c r="BH36" s="46" t="s">
        <v>347</v>
      </c>
      <c r="BI36" s="46" t="s">
        <v>207</v>
      </c>
      <c r="BJ36" s="46" t="s">
        <v>348</v>
      </c>
      <c r="BK36" s="46" t="s">
        <v>351</v>
      </c>
      <c r="BL36" s="46" t="s">
        <v>194</v>
      </c>
      <c r="BM36" s="46" t="s">
        <v>359</v>
      </c>
      <c r="BN36" s="46" t="s">
        <v>205</v>
      </c>
      <c r="BO36" s="46" t="s">
        <v>347</v>
      </c>
      <c r="BP36" s="46" t="s">
        <v>207</v>
      </c>
      <c r="BQ36" s="46" t="s">
        <v>348</v>
      </c>
      <c r="BR36" s="46" t="s">
        <v>351</v>
      </c>
      <c r="BS36" s="46" t="s">
        <v>194</v>
      </c>
      <c r="BT36" s="46" t="s">
        <v>359</v>
      </c>
      <c r="BU36" s="46" t="s">
        <v>205</v>
      </c>
      <c r="BV36" s="46" t="s">
        <v>347</v>
      </c>
      <c r="BW36" s="46" t="s">
        <v>207</v>
      </c>
      <c r="BX36" s="46" t="s">
        <v>348</v>
      </c>
      <c r="BY36" s="46" t="s">
        <v>351</v>
      </c>
      <c r="BZ36" s="46" t="s">
        <v>194</v>
      </c>
      <c r="CA36" s="46" t="s">
        <v>359</v>
      </c>
      <c r="CB36" s="46" t="s">
        <v>205</v>
      </c>
      <c r="CC36" s="46" t="s">
        <v>347</v>
      </c>
      <c r="CD36" s="46" t="s">
        <v>207</v>
      </c>
      <c r="CE36" s="46" t="s">
        <v>348</v>
      </c>
      <c r="CF36" s="46" t="s">
        <v>351</v>
      </c>
      <c r="CG36" s="46" t="s">
        <v>194</v>
      </c>
      <c r="CH36" s="46" t="s">
        <v>359</v>
      </c>
      <c r="CI36" s="46" t="s">
        <v>205</v>
      </c>
      <c r="CJ36" s="46" t="s">
        <v>347</v>
      </c>
      <c r="CK36" s="46" t="s">
        <v>207</v>
      </c>
      <c r="CL36" s="46" t="s">
        <v>348</v>
      </c>
      <c r="CM36" s="46" t="s">
        <v>351</v>
      </c>
      <c r="CN36" s="46" t="s">
        <v>194</v>
      </c>
      <c r="CO36" s="46" t="s">
        <v>359</v>
      </c>
      <c r="CP36" s="46" t="s">
        <v>205</v>
      </c>
      <c r="CQ36" s="46" t="s">
        <v>347</v>
      </c>
      <c r="CR36" s="46" t="s">
        <v>207</v>
      </c>
      <c r="CS36" s="46" t="s">
        <v>348</v>
      </c>
      <c r="CT36" s="46" t="s">
        <v>351</v>
      </c>
      <c r="CU36" s="46" t="s">
        <v>194</v>
      </c>
      <c r="CV36" s="46" t="s">
        <v>359</v>
      </c>
      <c r="CW36" s="46" t="s">
        <v>205</v>
      </c>
      <c r="CX36" s="46" t="s">
        <v>347</v>
      </c>
      <c r="CY36" s="46" t="s">
        <v>207</v>
      </c>
      <c r="CZ36" s="46" t="s">
        <v>348</v>
      </c>
      <c r="DA36" s="46" t="s">
        <v>351</v>
      </c>
      <c r="DB36" s="46" t="s">
        <v>194</v>
      </c>
      <c r="DC36" s="46" t="s">
        <v>359</v>
      </c>
      <c r="DD36" s="46" t="s">
        <v>205</v>
      </c>
      <c r="DE36" s="46" t="s">
        <v>347</v>
      </c>
      <c r="DF36" s="46" t="s">
        <v>207</v>
      </c>
      <c r="DG36" s="46" t="s">
        <v>348</v>
      </c>
      <c r="DH36" s="46" t="s">
        <v>351</v>
      </c>
    </row>
    <row r="37" spans="23:112">
      <c r="AD37" s="84">
        <f>AH37+5</f>
        <v>35</v>
      </c>
      <c r="AE37" s="85">
        <f>AH37+10</f>
        <v>40</v>
      </c>
      <c r="AF37" s="85">
        <f>AH37+15</f>
        <v>45</v>
      </c>
      <c r="AG37" s="85">
        <f>AH37+20</f>
        <v>50</v>
      </c>
      <c r="AH37" s="85">
        <f>AC20</f>
        <v>30</v>
      </c>
      <c r="AI37" s="46" t="s">
        <v>211</v>
      </c>
      <c r="AJ37" s="46">
        <f>AJ20+$Y20</f>
        <v>1</v>
      </c>
      <c r="AK37" s="46">
        <f>AK20</f>
        <v>0</v>
      </c>
      <c r="AL37" s="46">
        <f>AL20+$Z20</f>
        <v>1</v>
      </c>
      <c r="AM37" s="46">
        <f>AM20+$AB20</f>
        <v>6</v>
      </c>
      <c r="AN37" s="83">
        <f>AN20</f>
        <v>0</v>
      </c>
      <c r="AO37" s="46">
        <f>AO20</f>
        <v>20</v>
      </c>
      <c r="AP37" s="46">
        <f>AP20+$AD20</f>
        <v>90</v>
      </c>
      <c r="AQ37" s="46">
        <f>AQ20+$Y20</f>
        <v>3</v>
      </c>
      <c r="AR37" s="46">
        <f>AR20</f>
        <v>0</v>
      </c>
      <c r="AS37" s="46">
        <f>AS20+$Z20</f>
        <v>2</v>
      </c>
      <c r="AT37" s="46">
        <f>AT20+$AB20</f>
        <v>6</v>
      </c>
      <c r="AU37" s="83">
        <f>AU20</f>
        <v>0.1</v>
      </c>
      <c r="AV37" s="46">
        <f>AV20</f>
        <v>25</v>
      </c>
      <c r="AW37" s="46">
        <f>AW20+$AD20</f>
        <v>180</v>
      </c>
      <c r="AX37" s="46">
        <f t="shared" ref="AX37" si="61">AX20+$Y20</f>
        <v>6</v>
      </c>
      <c r="AY37" s="46">
        <f t="shared" ref="AY37:BK50" si="62">AY20</f>
        <v>0</v>
      </c>
      <c r="AZ37" s="46">
        <f t="shared" ref="AZ37:BG50" si="63">AZ20+$Z20</f>
        <v>3</v>
      </c>
      <c r="BA37" s="46">
        <f t="shared" ref="BA37:BH50" si="64">BA20+$AB20</f>
        <v>6</v>
      </c>
      <c r="BB37" s="83">
        <f t="shared" ref="BB37:BK37" si="65">BB20</f>
        <v>0</v>
      </c>
      <c r="BC37" s="46">
        <f t="shared" si="65"/>
        <v>30</v>
      </c>
      <c r="BD37" s="46">
        <f t="shared" ref="BD37:BK50" si="66">BD20+$AD20</f>
        <v>360</v>
      </c>
      <c r="BE37" s="46">
        <f t="shared" ref="BE37" si="67">BE20+$Y20</f>
        <v>1</v>
      </c>
      <c r="BF37" s="46">
        <f t="shared" ref="BF37:BK37" si="68">BF20</f>
        <v>0</v>
      </c>
      <c r="BG37" s="46">
        <f t="shared" ref="BG37" si="69">BG20+$Z20</f>
        <v>5</v>
      </c>
      <c r="BH37" s="46">
        <f t="shared" ref="BH37" si="70">BH20+$AB20</f>
        <v>16</v>
      </c>
      <c r="BI37" s="83">
        <f t="shared" ref="BI37:BK37" si="71">BI20</f>
        <v>0</v>
      </c>
      <c r="BJ37" s="46">
        <f t="shared" si="71"/>
        <v>40</v>
      </c>
      <c r="BK37" s="46">
        <f t="shared" ref="BK37" si="72">BK20+$AD20</f>
        <v>90</v>
      </c>
      <c r="BL37" s="46">
        <f t="shared" ref="BL37" si="73">BL20+$Y20</f>
        <v>4</v>
      </c>
      <c r="BM37" s="46">
        <f t="shared" ref="BM37:CF37" si="74">BM20</f>
        <v>0</v>
      </c>
      <c r="BN37" s="46">
        <f t="shared" ref="BN37" si="75">BN20+$Z20</f>
        <v>6</v>
      </c>
      <c r="BO37" s="46">
        <f t="shared" ref="BO37" si="76">BO20+$AB20</f>
        <v>17</v>
      </c>
      <c r="BP37" s="83">
        <f t="shared" ref="BP37:CF37" si="77">BP20</f>
        <v>0.25</v>
      </c>
      <c r="BQ37" s="46">
        <f t="shared" si="77"/>
        <v>60</v>
      </c>
      <c r="BR37" s="46">
        <f t="shared" ref="BR37:CF37" si="78">BR20+$AD20</f>
        <v>360</v>
      </c>
      <c r="BS37" s="46">
        <f t="shared" ref="BS37" si="79">BS20+$Y20</f>
        <v>12</v>
      </c>
      <c r="BT37" s="46">
        <f t="shared" ref="BT37:CF37" si="80">BT20</f>
        <v>0</v>
      </c>
      <c r="BU37" s="46">
        <f t="shared" ref="BU37" si="81">BU20+$Z20</f>
        <v>12</v>
      </c>
      <c r="BV37" s="46">
        <f t="shared" ref="BV37" si="82">BV20+$AB20</f>
        <v>20</v>
      </c>
      <c r="BW37" s="83">
        <f t="shared" ref="BW37:CF37" si="83">BW20</f>
        <v>0</v>
      </c>
      <c r="BX37" s="46">
        <f t="shared" si="83"/>
        <v>50</v>
      </c>
      <c r="BY37" s="46">
        <f t="shared" si="78"/>
        <v>360</v>
      </c>
      <c r="BZ37" s="46">
        <f t="shared" ref="BZ37" si="84">BZ20+$Y20</f>
        <v>20</v>
      </c>
      <c r="CA37" s="46">
        <f t="shared" ref="CA37:CF37" si="85">CA20</f>
        <v>0</v>
      </c>
      <c r="CB37" s="46">
        <f t="shared" ref="CB37" si="86">CB20+$Z20</f>
        <v>10</v>
      </c>
      <c r="CC37" s="46">
        <f t="shared" ref="CC37" si="87">CC20+$AB20</f>
        <v>8</v>
      </c>
      <c r="CD37" s="83">
        <f t="shared" ref="CD37:CF37" si="88">CD20</f>
        <v>0</v>
      </c>
      <c r="CE37" s="46">
        <f t="shared" si="88"/>
        <v>60</v>
      </c>
      <c r="CF37" s="46">
        <f t="shared" si="78"/>
        <v>360</v>
      </c>
      <c r="CG37" s="46">
        <f t="shared" ref="CG37" si="89">CG20+$Y20</f>
        <v>30</v>
      </c>
      <c r="CH37" s="46">
        <f t="shared" ref="CH37:DH37" si="90">CH20</f>
        <v>2</v>
      </c>
      <c r="CI37" s="46">
        <f t="shared" ref="CI37" si="91">CI20+$Z20</f>
        <v>50</v>
      </c>
      <c r="CJ37" s="46">
        <f t="shared" ref="CJ37" si="92">CJ20+$AB20</f>
        <v>27</v>
      </c>
      <c r="CK37" s="83">
        <f t="shared" ref="CK37:DH37" si="93">CK20</f>
        <v>0.3</v>
      </c>
      <c r="CL37" s="46">
        <f t="shared" si="93"/>
        <v>65</v>
      </c>
      <c r="CM37" s="46">
        <f t="shared" ref="CM37:DH50" si="94">CM20+$AD20</f>
        <v>240</v>
      </c>
      <c r="CN37" s="46">
        <f t="shared" ref="CN37" si="95">CN20+$Y20</f>
        <v>50</v>
      </c>
      <c r="CO37" s="46">
        <f t="shared" ref="CO37:DH37" si="96">CO20</f>
        <v>0</v>
      </c>
      <c r="CP37" s="46">
        <f t="shared" ref="CP37" si="97">CP20+$Z20</f>
        <v>70</v>
      </c>
      <c r="CQ37" s="46">
        <f t="shared" ref="CQ37" si="98">CQ20+$AB20</f>
        <v>26</v>
      </c>
      <c r="CR37" s="83">
        <f t="shared" ref="CR37:DH37" si="99">CR20</f>
        <v>0</v>
      </c>
      <c r="CS37" s="46">
        <f t="shared" si="99"/>
        <v>75</v>
      </c>
      <c r="CT37" s="46">
        <f t="shared" ref="CT37" si="100">CT20+$AD20</f>
        <v>360</v>
      </c>
      <c r="CU37" s="46">
        <f t="shared" ref="CU37" si="101">CU20+$Y20</f>
        <v>14</v>
      </c>
      <c r="CV37" s="46">
        <f t="shared" ref="CV37:DH37" si="102">CV20</f>
        <v>8</v>
      </c>
      <c r="CW37" s="46">
        <f t="shared" ref="CW37" si="103">CW20+$Z20</f>
        <v>30</v>
      </c>
      <c r="CX37" s="46">
        <f t="shared" ref="CX37" si="104">CX20+$AB20</f>
        <v>5</v>
      </c>
      <c r="CY37" s="83">
        <f t="shared" ref="CY37:DH37" si="105">CY20</f>
        <v>0.6</v>
      </c>
      <c r="CZ37" s="46">
        <f t="shared" si="105"/>
        <v>70</v>
      </c>
      <c r="DA37" s="46">
        <f t="shared" ref="DA37" si="106">DA20+$AD20</f>
        <v>240</v>
      </c>
      <c r="DB37" s="46">
        <f t="shared" ref="DB37" si="107">DB20+$Y20</f>
        <v>60</v>
      </c>
      <c r="DC37" s="46">
        <f t="shared" ref="DC37:DH37" si="108">DC20</f>
        <v>0</v>
      </c>
      <c r="DD37" s="46">
        <f t="shared" ref="DD37" si="109">DD20+$Z20</f>
        <v>80</v>
      </c>
      <c r="DE37" s="46">
        <f t="shared" ref="DE37" si="110">DE20+$AB20</f>
        <v>31</v>
      </c>
      <c r="DF37" s="83">
        <f t="shared" ref="DF37:DH37" si="111">DF20</f>
        <v>0</v>
      </c>
      <c r="DG37" s="46">
        <f t="shared" si="111"/>
        <v>80</v>
      </c>
      <c r="DH37" s="46">
        <f t="shared" ref="DH37" si="112">DH20+$AD20</f>
        <v>360</v>
      </c>
    </row>
    <row r="38" spans="23:112">
      <c r="AD38" s="84">
        <f t="shared" ref="AD38:AD50" si="113">AH38+5</f>
        <v>35</v>
      </c>
      <c r="AE38" s="85">
        <f>AH38+10</f>
        <v>40</v>
      </c>
      <c r="AF38" s="85">
        <f t="shared" ref="AF38:AF50" si="114">AH38+15</f>
        <v>45</v>
      </c>
      <c r="AG38" s="85">
        <f t="shared" ref="AG38:AG50" si="115">AH38+20</f>
        <v>50</v>
      </c>
      <c r="AH38" s="85">
        <f t="shared" ref="AH38:AH50" si="116">AC21</f>
        <v>30</v>
      </c>
      <c r="AI38" s="46" t="s">
        <v>212</v>
      </c>
      <c r="AJ38" s="46">
        <f t="shared" ref="AJ38:AJ50" si="117">AJ21+$Y21</f>
        <v>1</v>
      </c>
      <c r="AK38" s="46">
        <f t="shared" ref="AK38:AK50" si="118">AK21</f>
        <v>0</v>
      </c>
      <c r="AL38" s="46">
        <f t="shared" ref="AL38:AL50" si="119">AL21+$Z21</f>
        <v>1</v>
      </c>
      <c r="AM38" s="46">
        <f t="shared" ref="AM38:AM50" si="120">AM21+$AB21</f>
        <v>6</v>
      </c>
      <c r="AN38" s="83">
        <f t="shared" ref="AN38:AP50" si="121">AN21</f>
        <v>0</v>
      </c>
      <c r="AO38" s="46">
        <f t="shared" si="121"/>
        <v>20</v>
      </c>
      <c r="AP38" s="46">
        <f t="shared" ref="AP38:AP50" si="122">AP21+$AD21</f>
        <v>90</v>
      </c>
      <c r="AQ38" s="46">
        <f t="shared" ref="AQ38" si="123">AQ21+$Y21</f>
        <v>3</v>
      </c>
      <c r="AR38" s="46">
        <f t="shared" ref="AR38:AR50" si="124">AR21</f>
        <v>0</v>
      </c>
      <c r="AS38" s="46">
        <f t="shared" ref="AS38:AS50" si="125">AS21+$Z21</f>
        <v>2</v>
      </c>
      <c r="AT38" s="46">
        <f t="shared" ref="AT38:AT50" si="126">AT21+$AB21</f>
        <v>6</v>
      </c>
      <c r="AU38" s="83">
        <f t="shared" ref="AU38:AW38" si="127">AU21</f>
        <v>0.1</v>
      </c>
      <c r="AV38" s="46">
        <f t="shared" si="127"/>
        <v>25</v>
      </c>
      <c r="AW38" s="46">
        <f t="shared" ref="AW38:AW50" si="128">AW21+$AD21</f>
        <v>180</v>
      </c>
      <c r="AX38" s="46">
        <f t="shared" ref="AX38" si="129">AX21+$Y21</f>
        <v>6</v>
      </c>
      <c r="AY38" s="46">
        <f t="shared" si="62"/>
        <v>0</v>
      </c>
      <c r="AZ38" s="46">
        <f t="shared" si="63"/>
        <v>3</v>
      </c>
      <c r="BA38" s="46">
        <f t="shared" si="64"/>
        <v>6</v>
      </c>
      <c r="BB38" s="83">
        <f t="shared" ref="BB38:BK38" si="130">BB21</f>
        <v>0</v>
      </c>
      <c r="BC38" s="46">
        <f t="shared" si="130"/>
        <v>30</v>
      </c>
      <c r="BD38" s="46">
        <f t="shared" si="66"/>
        <v>360</v>
      </c>
      <c r="BE38" s="46">
        <f t="shared" ref="BE38" si="131">BE21+$Y21</f>
        <v>1</v>
      </c>
      <c r="BF38" s="46">
        <f t="shared" si="62"/>
        <v>0</v>
      </c>
      <c r="BG38" s="46">
        <f t="shared" si="63"/>
        <v>5</v>
      </c>
      <c r="BH38" s="46">
        <f t="shared" si="64"/>
        <v>16</v>
      </c>
      <c r="BI38" s="83">
        <f t="shared" ref="BI38:BK38" si="132">BI21</f>
        <v>0</v>
      </c>
      <c r="BJ38" s="46">
        <f t="shared" si="132"/>
        <v>40</v>
      </c>
      <c r="BK38" s="46">
        <f t="shared" si="66"/>
        <v>90</v>
      </c>
      <c r="BL38" s="46">
        <f t="shared" ref="BL38" si="133">BL21+$Y21</f>
        <v>4</v>
      </c>
      <c r="BM38" s="46">
        <f t="shared" ref="BM38:CF38" si="134">BM21</f>
        <v>0</v>
      </c>
      <c r="BN38" s="46">
        <f t="shared" ref="BN38" si="135">BN21+$Z21</f>
        <v>6</v>
      </c>
      <c r="BO38" s="46">
        <f t="shared" ref="BO38" si="136">BO21+$AB21</f>
        <v>17</v>
      </c>
      <c r="BP38" s="83">
        <f t="shared" ref="BP38:CF38" si="137">BP21</f>
        <v>0.25</v>
      </c>
      <c r="BQ38" s="46">
        <f t="shared" si="137"/>
        <v>60</v>
      </c>
      <c r="BR38" s="46">
        <f t="shared" ref="BR38" si="138">BR21+$AD21</f>
        <v>360</v>
      </c>
      <c r="BS38" s="46">
        <f t="shared" ref="BS38" si="139">BS21+$Y21</f>
        <v>12</v>
      </c>
      <c r="BT38" s="46">
        <f t="shared" ref="BT38:CF38" si="140">BT21</f>
        <v>0</v>
      </c>
      <c r="BU38" s="46">
        <f t="shared" ref="BU38" si="141">BU21+$Z21</f>
        <v>12</v>
      </c>
      <c r="BV38" s="46">
        <f t="shared" ref="BV38" si="142">BV21+$AB21</f>
        <v>20</v>
      </c>
      <c r="BW38" s="83">
        <f t="shared" ref="BW38:CF38" si="143">BW21</f>
        <v>0</v>
      </c>
      <c r="BX38" s="46">
        <f t="shared" si="143"/>
        <v>50</v>
      </c>
      <c r="BY38" s="46">
        <f t="shared" ref="BY38" si="144">BY21+$AD21</f>
        <v>360</v>
      </c>
      <c r="BZ38" s="46">
        <f t="shared" ref="BZ38" si="145">BZ21+$Y21</f>
        <v>20</v>
      </c>
      <c r="CA38" s="46">
        <f t="shared" ref="CA38:CF38" si="146">CA21</f>
        <v>0</v>
      </c>
      <c r="CB38" s="46">
        <f t="shared" ref="CB38" si="147">CB21+$Z21</f>
        <v>10</v>
      </c>
      <c r="CC38" s="46">
        <f t="shared" ref="CC38" si="148">CC21+$AB21</f>
        <v>8</v>
      </c>
      <c r="CD38" s="83">
        <f t="shared" ref="CD38:CF38" si="149">CD21</f>
        <v>0</v>
      </c>
      <c r="CE38" s="46">
        <f t="shared" si="149"/>
        <v>60</v>
      </c>
      <c r="CF38" s="46">
        <f t="shared" ref="CF38" si="150">CF21+$AD21</f>
        <v>360</v>
      </c>
      <c r="CG38" s="46">
        <f t="shared" ref="CG38" si="151">CG21+$Y21</f>
        <v>30</v>
      </c>
      <c r="CH38" s="46">
        <f t="shared" ref="CH38:DH38" si="152">CH21</f>
        <v>2</v>
      </c>
      <c r="CI38" s="46">
        <f t="shared" ref="CI38" si="153">CI21+$Z21</f>
        <v>50</v>
      </c>
      <c r="CJ38" s="46">
        <f t="shared" ref="CJ38" si="154">CJ21+$AB21</f>
        <v>27</v>
      </c>
      <c r="CK38" s="83">
        <f t="shared" ref="CK38:DH38" si="155">CK21</f>
        <v>0.3</v>
      </c>
      <c r="CL38" s="46">
        <f t="shared" si="155"/>
        <v>65</v>
      </c>
      <c r="CM38" s="46">
        <f t="shared" si="94"/>
        <v>240</v>
      </c>
      <c r="CN38" s="46">
        <f t="shared" ref="CN38" si="156">CN21+$Y21</f>
        <v>50</v>
      </c>
      <c r="CO38" s="46">
        <f t="shared" ref="CO38:DH38" si="157">CO21</f>
        <v>0</v>
      </c>
      <c r="CP38" s="46">
        <f t="shared" ref="CP38" si="158">CP21+$Z21</f>
        <v>70</v>
      </c>
      <c r="CQ38" s="46">
        <f t="shared" ref="CQ38" si="159">CQ21+$AB21</f>
        <v>26</v>
      </c>
      <c r="CR38" s="83">
        <f t="shared" ref="CR38:DH38" si="160">CR21</f>
        <v>0</v>
      </c>
      <c r="CS38" s="46">
        <f t="shared" si="160"/>
        <v>75</v>
      </c>
      <c r="CT38" s="46">
        <f t="shared" si="94"/>
        <v>360</v>
      </c>
      <c r="CU38" s="46">
        <f t="shared" ref="CU38" si="161">CU21+$Y21</f>
        <v>14</v>
      </c>
      <c r="CV38" s="46">
        <f t="shared" ref="CV38:DH38" si="162">CV21</f>
        <v>8</v>
      </c>
      <c r="CW38" s="46">
        <f t="shared" ref="CW38" si="163">CW21+$Z21</f>
        <v>30</v>
      </c>
      <c r="CX38" s="46">
        <f t="shared" ref="CX38" si="164">CX21+$AB21</f>
        <v>5</v>
      </c>
      <c r="CY38" s="83">
        <f t="shared" ref="CY38:DH38" si="165">CY21</f>
        <v>0.6</v>
      </c>
      <c r="CZ38" s="46">
        <f t="shared" si="165"/>
        <v>70</v>
      </c>
      <c r="DA38" s="46">
        <f t="shared" si="94"/>
        <v>240</v>
      </c>
      <c r="DB38" s="46">
        <f t="shared" ref="DB38" si="166">DB21+$Y21</f>
        <v>60</v>
      </c>
      <c r="DC38" s="46">
        <f t="shared" ref="DC38:DH38" si="167">DC21</f>
        <v>0</v>
      </c>
      <c r="DD38" s="46">
        <f t="shared" ref="DD38" si="168">DD21+$Z21</f>
        <v>80</v>
      </c>
      <c r="DE38" s="46">
        <f t="shared" ref="DE38" si="169">DE21+$AB21</f>
        <v>31</v>
      </c>
      <c r="DF38" s="83">
        <f t="shared" ref="DF38:DH38" si="170">DF21</f>
        <v>0</v>
      </c>
      <c r="DG38" s="46">
        <f t="shared" si="170"/>
        <v>80</v>
      </c>
      <c r="DH38" s="46">
        <f t="shared" si="94"/>
        <v>360</v>
      </c>
    </row>
    <row r="39" spans="23:112">
      <c r="AD39" s="84">
        <f t="shared" si="113"/>
        <v>35</v>
      </c>
      <c r="AE39" s="85">
        <f>AH39+10</f>
        <v>40</v>
      </c>
      <c r="AF39" s="85">
        <f t="shared" si="114"/>
        <v>45</v>
      </c>
      <c r="AG39" s="85">
        <f t="shared" si="115"/>
        <v>50</v>
      </c>
      <c r="AH39" s="85">
        <f t="shared" si="116"/>
        <v>30</v>
      </c>
      <c r="AI39" s="46" t="s">
        <v>213</v>
      </c>
      <c r="AJ39" s="46">
        <f t="shared" si="117"/>
        <v>1</v>
      </c>
      <c r="AK39" s="46">
        <f t="shared" si="118"/>
        <v>0</v>
      </c>
      <c r="AL39" s="46">
        <f t="shared" si="119"/>
        <v>1</v>
      </c>
      <c r="AM39" s="46">
        <f t="shared" si="120"/>
        <v>18</v>
      </c>
      <c r="AN39" s="83">
        <f t="shared" si="121"/>
        <v>0</v>
      </c>
      <c r="AO39" s="46">
        <f t="shared" si="121"/>
        <v>40</v>
      </c>
      <c r="AP39" s="46">
        <f t="shared" si="122"/>
        <v>90</v>
      </c>
      <c r="AQ39" s="46">
        <f t="shared" ref="AQ39" si="171">AQ22+$Y22</f>
        <v>4</v>
      </c>
      <c r="AR39" s="46">
        <f t="shared" si="124"/>
        <v>0</v>
      </c>
      <c r="AS39" s="46">
        <f t="shared" si="125"/>
        <v>3</v>
      </c>
      <c r="AT39" s="46">
        <f t="shared" si="126"/>
        <v>18</v>
      </c>
      <c r="AU39" s="83">
        <f t="shared" ref="AU39:AW39" si="172">AU22</f>
        <v>0.25</v>
      </c>
      <c r="AV39" s="46">
        <f t="shared" si="172"/>
        <v>50</v>
      </c>
      <c r="AW39" s="46">
        <f t="shared" si="128"/>
        <v>180</v>
      </c>
      <c r="AX39" s="46">
        <f t="shared" ref="AX39" si="173">AX22+$Y22</f>
        <v>8</v>
      </c>
      <c r="AY39" s="46">
        <f t="shared" si="62"/>
        <v>0</v>
      </c>
      <c r="AZ39" s="46">
        <f t="shared" si="63"/>
        <v>4</v>
      </c>
      <c r="BA39" s="46">
        <f t="shared" si="64"/>
        <v>16</v>
      </c>
      <c r="BB39" s="83">
        <f t="shared" ref="BB39:BK39" si="174">BB22</f>
        <v>0</v>
      </c>
      <c r="BC39" s="46">
        <f t="shared" si="174"/>
        <v>60</v>
      </c>
      <c r="BD39" s="46">
        <f t="shared" si="66"/>
        <v>360</v>
      </c>
      <c r="BE39" s="46">
        <f t="shared" ref="BE39" si="175">BE22+$Y22</f>
        <v>1</v>
      </c>
      <c r="BF39" s="46">
        <f t="shared" si="62"/>
        <v>0</v>
      </c>
      <c r="BG39" s="46">
        <f t="shared" si="63"/>
        <v>5</v>
      </c>
      <c r="BH39" s="46">
        <f t="shared" si="64"/>
        <v>16</v>
      </c>
      <c r="BI39" s="83">
        <f t="shared" ref="BI39:BK39" si="176">BI22</f>
        <v>0</v>
      </c>
      <c r="BJ39" s="46">
        <f t="shared" si="176"/>
        <v>40</v>
      </c>
      <c r="BK39" s="46">
        <f t="shared" si="66"/>
        <v>90</v>
      </c>
      <c r="BL39" s="46">
        <f t="shared" ref="BL39" si="177">BL22+$Y22</f>
        <v>4</v>
      </c>
      <c r="BM39" s="46">
        <f t="shared" ref="BM39:CF39" si="178">BM22</f>
        <v>0</v>
      </c>
      <c r="BN39" s="46">
        <f t="shared" ref="BN39" si="179">BN22+$Z22</f>
        <v>6</v>
      </c>
      <c r="BO39" s="46">
        <f t="shared" ref="BO39" si="180">BO22+$AB22</f>
        <v>17</v>
      </c>
      <c r="BP39" s="83">
        <f t="shared" ref="BP39:CF39" si="181">BP22</f>
        <v>0.25</v>
      </c>
      <c r="BQ39" s="46">
        <f t="shared" si="181"/>
        <v>60</v>
      </c>
      <c r="BR39" s="46">
        <f t="shared" ref="BR39" si="182">BR22+$AD22</f>
        <v>360</v>
      </c>
      <c r="BS39" s="46">
        <f t="shared" ref="BS39" si="183">BS22+$Y22</f>
        <v>12</v>
      </c>
      <c r="BT39" s="46">
        <f t="shared" ref="BT39:CF39" si="184">BT22</f>
        <v>0</v>
      </c>
      <c r="BU39" s="46">
        <f t="shared" ref="BU39" si="185">BU22+$Z22</f>
        <v>12</v>
      </c>
      <c r="BV39" s="46">
        <f t="shared" ref="BV39" si="186">BV22+$AB22</f>
        <v>20</v>
      </c>
      <c r="BW39" s="83">
        <f t="shared" ref="BW39:CF39" si="187">BW22</f>
        <v>0</v>
      </c>
      <c r="BX39" s="46">
        <f t="shared" si="187"/>
        <v>50</v>
      </c>
      <c r="BY39" s="46">
        <f t="shared" ref="BY39" si="188">BY22+$AD22</f>
        <v>360</v>
      </c>
      <c r="BZ39" s="46">
        <f t="shared" ref="BZ39" si="189">BZ22+$Y22</f>
        <v>20</v>
      </c>
      <c r="CA39" s="46">
        <f t="shared" ref="CA39:CF39" si="190">CA22</f>
        <v>0</v>
      </c>
      <c r="CB39" s="46">
        <f t="shared" ref="CB39" si="191">CB22+$Z22</f>
        <v>10</v>
      </c>
      <c r="CC39" s="46">
        <f t="shared" ref="CC39" si="192">CC22+$AB22</f>
        <v>8</v>
      </c>
      <c r="CD39" s="83">
        <f t="shared" ref="CD39:CF39" si="193">CD22</f>
        <v>0</v>
      </c>
      <c r="CE39" s="46">
        <f t="shared" si="193"/>
        <v>60</v>
      </c>
      <c r="CF39" s="46">
        <f t="shared" ref="CF39" si="194">CF22+$AD22</f>
        <v>360</v>
      </c>
      <c r="CG39" s="46">
        <f t="shared" ref="CG39" si="195">CG22+$Y22</f>
        <v>30</v>
      </c>
      <c r="CH39" s="46">
        <f t="shared" ref="CH39:DH39" si="196">CH22</f>
        <v>2</v>
      </c>
      <c r="CI39" s="46">
        <f t="shared" ref="CI39" si="197">CI22+$Z22</f>
        <v>50</v>
      </c>
      <c r="CJ39" s="46">
        <f t="shared" ref="CJ39" si="198">CJ22+$AB22</f>
        <v>27</v>
      </c>
      <c r="CK39" s="83">
        <f t="shared" ref="CK39:DH39" si="199">CK22</f>
        <v>0.3</v>
      </c>
      <c r="CL39" s="46">
        <f t="shared" si="199"/>
        <v>65</v>
      </c>
      <c r="CM39" s="46">
        <f t="shared" si="94"/>
        <v>240</v>
      </c>
      <c r="CN39" s="46">
        <f t="shared" ref="CN39" si="200">CN22+$Y22</f>
        <v>50</v>
      </c>
      <c r="CO39" s="46">
        <f t="shared" ref="CO39:DH39" si="201">CO22</f>
        <v>0</v>
      </c>
      <c r="CP39" s="46">
        <f t="shared" ref="CP39" si="202">CP22+$Z22</f>
        <v>70</v>
      </c>
      <c r="CQ39" s="46">
        <f t="shared" ref="CQ39" si="203">CQ22+$AB22</f>
        <v>26</v>
      </c>
      <c r="CR39" s="83">
        <f t="shared" ref="CR39:DH39" si="204">CR22</f>
        <v>0</v>
      </c>
      <c r="CS39" s="46">
        <f t="shared" si="204"/>
        <v>75</v>
      </c>
      <c r="CT39" s="46">
        <f t="shared" si="94"/>
        <v>360</v>
      </c>
      <c r="CU39" s="46">
        <f t="shared" ref="CU39" si="205">CU22+$Y22</f>
        <v>14</v>
      </c>
      <c r="CV39" s="46">
        <f t="shared" ref="CV39:DH39" si="206">CV22</f>
        <v>8</v>
      </c>
      <c r="CW39" s="46">
        <f t="shared" ref="CW39" si="207">CW22+$Z22</f>
        <v>30</v>
      </c>
      <c r="CX39" s="46">
        <f t="shared" ref="CX39" si="208">CX22+$AB22</f>
        <v>5</v>
      </c>
      <c r="CY39" s="83">
        <f t="shared" ref="CY39:DH39" si="209">CY22</f>
        <v>0.6</v>
      </c>
      <c r="CZ39" s="46">
        <f t="shared" si="209"/>
        <v>70</v>
      </c>
      <c r="DA39" s="46">
        <f t="shared" si="94"/>
        <v>240</v>
      </c>
      <c r="DB39" s="46">
        <f t="shared" ref="DB39" si="210">DB22+$Y22</f>
        <v>60</v>
      </c>
      <c r="DC39" s="46">
        <f t="shared" ref="DC39:DH39" si="211">DC22</f>
        <v>0</v>
      </c>
      <c r="DD39" s="46">
        <f t="shared" ref="DD39" si="212">DD22+$Z22</f>
        <v>80</v>
      </c>
      <c r="DE39" s="46">
        <f t="shared" ref="DE39" si="213">DE22+$AB22</f>
        <v>31</v>
      </c>
      <c r="DF39" s="83">
        <f t="shared" ref="DF39:DH39" si="214">DF22</f>
        <v>0</v>
      </c>
      <c r="DG39" s="46">
        <f t="shared" si="214"/>
        <v>80</v>
      </c>
      <c r="DH39" s="46">
        <f t="shared" si="94"/>
        <v>360</v>
      </c>
    </row>
    <row r="40" spans="23:112">
      <c r="AD40" s="84">
        <f t="shared" si="113"/>
        <v>45</v>
      </c>
      <c r="AE40" s="85">
        <f>AH40+10</f>
        <v>50</v>
      </c>
      <c r="AF40" s="85">
        <f t="shared" si="114"/>
        <v>55</v>
      </c>
      <c r="AG40" s="85">
        <f t="shared" si="115"/>
        <v>60</v>
      </c>
      <c r="AH40" s="85">
        <f t="shared" si="116"/>
        <v>40</v>
      </c>
      <c r="AI40" s="46" t="s">
        <v>214</v>
      </c>
      <c r="AJ40" s="46">
        <f t="shared" si="117"/>
        <v>1</v>
      </c>
      <c r="AK40" s="46">
        <f t="shared" si="118"/>
        <v>0</v>
      </c>
      <c r="AL40" s="46">
        <f t="shared" si="119"/>
        <v>1</v>
      </c>
      <c r="AM40" s="46">
        <f t="shared" si="120"/>
        <v>18</v>
      </c>
      <c r="AN40" s="83">
        <f t="shared" si="121"/>
        <v>0</v>
      </c>
      <c r="AO40" s="46">
        <f t="shared" si="121"/>
        <v>40</v>
      </c>
      <c r="AP40" s="46">
        <f t="shared" si="122"/>
        <v>80</v>
      </c>
      <c r="AQ40" s="46">
        <f t="shared" ref="AQ40" si="215">AQ23+$Y23</f>
        <v>4</v>
      </c>
      <c r="AR40" s="46">
        <f t="shared" si="124"/>
        <v>0</v>
      </c>
      <c r="AS40" s="46">
        <f t="shared" si="125"/>
        <v>3</v>
      </c>
      <c r="AT40" s="46">
        <f t="shared" si="126"/>
        <v>18</v>
      </c>
      <c r="AU40" s="83">
        <f t="shared" ref="AU40:AW40" si="216">AU23</f>
        <v>0.25</v>
      </c>
      <c r="AV40" s="46">
        <f t="shared" si="216"/>
        <v>50</v>
      </c>
      <c r="AW40" s="46">
        <f t="shared" si="128"/>
        <v>170</v>
      </c>
      <c r="AX40" s="46">
        <f t="shared" ref="AX40" si="217">AX23+$Y23</f>
        <v>8</v>
      </c>
      <c r="AY40" s="46">
        <f t="shared" si="62"/>
        <v>0</v>
      </c>
      <c r="AZ40" s="46">
        <f t="shared" si="63"/>
        <v>4</v>
      </c>
      <c r="BA40" s="46">
        <f t="shared" si="64"/>
        <v>16</v>
      </c>
      <c r="BB40" s="83">
        <f t="shared" ref="BB40:BK40" si="218">BB23</f>
        <v>0</v>
      </c>
      <c r="BC40" s="46">
        <f t="shared" si="218"/>
        <v>60</v>
      </c>
      <c r="BD40" s="46">
        <f t="shared" si="66"/>
        <v>350</v>
      </c>
      <c r="BE40" s="46">
        <f t="shared" ref="BE40" si="219">BE23+$Y23</f>
        <v>1</v>
      </c>
      <c r="BF40" s="46">
        <f t="shared" si="62"/>
        <v>0</v>
      </c>
      <c r="BG40" s="46">
        <f t="shared" si="63"/>
        <v>5</v>
      </c>
      <c r="BH40" s="46">
        <f t="shared" si="64"/>
        <v>16</v>
      </c>
      <c r="BI40" s="83">
        <f t="shared" ref="BI40:BK40" si="220">BI23</f>
        <v>0</v>
      </c>
      <c r="BJ40" s="46">
        <f t="shared" si="220"/>
        <v>40</v>
      </c>
      <c r="BK40" s="46">
        <f t="shared" si="66"/>
        <v>80</v>
      </c>
      <c r="BL40" s="46">
        <f t="shared" ref="BL40" si="221">BL23+$Y23</f>
        <v>4</v>
      </c>
      <c r="BM40" s="46">
        <f t="shared" ref="BM40:CF40" si="222">BM23</f>
        <v>0</v>
      </c>
      <c r="BN40" s="46">
        <f t="shared" ref="BN40" si="223">BN23+$Z23</f>
        <v>6</v>
      </c>
      <c r="BO40" s="46">
        <f t="shared" ref="BO40" si="224">BO23+$AB23</f>
        <v>17</v>
      </c>
      <c r="BP40" s="83">
        <f t="shared" ref="BP40:CF40" si="225">BP23</f>
        <v>0.25</v>
      </c>
      <c r="BQ40" s="46">
        <f t="shared" si="225"/>
        <v>60</v>
      </c>
      <c r="BR40" s="46">
        <f t="shared" ref="BR40" si="226">BR23+$AD23</f>
        <v>350</v>
      </c>
      <c r="BS40" s="46">
        <f t="shared" ref="BS40" si="227">BS23+$Y23</f>
        <v>12</v>
      </c>
      <c r="BT40" s="46">
        <f t="shared" ref="BT40:CF40" si="228">BT23</f>
        <v>0</v>
      </c>
      <c r="BU40" s="46">
        <f t="shared" ref="BU40" si="229">BU23+$Z23</f>
        <v>12</v>
      </c>
      <c r="BV40" s="46">
        <f t="shared" ref="BV40" si="230">BV23+$AB23</f>
        <v>20</v>
      </c>
      <c r="BW40" s="83">
        <f t="shared" ref="BW40:CF40" si="231">BW23</f>
        <v>0</v>
      </c>
      <c r="BX40" s="46">
        <f t="shared" si="231"/>
        <v>50</v>
      </c>
      <c r="BY40" s="46">
        <f t="shared" ref="BY40" si="232">BY23+$AD23</f>
        <v>350</v>
      </c>
      <c r="BZ40" s="46">
        <f t="shared" ref="BZ40" si="233">BZ23+$Y23</f>
        <v>20</v>
      </c>
      <c r="CA40" s="46">
        <f t="shared" ref="CA40:CF40" si="234">CA23</f>
        <v>0</v>
      </c>
      <c r="CB40" s="46">
        <f t="shared" ref="CB40" si="235">CB23+$Z23</f>
        <v>10</v>
      </c>
      <c r="CC40" s="46">
        <f t="shared" ref="CC40" si="236">CC23+$AB23</f>
        <v>8</v>
      </c>
      <c r="CD40" s="83">
        <f t="shared" ref="CD40:CF40" si="237">CD23</f>
        <v>0</v>
      </c>
      <c r="CE40" s="46">
        <f t="shared" si="237"/>
        <v>60</v>
      </c>
      <c r="CF40" s="46">
        <f t="shared" ref="CF40" si="238">CF23+$AD23</f>
        <v>350</v>
      </c>
      <c r="CG40" s="46">
        <f t="shared" ref="CG40" si="239">CG23+$Y23</f>
        <v>30</v>
      </c>
      <c r="CH40" s="46">
        <f t="shared" ref="CH40:DH40" si="240">CH23</f>
        <v>2</v>
      </c>
      <c r="CI40" s="46">
        <f t="shared" ref="CI40" si="241">CI23+$Z23</f>
        <v>50</v>
      </c>
      <c r="CJ40" s="46">
        <f t="shared" ref="CJ40" si="242">CJ23+$AB23</f>
        <v>27</v>
      </c>
      <c r="CK40" s="83">
        <f t="shared" ref="CK40:DH40" si="243">CK23</f>
        <v>0.3</v>
      </c>
      <c r="CL40" s="46">
        <f t="shared" si="243"/>
        <v>65</v>
      </c>
      <c r="CM40" s="46">
        <f t="shared" si="94"/>
        <v>230</v>
      </c>
      <c r="CN40" s="46">
        <f t="shared" ref="CN40" si="244">CN23+$Y23</f>
        <v>50</v>
      </c>
      <c r="CO40" s="46">
        <f t="shared" ref="CO40:DH40" si="245">CO23</f>
        <v>0</v>
      </c>
      <c r="CP40" s="46">
        <f t="shared" ref="CP40" si="246">CP23+$Z23</f>
        <v>70</v>
      </c>
      <c r="CQ40" s="46">
        <f t="shared" ref="CQ40" si="247">CQ23+$AB23</f>
        <v>26</v>
      </c>
      <c r="CR40" s="83">
        <f t="shared" ref="CR40:DH40" si="248">CR23</f>
        <v>0</v>
      </c>
      <c r="CS40" s="46">
        <f t="shared" si="248"/>
        <v>75</v>
      </c>
      <c r="CT40" s="46">
        <f t="shared" si="94"/>
        <v>350</v>
      </c>
      <c r="CU40" s="46">
        <f t="shared" ref="CU40" si="249">CU23+$Y23</f>
        <v>14</v>
      </c>
      <c r="CV40" s="46">
        <f t="shared" ref="CV40:DH40" si="250">CV23</f>
        <v>8</v>
      </c>
      <c r="CW40" s="46">
        <f t="shared" ref="CW40" si="251">CW23+$Z23</f>
        <v>30</v>
      </c>
      <c r="CX40" s="46">
        <f t="shared" ref="CX40" si="252">CX23+$AB23</f>
        <v>5</v>
      </c>
      <c r="CY40" s="83">
        <f t="shared" ref="CY40:DH40" si="253">CY23</f>
        <v>0.6</v>
      </c>
      <c r="CZ40" s="46">
        <f t="shared" si="253"/>
        <v>70</v>
      </c>
      <c r="DA40" s="46">
        <f t="shared" si="94"/>
        <v>230</v>
      </c>
      <c r="DB40" s="46">
        <f t="shared" ref="DB40" si="254">DB23+$Y23</f>
        <v>60</v>
      </c>
      <c r="DC40" s="46">
        <f t="shared" ref="DC40:DH40" si="255">DC23</f>
        <v>0</v>
      </c>
      <c r="DD40" s="46">
        <f t="shared" ref="DD40" si="256">DD23+$Z23</f>
        <v>80</v>
      </c>
      <c r="DE40" s="46">
        <f t="shared" ref="DE40" si="257">DE23+$AB23</f>
        <v>31</v>
      </c>
      <c r="DF40" s="83">
        <f t="shared" ref="DF40:DH40" si="258">DF23</f>
        <v>0</v>
      </c>
      <c r="DG40" s="46">
        <f t="shared" si="258"/>
        <v>80</v>
      </c>
      <c r="DH40" s="46">
        <f t="shared" si="94"/>
        <v>350</v>
      </c>
    </row>
    <row r="41" spans="23:112">
      <c r="AD41" s="84">
        <f t="shared" si="113"/>
        <v>61</v>
      </c>
      <c r="AE41" s="85">
        <f>AH41+10</f>
        <v>66</v>
      </c>
      <c r="AF41" s="85">
        <f t="shared" si="114"/>
        <v>71</v>
      </c>
      <c r="AG41" s="85">
        <f t="shared" si="115"/>
        <v>76</v>
      </c>
      <c r="AH41" s="85">
        <f t="shared" si="116"/>
        <v>56</v>
      </c>
      <c r="AI41" s="46" t="s">
        <v>294</v>
      </c>
      <c r="AJ41" s="46">
        <f t="shared" si="117"/>
        <v>1</v>
      </c>
      <c r="AK41" s="46">
        <f t="shared" si="118"/>
        <v>0</v>
      </c>
      <c r="AL41" s="46">
        <f t="shared" si="119"/>
        <v>1</v>
      </c>
      <c r="AM41" s="46">
        <f t="shared" si="120"/>
        <v>19</v>
      </c>
      <c r="AN41" s="83">
        <f t="shared" si="121"/>
        <v>0</v>
      </c>
      <c r="AO41" s="46">
        <f t="shared" si="121"/>
        <v>40</v>
      </c>
      <c r="AP41" s="46">
        <f t="shared" si="122"/>
        <v>70</v>
      </c>
      <c r="AQ41" s="46">
        <f t="shared" ref="AQ41" si="259">AQ24+$Y24</f>
        <v>6</v>
      </c>
      <c r="AR41" s="46">
        <f t="shared" si="124"/>
        <v>0</v>
      </c>
      <c r="AS41" s="46">
        <f t="shared" si="125"/>
        <v>3</v>
      </c>
      <c r="AT41" s="46">
        <f t="shared" si="126"/>
        <v>19</v>
      </c>
      <c r="AU41" s="83">
        <f t="shared" ref="AU41:AW41" si="260">AU24</f>
        <v>0.25</v>
      </c>
      <c r="AV41" s="46">
        <f t="shared" si="260"/>
        <v>50</v>
      </c>
      <c r="AW41" s="46">
        <f t="shared" si="128"/>
        <v>160</v>
      </c>
      <c r="AX41" s="46">
        <f t="shared" ref="AX41" si="261">AX24+$Y24</f>
        <v>10</v>
      </c>
      <c r="AY41" s="46">
        <f t="shared" si="62"/>
        <v>0</v>
      </c>
      <c r="AZ41" s="46">
        <f t="shared" si="63"/>
        <v>4</v>
      </c>
      <c r="BA41" s="46">
        <f t="shared" si="64"/>
        <v>17</v>
      </c>
      <c r="BB41" s="83">
        <f t="shared" ref="BB41:BK41" si="262">BB24</f>
        <v>0</v>
      </c>
      <c r="BC41" s="46">
        <f t="shared" si="262"/>
        <v>60</v>
      </c>
      <c r="BD41" s="46">
        <f t="shared" si="66"/>
        <v>340</v>
      </c>
      <c r="BE41" s="46">
        <f t="shared" ref="BE41" si="263">BE24+$Y24</f>
        <v>1</v>
      </c>
      <c r="BF41" s="46">
        <f t="shared" si="62"/>
        <v>0</v>
      </c>
      <c r="BG41" s="46">
        <f t="shared" si="63"/>
        <v>5</v>
      </c>
      <c r="BH41" s="46">
        <f t="shared" si="64"/>
        <v>17</v>
      </c>
      <c r="BI41" s="83">
        <f t="shared" ref="BI41:BK41" si="264">BI24</f>
        <v>0</v>
      </c>
      <c r="BJ41" s="46">
        <f t="shared" si="264"/>
        <v>40</v>
      </c>
      <c r="BK41" s="46">
        <f t="shared" si="66"/>
        <v>70</v>
      </c>
      <c r="BL41" s="46">
        <f t="shared" ref="BL41" si="265">BL24+$Y24</f>
        <v>6</v>
      </c>
      <c r="BM41" s="46">
        <f t="shared" ref="BM41:CF41" si="266">BM24</f>
        <v>0</v>
      </c>
      <c r="BN41" s="46">
        <f t="shared" ref="BN41" si="267">BN24+$Z24</f>
        <v>6</v>
      </c>
      <c r="BO41" s="46">
        <f t="shared" ref="BO41" si="268">BO24+$AB24</f>
        <v>18</v>
      </c>
      <c r="BP41" s="83">
        <f t="shared" ref="BP41:CF41" si="269">BP24</f>
        <v>0.25</v>
      </c>
      <c r="BQ41" s="46">
        <f t="shared" si="269"/>
        <v>60</v>
      </c>
      <c r="BR41" s="46">
        <f t="shared" ref="BR41" si="270">BR24+$AD24</f>
        <v>340</v>
      </c>
      <c r="BS41" s="46">
        <f t="shared" ref="BS41" si="271">BS24+$Y24</f>
        <v>14</v>
      </c>
      <c r="BT41" s="46">
        <f t="shared" ref="BT41:CF41" si="272">BT24</f>
        <v>0</v>
      </c>
      <c r="BU41" s="46">
        <f t="shared" ref="BU41" si="273">BU24+$Z24</f>
        <v>12</v>
      </c>
      <c r="BV41" s="46">
        <f t="shared" ref="BV41" si="274">BV24+$AB24</f>
        <v>21</v>
      </c>
      <c r="BW41" s="83">
        <f t="shared" ref="BW41:CF41" si="275">BW24</f>
        <v>0</v>
      </c>
      <c r="BX41" s="46">
        <f t="shared" si="275"/>
        <v>50</v>
      </c>
      <c r="BY41" s="46">
        <f t="shared" ref="BY41" si="276">BY24+$AD24</f>
        <v>340</v>
      </c>
      <c r="BZ41" s="46">
        <f t="shared" ref="BZ41" si="277">BZ24+$Y24</f>
        <v>22</v>
      </c>
      <c r="CA41" s="46">
        <f t="shared" ref="CA41:CF41" si="278">CA24</f>
        <v>0</v>
      </c>
      <c r="CB41" s="46">
        <f t="shared" ref="CB41" si="279">CB24+$Z24</f>
        <v>10</v>
      </c>
      <c r="CC41" s="46">
        <f t="shared" ref="CC41" si="280">CC24+$AB24</f>
        <v>9</v>
      </c>
      <c r="CD41" s="83">
        <f t="shared" ref="CD41:CF41" si="281">CD24</f>
        <v>0</v>
      </c>
      <c r="CE41" s="46">
        <f t="shared" si="281"/>
        <v>60</v>
      </c>
      <c r="CF41" s="46">
        <f t="shared" ref="CF41" si="282">CF24+$AD24</f>
        <v>340</v>
      </c>
      <c r="CG41" s="46">
        <f t="shared" ref="CG41" si="283">CG24+$Y24</f>
        <v>32</v>
      </c>
      <c r="CH41" s="46">
        <f t="shared" ref="CH41:DH41" si="284">CH24</f>
        <v>2</v>
      </c>
      <c r="CI41" s="46">
        <f t="shared" ref="CI41" si="285">CI24+$Z24</f>
        <v>50</v>
      </c>
      <c r="CJ41" s="46">
        <f t="shared" ref="CJ41" si="286">CJ24+$AB24</f>
        <v>28</v>
      </c>
      <c r="CK41" s="83">
        <f t="shared" ref="CK41:DH41" si="287">CK24</f>
        <v>0.3</v>
      </c>
      <c r="CL41" s="46">
        <f t="shared" si="287"/>
        <v>65</v>
      </c>
      <c r="CM41" s="46">
        <f t="shared" si="94"/>
        <v>220</v>
      </c>
      <c r="CN41" s="46">
        <f t="shared" ref="CN41" si="288">CN24+$Y24</f>
        <v>52</v>
      </c>
      <c r="CO41" s="46">
        <f t="shared" ref="CO41:DH41" si="289">CO24</f>
        <v>0</v>
      </c>
      <c r="CP41" s="46">
        <f t="shared" ref="CP41" si="290">CP24+$Z24</f>
        <v>70</v>
      </c>
      <c r="CQ41" s="46">
        <f t="shared" ref="CQ41" si="291">CQ24+$AB24</f>
        <v>27</v>
      </c>
      <c r="CR41" s="83">
        <f t="shared" ref="CR41:DH41" si="292">CR24</f>
        <v>0</v>
      </c>
      <c r="CS41" s="46">
        <f t="shared" si="292"/>
        <v>75</v>
      </c>
      <c r="CT41" s="46">
        <f t="shared" si="94"/>
        <v>340</v>
      </c>
      <c r="CU41" s="46">
        <f t="shared" ref="CU41" si="293">CU24+$Y24</f>
        <v>16</v>
      </c>
      <c r="CV41" s="46">
        <f t="shared" ref="CV41:DH41" si="294">CV24</f>
        <v>8</v>
      </c>
      <c r="CW41" s="46">
        <f t="shared" ref="CW41" si="295">CW24+$Z24</f>
        <v>30</v>
      </c>
      <c r="CX41" s="46">
        <f t="shared" ref="CX41" si="296">CX24+$AB24</f>
        <v>6</v>
      </c>
      <c r="CY41" s="83">
        <f t="shared" ref="CY41:DH41" si="297">CY24</f>
        <v>0.6</v>
      </c>
      <c r="CZ41" s="46">
        <f t="shared" si="297"/>
        <v>70</v>
      </c>
      <c r="DA41" s="46">
        <f t="shared" si="94"/>
        <v>220</v>
      </c>
      <c r="DB41" s="46">
        <f t="shared" ref="DB41" si="298">DB24+$Y24</f>
        <v>62</v>
      </c>
      <c r="DC41" s="46">
        <f t="shared" ref="DC41:DH41" si="299">DC24</f>
        <v>0</v>
      </c>
      <c r="DD41" s="46">
        <f t="shared" ref="DD41" si="300">DD24+$Z24</f>
        <v>80</v>
      </c>
      <c r="DE41" s="46">
        <f t="shared" ref="DE41" si="301">DE24+$AB24</f>
        <v>32</v>
      </c>
      <c r="DF41" s="83">
        <f t="shared" ref="DF41:DH41" si="302">DF24</f>
        <v>0</v>
      </c>
      <c r="DG41" s="46">
        <f t="shared" si="302"/>
        <v>80</v>
      </c>
      <c r="DH41" s="46">
        <f t="shared" si="94"/>
        <v>340</v>
      </c>
    </row>
    <row r="42" spans="23:112">
      <c r="AD42" s="84">
        <f t="shared" si="113"/>
        <v>72</v>
      </c>
      <c r="AE42" s="85">
        <f>AH42+10</f>
        <v>77</v>
      </c>
      <c r="AF42" s="85">
        <f t="shared" si="114"/>
        <v>82</v>
      </c>
      <c r="AG42" s="85">
        <f t="shared" si="115"/>
        <v>87</v>
      </c>
      <c r="AH42" s="85">
        <f t="shared" si="116"/>
        <v>67</v>
      </c>
      <c r="AI42" s="46">
        <v>1850</v>
      </c>
      <c r="AJ42" s="46">
        <f t="shared" si="117"/>
        <v>1</v>
      </c>
      <c r="AK42" s="46">
        <f t="shared" si="118"/>
        <v>0</v>
      </c>
      <c r="AL42" s="46">
        <f t="shared" si="119"/>
        <v>2</v>
      </c>
      <c r="AM42" s="46">
        <f t="shared" si="120"/>
        <v>19</v>
      </c>
      <c r="AN42" s="83">
        <f t="shared" si="121"/>
        <v>0</v>
      </c>
      <c r="AO42" s="46">
        <f t="shared" si="121"/>
        <v>40</v>
      </c>
      <c r="AP42" s="46">
        <f t="shared" si="122"/>
        <v>60</v>
      </c>
      <c r="AQ42" s="46">
        <f t="shared" ref="AQ42" si="303">AQ25+$Y25</f>
        <v>8</v>
      </c>
      <c r="AR42" s="46">
        <f t="shared" si="124"/>
        <v>0</v>
      </c>
      <c r="AS42" s="46">
        <f t="shared" si="125"/>
        <v>4</v>
      </c>
      <c r="AT42" s="46">
        <f t="shared" si="126"/>
        <v>19</v>
      </c>
      <c r="AU42" s="83">
        <f t="shared" ref="AU42:AW42" si="304">AU25</f>
        <v>0.25</v>
      </c>
      <c r="AV42" s="46">
        <f t="shared" si="304"/>
        <v>50</v>
      </c>
      <c r="AW42" s="46">
        <f t="shared" si="128"/>
        <v>150</v>
      </c>
      <c r="AX42" s="46">
        <f t="shared" ref="AX42" si="305">AX25+$Y25</f>
        <v>12</v>
      </c>
      <c r="AY42" s="46">
        <f t="shared" si="62"/>
        <v>0</v>
      </c>
      <c r="AZ42" s="46">
        <f t="shared" si="63"/>
        <v>5</v>
      </c>
      <c r="BA42" s="46">
        <f t="shared" si="64"/>
        <v>17</v>
      </c>
      <c r="BB42" s="83">
        <f t="shared" ref="BB42:BK42" si="306">BB25</f>
        <v>0</v>
      </c>
      <c r="BC42" s="46">
        <f t="shared" si="306"/>
        <v>60</v>
      </c>
      <c r="BD42" s="46">
        <f t="shared" si="66"/>
        <v>330</v>
      </c>
      <c r="BE42" s="46">
        <f t="shared" ref="BE42" si="307">BE25+$Y25</f>
        <v>1</v>
      </c>
      <c r="BF42" s="46">
        <f t="shared" si="62"/>
        <v>0</v>
      </c>
      <c r="BG42" s="46">
        <f t="shared" si="63"/>
        <v>6</v>
      </c>
      <c r="BH42" s="46">
        <f t="shared" si="64"/>
        <v>17</v>
      </c>
      <c r="BI42" s="83">
        <f t="shared" ref="BI42:BK42" si="308">BI25</f>
        <v>0</v>
      </c>
      <c r="BJ42" s="46">
        <f t="shared" si="308"/>
        <v>40</v>
      </c>
      <c r="BK42" s="46">
        <f t="shared" si="66"/>
        <v>60</v>
      </c>
      <c r="BL42" s="46">
        <f t="shared" ref="BL42" si="309">BL25+$Y25</f>
        <v>8</v>
      </c>
      <c r="BM42" s="46">
        <f t="shared" ref="BM42:CF42" si="310">BM25</f>
        <v>0</v>
      </c>
      <c r="BN42" s="46">
        <f t="shared" ref="BN42" si="311">BN25+$Z25</f>
        <v>7</v>
      </c>
      <c r="BO42" s="46">
        <f t="shared" ref="BO42" si="312">BO25+$AB25</f>
        <v>18</v>
      </c>
      <c r="BP42" s="83">
        <f t="shared" ref="BP42:CF42" si="313">BP25</f>
        <v>0.25</v>
      </c>
      <c r="BQ42" s="46">
        <f t="shared" si="313"/>
        <v>60</v>
      </c>
      <c r="BR42" s="46">
        <f t="shared" ref="BR42" si="314">BR25+$AD25</f>
        <v>330</v>
      </c>
      <c r="BS42" s="46">
        <f t="shared" ref="BS42" si="315">BS25+$Y25</f>
        <v>16</v>
      </c>
      <c r="BT42" s="46">
        <f t="shared" ref="BT42:CF42" si="316">BT25</f>
        <v>0</v>
      </c>
      <c r="BU42" s="46">
        <f t="shared" ref="BU42" si="317">BU25+$Z25</f>
        <v>13</v>
      </c>
      <c r="BV42" s="46">
        <f t="shared" ref="BV42" si="318">BV25+$AB25</f>
        <v>21</v>
      </c>
      <c r="BW42" s="83">
        <f t="shared" ref="BW42:CF42" si="319">BW25</f>
        <v>0</v>
      </c>
      <c r="BX42" s="46">
        <f t="shared" si="319"/>
        <v>50</v>
      </c>
      <c r="BY42" s="46">
        <f t="shared" ref="BY42" si="320">BY25+$AD25</f>
        <v>330</v>
      </c>
      <c r="BZ42" s="46">
        <f t="shared" ref="BZ42" si="321">BZ25+$Y25</f>
        <v>24</v>
      </c>
      <c r="CA42" s="46">
        <f t="shared" ref="CA42:CF42" si="322">CA25</f>
        <v>0</v>
      </c>
      <c r="CB42" s="46">
        <f t="shared" ref="CB42" si="323">CB25+$Z25</f>
        <v>11</v>
      </c>
      <c r="CC42" s="46">
        <f t="shared" ref="CC42" si="324">CC25+$AB25</f>
        <v>9</v>
      </c>
      <c r="CD42" s="83">
        <f t="shared" ref="CD42:CF42" si="325">CD25</f>
        <v>0</v>
      </c>
      <c r="CE42" s="46">
        <f t="shared" si="325"/>
        <v>60</v>
      </c>
      <c r="CF42" s="46">
        <f t="shared" ref="CF42" si="326">CF25+$AD25</f>
        <v>330</v>
      </c>
      <c r="CG42" s="46">
        <f t="shared" ref="CG42" si="327">CG25+$Y25</f>
        <v>34</v>
      </c>
      <c r="CH42" s="46">
        <f t="shared" ref="CH42:DH42" si="328">CH25</f>
        <v>2</v>
      </c>
      <c r="CI42" s="46">
        <f t="shared" ref="CI42" si="329">CI25+$Z25</f>
        <v>51</v>
      </c>
      <c r="CJ42" s="46">
        <f t="shared" ref="CJ42" si="330">CJ25+$AB25</f>
        <v>28</v>
      </c>
      <c r="CK42" s="83">
        <f t="shared" ref="CK42:DH42" si="331">CK25</f>
        <v>0.3</v>
      </c>
      <c r="CL42" s="46">
        <f t="shared" si="331"/>
        <v>65</v>
      </c>
      <c r="CM42" s="46">
        <f t="shared" si="94"/>
        <v>210</v>
      </c>
      <c r="CN42" s="46">
        <f t="shared" ref="CN42" si="332">CN25+$Y25</f>
        <v>54</v>
      </c>
      <c r="CO42" s="46">
        <f t="shared" ref="CO42:DH42" si="333">CO25</f>
        <v>0</v>
      </c>
      <c r="CP42" s="46">
        <f t="shared" ref="CP42" si="334">CP25+$Z25</f>
        <v>71</v>
      </c>
      <c r="CQ42" s="46">
        <f t="shared" ref="CQ42" si="335">CQ25+$AB25</f>
        <v>27</v>
      </c>
      <c r="CR42" s="83">
        <f t="shared" ref="CR42:DH42" si="336">CR25</f>
        <v>0</v>
      </c>
      <c r="CS42" s="46">
        <f t="shared" si="336"/>
        <v>75</v>
      </c>
      <c r="CT42" s="46">
        <f t="shared" si="94"/>
        <v>330</v>
      </c>
      <c r="CU42" s="46">
        <f t="shared" ref="CU42" si="337">CU25+$Y25</f>
        <v>18</v>
      </c>
      <c r="CV42" s="46">
        <f t="shared" ref="CV42:DH42" si="338">CV25</f>
        <v>8</v>
      </c>
      <c r="CW42" s="46">
        <f t="shared" ref="CW42" si="339">CW25+$Z25</f>
        <v>31</v>
      </c>
      <c r="CX42" s="46">
        <f t="shared" ref="CX42" si="340">CX25+$AB25</f>
        <v>6</v>
      </c>
      <c r="CY42" s="83">
        <f t="shared" ref="CY42:DH42" si="341">CY25</f>
        <v>0.6</v>
      </c>
      <c r="CZ42" s="46">
        <f t="shared" si="341"/>
        <v>70</v>
      </c>
      <c r="DA42" s="46">
        <f t="shared" si="94"/>
        <v>210</v>
      </c>
      <c r="DB42" s="46">
        <f t="shared" ref="DB42" si="342">DB25+$Y25</f>
        <v>64</v>
      </c>
      <c r="DC42" s="46">
        <f t="shared" ref="DC42:DH42" si="343">DC25</f>
        <v>0</v>
      </c>
      <c r="DD42" s="46">
        <f t="shared" ref="DD42" si="344">DD25+$Z25</f>
        <v>81</v>
      </c>
      <c r="DE42" s="46">
        <f t="shared" ref="DE42" si="345">DE25+$AB25</f>
        <v>32</v>
      </c>
      <c r="DF42" s="83">
        <f t="shared" ref="DF42:DH42" si="346">DF25</f>
        <v>0</v>
      </c>
      <c r="DG42" s="46">
        <f t="shared" si="346"/>
        <v>80</v>
      </c>
      <c r="DH42" s="46">
        <f t="shared" si="94"/>
        <v>330</v>
      </c>
    </row>
    <row r="43" spans="23:112">
      <c r="AD43" s="84">
        <f t="shared" si="113"/>
        <v>72</v>
      </c>
      <c r="AE43" s="85">
        <f>AH43+10</f>
        <v>77</v>
      </c>
      <c r="AF43" s="85">
        <f t="shared" si="114"/>
        <v>82</v>
      </c>
      <c r="AG43" s="85">
        <f t="shared" si="115"/>
        <v>87</v>
      </c>
      <c r="AH43" s="85">
        <f t="shared" si="116"/>
        <v>67</v>
      </c>
      <c r="AI43" s="46">
        <v>1855</v>
      </c>
      <c r="AJ43" s="46">
        <f t="shared" si="117"/>
        <v>1</v>
      </c>
      <c r="AK43" s="46">
        <f t="shared" si="118"/>
        <v>0</v>
      </c>
      <c r="AL43" s="46">
        <f t="shared" si="119"/>
        <v>2</v>
      </c>
      <c r="AM43" s="46">
        <f t="shared" si="120"/>
        <v>22</v>
      </c>
      <c r="AN43" s="83">
        <f t="shared" si="121"/>
        <v>0</v>
      </c>
      <c r="AO43" s="46">
        <f t="shared" si="121"/>
        <v>40</v>
      </c>
      <c r="AP43" s="46">
        <f t="shared" si="122"/>
        <v>60</v>
      </c>
      <c r="AQ43" s="46">
        <f t="shared" ref="AQ43" si="347">AQ26+$Y26</f>
        <v>9</v>
      </c>
      <c r="AR43" s="46">
        <f t="shared" si="124"/>
        <v>0</v>
      </c>
      <c r="AS43" s="46">
        <f t="shared" si="125"/>
        <v>4</v>
      </c>
      <c r="AT43" s="46">
        <f t="shared" si="126"/>
        <v>22</v>
      </c>
      <c r="AU43" s="83">
        <f t="shared" ref="AU43:AW43" si="348">AU26</f>
        <v>0.25</v>
      </c>
      <c r="AV43" s="46">
        <f t="shared" si="348"/>
        <v>50</v>
      </c>
      <c r="AW43" s="46">
        <f t="shared" si="128"/>
        <v>150</v>
      </c>
      <c r="AX43" s="46">
        <f t="shared" ref="AX43" si="349">AX26+$Y26</f>
        <v>13</v>
      </c>
      <c r="AY43" s="46">
        <f t="shared" si="62"/>
        <v>0</v>
      </c>
      <c r="AZ43" s="46">
        <f t="shared" si="63"/>
        <v>5</v>
      </c>
      <c r="BA43" s="46">
        <f t="shared" si="64"/>
        <v>20</v>
      </c>
      <c r="BB43" s="83">
        <f t="shared" ref="BB43:BK43" si="350">BB26</f>
        <v>0</v>
      </c>
      <c r="BC43" s="46">
        <f t="shared" si="350"/>
        <v>60</v>
      </c>
      <c r="BD43" s="46">
        <f t="shared" si="66"/>
        <v>330</v>
      </c>
      <c r="BE43" s="46">
        <f t="shared" ref="BE43" si="351">BE26+$Y26</f>
        <v>1</v>
      </c>
      <c r="BF43" s="46">
        <f t="shared" si="62"/>
        <v>0</v>
      </c>
      <c r="BG43" s="46">
        <f t="shared" si="63"/>
        <v>6</v>
      </c>
      <c r="BH43" s="46">
        <f t="shared" si="64"/>
        <v>23</v>
      </c>
      <c r="BI43" s="83">
        <f t="shared" ref="BI43:BK43" si="352">BI26</f>
        <v>0</v>
      </c>
      <c r="BJ43" s="46">
        <f t="shared" si="352"/>
        <v>40</v>
      </c>
      <c r="BK43" s="46">
        <f t="shared" si="66"/>
        <v>60</v>
      </c>
      <c r="BL43" s="46">
        <f t="shared" ref="BL43" si="353">BL26+$Y26</f>
        <v>9</v>
      </c>
      <c r="BM43" s="46">
        <f t="shared" ref="BM43:CF43" si="354">BM26</f>
        <v>2</v>
      </c>
      <c r="BN43" s="46">
        <f t="shared" ref="BN43" si="355">BN26+$Z26</f>
        <v>11</v>
      </c>
      <c r="BO43" s="46">
        <f t="shared" ref="BO43" si="356">BO26+$AB26</f>
        <v>23</v>
      </c>
      <c r="BP43" s="83">
        <f t="shared" ref="BP43:CF43" si="357">BP26</f>
        <v>0.25</v>
      </c>
      <c r="BQ43" s="46">
        <f t="shared" si="357"/>
        <v>60</v>
      </c>
      <c r="BR43" s="46">
        <f t="shared" ref="BR43" si="358">BR26+$AD26</f>
        <v>330</v>
      </c>
      <c r="BS43" s="46">
        <f t="shared" ref="BS43" si="359">BS26+$Y26</f>
        <v>17</v>
      </c>
      <c r="BT43" s="46">
        <f t="shared" ref="BT43:CF43" si="360">BT26</f>
        <v>0</v>
      </c>
      <c r="BU43" s="46">
        <f t="shared" ref="BU43" si="361">BU26+$Z26</f>
        <v>13</v>
      </c>
      <c r="BV43" s="46">
        <f t="shared" ref="BV43" si="362">BV26+$AB26</f>
        <v>24</v>
      </c>
      <c r="BW43" s="83">
        <f t="shared" ref="BW43:CF43" si="363">BW26</f>
        <v>0</v>
      </c>
      <c r="BX43" s="46">
        <f t="shared" si="363"/>
        <v>50</v>
      </c>
      <c r="BY43" s="46">
        <f t="shared" ref="BY43" si="364">BY26+$AD26</f>
        <v>330</v>
      </c>
      <c r="BZ43" s="46">
        <f t="shared" ref="BZ43" si="365">BZ26+$Y26</f>
        <v>25</v>
      </c>
      <c r="CA43" s="46">
        <f t="shared" ref="CA43:CF43" si="366">CA26</f>
        <v>0</v>
      </c>
      <c r="CB43" s="46">
        <f t="shared" ref="CB43" si="367">CB26+$Z26</f>
        <v>11</v>
      </c>
      <c r="CC43" s="46">
        <f t="shared" ref="CC43" si="368">CC26+$AB26</f>
        <v>12</v>
      </c>
      <c r="CD43" s="83">
        <f t="shared" ref="CD43:CF43" si="369">CD26</f>
        <v>0</v>
      </c>
      <c r="CE43" s="46">
        <f t="shared" si="369"/>
        <v>60</v>
      </c>
      <c r="CF43" s="46">
        <f t="shared" ref="CF43" si="370">CF26+$AD26</f>
        <v>330</v>
      </c>
      <c r="CG43" s="46">
        <f t="shared" ref="CG43" si="371">CG26+$Y26</f>
        <v>35</v>
      </c>
      <c r="CH43" s="46">
        <f t="shared" ref="CH43:DH43" si="372">CH26</f>
        <v>2</v>
      </c>
      <c r="CI43" s="46">
        <f t="shared" ref="CI43" si="373">CI26+$Z26</f>
        <v>51</v>
      </c>
      <c r="CJ43" s="46">
        <f t="shared" ref="CJ43" si="374">CJ26+$AB26</f>
        <v>31</v>
      </c>
      <c r="CK43" s="83">
        <f t="shared" ref="CK43:DH43" si="375">CK26</f>
        <v>0.3</v>
      </c>
      <c r="CL43" s="46">
        <f t="shared" si="375"/>
        <v>65</v>
      </c>
      <c r="CM43" s="46">
        <f t="shared" si="94"/>
        <v>210</v>
      </c>
      <c r="CN43" s="46">
        <f t="shared" ref="CN43" si="376">CN26+$Y26</f>
        <v>55</v>
      </c>
      <c r="CO43" s="46">
        <f t="shared" ref="CO43:DH43" si="377">CO26</f>
        <v>0</v>
      </c>
      <c r="CP43" s="46">
        <f t="shared" ref="CP43" si="378">CP26+$Z26</f>
        <v>71</v>
      </c>
      <c r="CQ43" s="46">
        <f t="shared" ref="CQ43" si="379">CQ26+$AB26</f>
        <v>30</v>
      </c>
      <c r="CR43" s="83">
        <f t="shared" ref="CR43:DH43" si="380">CR26</f>
        <v>0</v>
      </c>
      <c r="CS43" s="46">
        <f t="shared" si="380"/>
        <v>75</v>
      </c>
      <c r="CT43" s="46">
        <f t="shared" si="94"/>
        <v>330</v>
      </c>
      <c r="CU43" s="46">
        <f t="shared" ref="CU43" si="381">CU26+$Y26</f>
        <v>19</v>
      </c>
      <c r="CV43" s="46">
        <f t="shared" ref="CV43:DH43" si="382">CV26</f>
        <v>8</v>
      </c>
      <c r="CW43" s="46">
        <f t="shared" ref="CW43" si="383">CW26+$Z26</f>
        <v>31</v>
      </c>
      <c r="CX43" s="46">
        <f t="shared" ref="CX43" si="384">CX26+$AB26</f>
        <v>9</v>
      </c>
      <c r="CY43" s="83">
        <f t="shared" ref="CY43:DH43" si="385">CY26</f>
        <v>0.6</v>
      </c>
      <c r="CZ43" s="46">
        <f t="shared" si="385"/>
        <v>70</v>
      </c>
      <c r="DA43" s="46">
        <f t="shared" si="94"/>
        <v>210</v>
      </c>
      <c r="DB43" s="46">
        <f t="shared" ref="DB43" si="386">DB26+$Y26</f>
        <v>65</v>
      </c>
      <c r="DC43" s="46">
        <f t="shared" ref="DC43:DH43" si="387">DC26</f>
        <v>0</v>
      </c>
      <c r="DD43" s="46">
        <f t="shared" ref="DD43" si="388">DD26+$Z26</f>
        <v>81</v>
      </c>
      <c r="DE43" s="46">
        <f t="shared" ref="DE43" si="389">DE26+$AB26</f>
        <v>35</v>
      </c>
      <c r="DF43" s="83">
        <f t="shared" ref="DF43:DH43" si="390">DF26</f>
        <v>0</v>
      </c>
      <c r="DG43" s="46">
        <f t="shared" si="390"/>
        <v>80</v>
      </c>
      <c r="DH43" s="46">
        <f t="shared" si="94"/>
        <v>330</v>
      </c>
    </row>
    <row r="44" spans="23:112">
      <c r="AD44" s="84">
        <f t="shared" si="113"/>
        <v>83</v>
      </c>
      <c r="AE44" s="85">
        <f>AH44+10</f>
        <v>88</v>
      </c>
      <c r="AF44" s="85">
        <f t="shared" si="114"/>
        <v>93</v>
      </c>
      <c r="AG44" s="85">
        <f t="shared" si="115"/>
        <v>98</v>
      </c>
      <c r="AH44" s="85">
        <f t="shared" si="116"/>
        <v>78</v>
      </c>
      <c r="AI44" s="46">
        <v>1870</v>
      </c>
      <c r="AJ44" s="46">
        <f t="shared" si="117"/>
        <v>1</v>
      </c>
      <c r="AK44" s="46">
        <f t="shared" si="118"/>
        <v>0</v>
      </c>
      <c r="AL44" s="46">
        <f t="shared" si="119"/>
        <v>2</v>
      </c>
      <c r="AM44" s="46">
        <f t="shared" si="120"/>
        <v>22</v>
      </c>
      <c r="AN44" s="83">
        <f t="shared" si="121"/>
        <v>0</v>
      </c>
      <c r="AO44" s="46">
        <f t="shared" si="121"/>
        <v>40</v>
      </c>
      <c r="AP44" s="46">
        <f t="shared" si="122"/>
        <v>50</v>
      </c>
      <c r="AQ44" s="46">
        <f t="shared" ref="AQ44" si="391">AQ27+$Y27</f>
        <v>12</v>
      </c>
      <c r="AR44" s="46">
        <f t="shared" si="124"/>
        <v>0</v>
      </c>
      <c r="AS44" s="46">
        <f t="shared" si="125"/>
        <v>4</v>
      </c>
      <c r="AT44" s="46">
        <f t="shared" si="126"/>
        <v>22</v>
      </c>
      <c r="AU44" s="83">
        <f t="shared" ref="AU44:AW44" si="392">AU27</f>
        <v>0.25</v>
      </c>
      <c r="AV44" s="46">
        <f t="shared" si="392"/>
        <v>50</v>
      </c>
      <c r="AW44" s="46">
        <f t="shared" si="128"/>
        <v>140</v>
      </c>
      <c r="AX44" s="46">
        <f t="shared" ref="AX44" si="393">AX27+$Y27</f>
        <v>16</v>
      </c>
      <c r="AY44" s="46">
        <f t="shared" si="62"/>
        <v>0</v>
      </c>
      <c r="AZ44" s="46">
        <f t="shared" si="63"/>
        <v>5</v>
      </c>
      <c r="BA44" s="46">
        <f t="shared" si="64"/>
        <v>20</v>
      </c>
      <c r="BB44" s="83">
        <f t="shared" ref="BB44:BK44" si="394">BB27</f>
        <v>0</v>
      </c>
      <c r="BC44" s="46">
        <f t="shared" si="394"/>
        <v>60</v>
      </c>
      <c r="BD44" s="46">
        <f t="shared" si="66"/>
        <v>320</v>
      </c>
      <c r="BE44" s="46">
        <f t="shared" ref="BE44" si="395">BE27+$Y27</f>
        <v>1</v>
      </c>
      <c r="BF44" s="46">
        <f t="shared" si="62"/>
        <v>0</v>
      </c>
      <c r="BG44" s="46">
        <f t="shared" si="63"/>
        <v>6</v>
      </c>
      <c r="BH44" s="46">
        <f t="shared" si="64"/>
        <v>23</v>
      </c>
      <c r="BI44" s="83">
        <f t="shared" ref="BI44:BK44" si="396">BI27</f>
        <v>0</v>
      </c>
      <c r="BJ44" s="46">
        <f t="shared" si="396"/>
        <v>40</v>
      </c>
      <c r="BK44" s="46">
        <f t="shared" si="66"/>
        <v>50</v>
      </c>
      <c r="BL44" s="46">
        <f t="shared" ref="BL44" si="397">BL27+$Y27</f>
        <v>12</v>
      </c>
      <c r="BM44" s="46">
        <f t="shared" ref="BM44:CF44" si="398">BM27</f>
        <v>2</v>
      </c>
      <c r="BN44" s="46">
        <f t="shared" ref="BN44" si="399">BN27+$Z27</f>
        <v>11</v>
      </c>
      <c r="BO44" s="46">
        <f t="shared" ref="BO44" si="400">BO27+$AB27</f>
        <v>23</v>
      </c>
      <c r="BP44" s="83">
        <f t="shared" ref="BP44:CF44" si="401">BP27</f>
        <v>0.25</v>
      </c>
      <c r="BQ44" s="46">
        <f t="shared" si="401"/>
        <v>60</v>
      </c>
      <c r="BR44" s="46">
        <f t="shared" ref="BR44" si="402">BR27+$AD27</f>
        <v>320</v>
      </c>
      <c r="BS44" s="46">
        <f t="shared" ref="BS44" si="403">BS27+$Y27</f>
        <v>20</v>
      </c>
      <c r="BT44" s="46">
        <f t="shared" ref="BT44:CF44" si="404">BT27</f>
        <v>0</v>
      </c>
      <c r="BU44" s="46">
        <f t="shared" ref="BU44" si="405">BU27+$Z27</f>
        <v>13</v>
      </c>
      <c r="BV44" s="46">
        <f t="shared" ref="BV44" si="406">BV27+$AB27</f>
        <v>24</v>
      </c>
      <c r="BW44" s="83">
        <f t="shared" ref="BW44:CF44" si="407">BW27</f>
        <v>0</v>
      </c>
      <c r="BX44" s="46">
        <f t="shared" si="407"/>
        <v>50</v>
      </c>
      <c r="BY44" s="46">
        <f t="shared" ref="BY44" si="408">BY27+$AD27</f>
        <v>320</v>
      </c>
      <c r="BZ44" s="46">
        <f t="shared" ref="BZ44" si="409">BZ27+$Y27</f>
        <v>28</v>
      </c>
      <c r="CA44" s="46">
        <f t="shared" ref="CA44:CF44" si="410">CA27</f>
        <v>0</v>
      </c>
      <c r="CB44" s="46">
        <f t="shared" ref="CB44" si="411">CB27+$Z27</f>
        <v>11</v>
      </c>
      <c r="CC44" s="46">
        <f t="shared" ref="CC44" si="412">CC27+$AB27</f>
        <v>12</v>
      </c>
      <c r="CD44" s="83">
        <f t="shared" ref="CD44:CF44" si="413">CD27</f>
        <v>0</v>
      </c>
      <c r="CE44" s="46">
        <f t="shared" si="413"/>
        <v>60</v>
      </c>
      <c r="CF44" s="46">
        <f t="shared" ref="CF44" si="414">CF27+$AD27</f>
        <v>320</v>
      </c>
      <c r="CG44" s="46">
        <f t="shared" ref="CG44" si="415">CG27+$Y27</f>
        <v>38</v>
      </c>
      <c r="CH44" s="46">
        <f t="shared" ref="CH44:DH44" si="416">CH27</f>
        <v>10</v>
      </c>
      <c r="CI44" s="46">
        <f t="shared" ref="CI44" si="417">CI27+$Z27</f>
        <v>51</v>
      </c>
      <c r="CJ44" s="46">
        <f t="shared" ref="CJ44" si="418">CJ27+$AB27</f>
        <v>31</v>
      </c>
      <c r="CK44" s="83">
        <f t="shared" ref="CK44:DH44" si="419">CK27</f>
        <v>0.3</v>
      </c>
      <c r="CL44" s="46">
        <f t="shared" si="419"/>
        <v>65</v>
      </c>
      <c r="CM44" s="46">
        <f t="shared" si="94"/>
        <v>200</v>
      </c>
      <c r="CN44" s="46">
        <f t="shared" ref="CN44" si="420">CN27+$Y27</f>
        <v>60</v>
      </c>
      <c r="CO44" s="46">
        <f t="shared" ref="CO44:DH44" si="421">CO27</f>
        <v>0</v>
      </c>
      <c r="CP44" s="46">
        <f t="shared" ref="CP44" si="422">CP27+$Z27</f>
        <v>73</v>
      </c>
      <c r="CQ44" s="46">
        <f t="shared" ref="CQ44" si="423">CQ27+$AB27</f>
        <v>30</v>
      </c>
      <c r="CR44" s="83">
        <f t="shared" ref="CR44:DH44" si="424">CR27</f>
        <v>0</v>
      </c>
      <c r="CS44" s="46">
        <f t="shared" si="424"/>
        <v>75</v>
      </c>
      <c r="CT44" s="46">
        <f t="shared" si="94"/>
        <v>320</v>
      </c>
      <c r="CU44" s="46">
        <f t="shared" ref="CU44" si="425">CU27+$Y27</f>
        <v>22</v>
      </c>
      <c r="CV44" s="46">
        <f t="shared" ref="CV44:DH44" si="426">CV27</f>
        <v>16</v>
      </c>
      <c r="CW44" s="46">
        <f t="shared" ref="CW44" si="427">CW27+$Z27</f>
        <v>31</v>
      </c>
      <c r="CX44" s="46">
        <f t="shared" ref="CX44" si="428">CX27+$AB27</f>
        <v>9</v>
      </c>
      <c r="CY44" s="83">
        <f t="shared" ref="CY44:DH44" si="429">CY27</f>
        <v>0.6</v>
      </c>
      <c r="CZ44" s="46">
        <f t="shared" si="429"/>
        <v>70</v>
      </c>
      <c r="DA44" s="46">
        <f t="shared" si="94"/>
        <v>200</v>
      </c>
      <c r="DB44" s="46">
        <f t="shared" ref="DB44" si="430">DB27+$Y27</f>
        <v>70</v>
      </c>
      <c r="DC44" s="46">
        <f t="shared" ref="DC44:DH44" si="431">DC27</f>
        <v>0</v>
      </c>
      <c r="DD44" s="46">
        <f t="shared" ref="DD44" si="432">DD27+$Z27</f>
        <v>83</v>
      </c>
      <c r="DE44" s="46">
        <f t="shared" ref="DE44" si="433">DE27+$AB27</f>
        <v>35</v>
      </c>
      <c r="DF44" s="83">
        <f t="shared" ref="DF44:DH44" si="434">DF27</f>
        <v>0</v>
      </c>
      <c r="DG44" s="46">
        <f t="shared" si="434"/>
        <v>80</v>
      </c>
      <c r="DH44" s="46">
        <f t="shared" si="94"/>
        <v>320</v>
      </c>
    </row>
    <row r="45" spans="23:112">
      <c r="AD45" s="84">
        <f t="shared" si="113"/>
        <v>83</v>
      </c>
      <c r="AE45" s="85">
        <f>AH45+10</f>
        <v>88</v>
      </c>
      <c r="AF45" s="85">
        <f t="shared" si="114"/>
        <v>93</v>
      </c>
      <c r="AG45" s="85">
        <f t="shared" si="115"/>
        <v>98</v>
      </c>
      <c r="AH45" s="85">
        <f t="shared" si="116"/>
        <v>78</v>
      </c>
      <c r="AI45" s="46">
        <v>1875</v>
      </c>
      <c r="AJ45" s="46">
        <f t="shared" si="117"/>
        <v>1</v>
      </c>
      <c r="AK45" s="46">
        <f t="shared" si="118"/>
        <v>0</v>
      </c>
      <c r="AL45" s="46">
        <f t="shared" si="119"/>
        <v>2</v>
      </c>
      <c r="AM45" s="46">
        <f t="shared" si="120"/>
        <v>22</v>
      </c>
      <c r="AN45" s="83">
        <f t="shared" si="121"/>
        <v>0</v>
      </c>
      <c r="AO45" s="46">
        <f t="shared" si="121"/>
        <v>40</v>
      </c>
      <c r="AP45" s="46">
        <f t="shared" si="122"/>
        <v>30</v>
      </c>
      <c r="AQ45" s="46">
        <f t="shared" ref="AQ45" si="435">AQ28+$Y28</f>
        <v>12</v>
      </c>
      <c r="AR45" s="46">
        <f t="shared" si="124"/>
        <v>0</v>
      </c>
      <c r="AS45" s="46">
        <f t="shared" si="125"/>
        <v>4</v>
      </c>
      <c r="AT45" s="46">
        <f t="shared" si="126"/>
        <v>22</v>
      </c>
      <c r="AU45" s="83">
        <f t="shared" ref="AU45:AW45" si="436">AU28</f>
        <v>0.25</v>
      </c>
      <c r="AV45" s="46">
        <f t="shared" si="436"/>
        <v>50</v>
      </c>
      <c r="AW45" s="46">
        <f t="shared" si="128"/>
        <v>120</v>
      </c>
      <c r="AX45" s="46">
        <f t="shared" ref="AX45" si="437">AX28+$Y28</f>
        <v>16</v>
      </c>
      <c r="AY45" s="46">
        <f t="shared" si="62"/>
        <v>0</v>
      </c>
      <c r="AZ45" s="46">
        <f t="shared" si="63"/>
        <v>5</v>
      </c>
      <c r="BA45" s="46">
        <f t="shared" si="64"/>
        <v>20</v>
      </c>
      <c r="BB45" s="83">
        <f t="shared" ref="BB45:BK45" si="438">BB28</f>
        <v>0</v>
      </c>
      <c r="BC45" s="46">
        <f t="shared" si="438"/>
        <v>60</v>
      </c>
      <c r="BD45" s="46">
        <f t="shared" si="66"/>
        <v>300</v>
      </c>
      <c r="BE45" s="46">
        <f t="shared" ref="BE45" si="439">BE28+$Y28</f>
        <v>1</v>
      </c>
      <c r="BF45" s="46">
        <f t="shared" si="62"/>
        <v>0</v>
      </c>
      <c r="BG45" s="46">
        <f t="shared" si="63"/>
        <v>6</v>
      </c>
      <c r="BH45" s="46">
        <f t="shared" si="64"/>
        <v>23</v>
      </c>
      <c r="BI45" s="83">
        <f t="shared" ref="BI45:BK45" si="440">BI28</f>
        <v>0</v>
      </c>
      <c r="BJ45" s="46">
        <f t="shared" si="440"/>
        <v>40</v>
      </c>
      <c r="BK45" s="46">
        <f t="shared" si="66"/>
        <v>30</v>
      </c>
      <c r="BL45" s="46">
        <f t="shared" ref="BL45" si="441">BL28+$Y28</f>
        <v>12</v>
      </c>
      <c r="BM45" s="46">
        <f t="shared" ref="BM45:CF45" si="442">BM28</f>
        <v>2</v>
      </c>
      <c r="BN45" s="46">
        <f t="shared" ref="BN45" si="443">BN28+$Z28</f>
        <v>11</v>
      </c>
      <c r="BO45" s="46">
        <f t="shared" ref="BO45" si="444">BO28+$AB28</f>
        <v>23</v>
      </c>
      <c r="BP45" s="83">
        <f t="shared" ref="BP45:CF45" si="445">BP28</f>
        <v>0.25</v>
      </c>
      <c r="BQ45" s="46">
        <f t="shared" si="445"/>
        <v>60</v>
      </c>
      <c r="BR45" s="46">
        <f t="shared" ref="BR45" si="446">BR28+$AD28</f>
        <v>300</v>
      </c>
      <c r="BS45" s="46">
        <f t="shared" ref="BS45" si="447">BS28+$Y28</f>
        <v>20</v>
      </c>
      <c r="BT45" s="46">
        <f t="shared" ref="BT45:CF45" si="448">BT28</f>
        <v>0</v>
      </c>
      <c r="BU45" s="46">
        <f t="shared" ref="BU45" si="449">BU28+$Z28</f>
        <v>13</v>
      </c>
      <c r="BV45" s="46">
        <f t="shared" ref="BV45" si="450">BV28+$AB28</f>
        <v>24</v>
      </c>
      <c r="BW45" s="83">
        <f t="shared" ref="BW45:CF45" si="451">BW28</f>
        <v>0</v>
      </c>
      <c r="BX45" s="46">
        <f t="shared" si="451"/>
        <v>50</v>
      </c>
      <c r="BY45" s="46">
        <f t="shared" ref="BY45" si="452">BY28+$AD28</f>
        <v>300</v>
      </c>
      <c r="BZ45" s="46">
        <f t="shared" ref="BZ45" si="453">BZ28+$Y28</f>
        <v>28</v>
      </c>
      <c r="CA45" s="46">
        <f t="shared" ref="CA45:CF45" si="454">CA28</f>
        <v>0</v>
      </c>
      <c r="CB45" s="46">
        <f t="shared" ref="CB45" si="455">CB28+$Z28</f>
        <v>11</v>
      </c>
      <c r="CC45" s="46">
        <f t="shared" ref="CC45" si="456">CC28+$AB28</f>
        <v>12</v>
      </c>
      <c r="CD45" s="83">
        <f t="shared" ref="CD45:CF45" si="457">CD28</f>
        <v>0</v>
      </c>
      <c r="CE45" s="46">
        <f t="shared" si="457"/>
        <v>60</v>
      </c>
      <c r="CF45" s="46">
        <f t="shared" ref="CF45" si="458">CF28+$AD28</f>
        <v>300</v>
      </c>
      <c r="CG45" s="46">
        <f t="shared" ref="CG45" si="459">CG28+$Y28</f>
        <v>38</v>
      </c>
      <c r="CH45" s="46">
        <f t="shared" ref="CH45:DH45" si="460">CH28</f>
        <v>10</v>
      </c>
      <c r="CI45" s="46">
        <f t="shared" ref="CI45" si="461">CI28+$Z28</f>
        <v>51</v>
      </c>
      <c r="CJ45" s="46">
        <f t="shared" ref="CJ45" si="462">CJ28+$AB28</f>
        <v>31</v>
      </c>
      <c r="CK45" s="83">
        <f t="shared" ref="CK45:DH45" si="463">CK28</f>
        <v>0.3</v>
      </c>
      <c r="CL45" s="46">
        <f t="shared" si="463"/>
        <v>65</v>
      </c>
      <c r="CM45" s="46">
        <f t="shared" si="94"/>
        <v>180</v>
      </c>
      <c r="CN45" s="46">
        <f t="shared" ref="CN45" si="464">CN28+$Y28</f>
        <v>60</v>
      </c>
      <c r="CO45" s="46">
        <f t="shared" ref="CO45:DH45" si="465">CO28</f>
        <v>0</v>
      </c>
      <c r="CP45" s="46">
        <f t="shared" ref="CP45" si="466">CP28+$Z28</f>
        <v>73</v>
      </c>
      <c r="CQ45" s="46">
        <f t="shared" ref="CQ45" si="467">CQ28+$AB28</f>
        <v>30</v>
      </c>
      <c r="CR45" s="83">
        <f t="shared" ref="CR45:DH45" si="468">CR28</f>
        <v>0</v>
      </c>
      <c r="CS45" s="46">
        <f t="shared" si="468"/>
        <v>75</v>
      </c>
      <c r="CT45" s="46">
        <f t="shared" si="94"/>
        <v>300</v>
      </c>
      <c r="CU45" s="46">
        <f t="shared" ref="CU45" si="469">CU28+$Y28</f>
        <v>22</v>
      </c>
      <c r="CV45" s="46">
        <f t="shared" ref="CV45:DH45" si="470">CV28</f>
        <v>16</v>
      </c>
      <c r="CW45" s="46">
        <f t="shared" ref="CW45" si="471">CW28+$Z28</f>
        <v>31</v>
      </c>
      <c r="CX45" s="46">
        <f t="shared" ref="CX45" si="472">CX28+$AB28</f>
        <v>9</v>
      </c>
      <c r="CY45" s="83">
        <f t="shared" ref="CY45:DH45" si="473">CY28</f>
        <v>0.6</v>
      </c>
      <c r="CZ45" s="46">
        <f t="shared" si="473"/>
        <v>70</v>
      </c>
      <c r="DA45" s="46">
        <f t="shared" si="94"/>
        <v>180</v>
      </c>
      <c r="DB45" s="46">
        <f t="shared" ref="DB45" si="474">DB28+$Y28</f>
        <v>70</v>
      </c>
      <c r="DC45" s="46">
        <f t="shared" ref="DC45:DH45" si="475">DC28</f>
        <v>0</v>
      </c>
      <c r="DD45" s="46">
        <f t="shared" ref="DD45" si="476">DD28+$Z28</f>
        <v>83</v>
      </c>
      <c r="DE45" s="46">
        <f t="shared" ref="DE45" si="477">DE28+$AB28</f>
        <v>35</v>
      </c>
      <c r="DF45" s="83">
        <f t="shared" ref="DF45:DH45" si="478">DF28</f>
        <v>0</v>
      </c>
      <c r="DG45" s="46">
        <f t="shared" si="478"/>
        <v>80</v>
      </c>
      <c r="DH45" s="46">
        <f t="shared" si="94"/>
        <v>300</v>
      </c>
    </row>
    <row r="46" spans="23:112">
      <c r="AD46" s="84">
        <f t="shared" si="113"/>
        <v>83</v>
      </c>
      <c r="AE46" s="85">
        <f>AH46+10</f>
        <v>88</v>
      </c>
      <c r="AF46" s="85">
        <f t="shared" si="114"/>
        <v>93</v>
      </c>
      <c r="AG46" s="85">
        <f t="shared" si="115"/>
        <v>98</v>
      </c>
      <c r="AH46" s="85">
        <f t="shared" si="116"/>
        <v>78</v>
      </c>
      <c r="AI46" s="46">
        <v>1880</v>
      </c>
      <c r="AJ46" s="46">
        <f t="shared" si="117"/>
        <v>1</v>
      </c>
      <c r="AK46" s="46">
        <f t="shared" si="118"/>
        <v>0</v>
      </c>
      <c r="AL46" s="46">
        <f t="shared" si="119"/>
        <v>2</v>
      </c>
      <c r="AM46" s="46">
        <f t="shared" si="120"/>
        <v>22</v>
      </c>
      <c r="AN46" s="83">
        <f t="shared" si="121"/>
        <v>0</v>
      </c>
      <c r="AO46" s="46">
        <f t="shared" si="121"/>
        <v>40</v>
      </c>
      <c r="AP46" s="46">
        <f t="shared" si="122"/>
        <v>30</v>
      </c>
      <c r="AQ46" s="46">
        <f t="shared" ref="AQ46" si="479">AQ29+$Y29</f>
        <v>12</v>
      </c>
      <c r="AR46" s="46">
        <f t="shared" si="124"/>
        <v>0</v>
      </c>
      <c r="AS46" s="46">
        <f t="shared" si="125"/>
        <v>4</v>
      </c>
      <c r="AT46" s="46">
        <f t="shared" si="126"/>
        <v>22</v>
      </c>
      <c r="AU46" s="83">
        <f t="shared" ref="AU46:AW46" si="480">AU29</f>
        <v>0.25</v>
      </c>
      <c r="AV46" s="46">
        <f t="shared" si="480"/>
        <v>50</v>
      </c>
      <c r="AW46" s="46">
        <f t="shared" si="128"/>
        <v>120</v>
      </c>
      <c r="AX46" s="46">
        <f t="shared" ref="AX46" si="481">AX29+$Y29</f>
        <v>16</v>
      </c>
      <c r="AY46" s="46">
        <f t="shared" si="62"/>
        <v>0</v>
      </c>
      <c r="AZ46" s="46">
        <f t="shared" si="63"/>
        <v>5</v>
      </c>
      <c r="BA46" s="46">
        <f t="shared" si="64"/>
        <v>20</v>
      </c>
      <c r="BB46" s="83">
        <f t="shared" ref="BB46:BK46" si="482">BB29</f>
        <v>0</v>
      </c>
      <c r="BC46" s="46">
        <f t="shared" si="482"/>
        <v>60</v>
      </c>
      <c r="BD46" s="46">
        <f t="shared" si="66"/>
        <v>300</v>
      </c>
      <c r="BE46" s="46">
        <f t="shared" ref="BE46" si="483">BE29+$Y29</f>
        <v>1</v>
      </c>
      <c r="BF46" s="46">
        <f t="shared" si="62"/>
        <v>0</v>
      </c>
      <c r="BG46" s="46">
        <f t="shared" si="63"/>
        <v>6</v>
      </c>
      <c r="BH46" s="46">
        <f t="shared" si="64"/>
        <v>25</v>
      </c>
      <c r="BI46" s="83">
        <f t="shared" ref="BI46:BK46" si="484">BI29</f>
        <v>0</v>
      </c>
      <c r="BJ46" s="46">
        <f t="shared" si="484"/>
        <v>40</v>
      </c>
      <c r="BK46" s="46">
        <f t="shared" si="66"/>
        <v>30</v>
      </c>
      <c r="BL46" s="46">
        <f t="shared" ref="BL46" si="485">BL29+$Y29</f>
        <v>12</v>
      </c>
      <c r="BM46" s="46">
        <f t="shared" ref="BM46:CF46" si="486">BM29</f>
        <v>2</v>
      </c>
      <c r="BN46" s="46">
        <f t="shared" ref="BN46" si="487">BN29+$Z29</f>
        <v>11</v>
      </c>
      <c r="BO46" s="46">
        <f t="shared" ref="BO46" si="488">BO29+$AB29</f>
        <v>25</v>
      </c>
      <c r="BP46" s="83">
        <f t="shared" ref="BP46:CF46" si="489">BP29</f>
        <v>0.25</v>
      </c>
      <c r="BQ46" s="46">
        <f t="shared" si="489"/>
        <v>60</v>
      </c>
      <c r="BR46" s="46">
        <f t="shared" ref="BR46" si="490">BR29+$AD29</f>
        <v>300</v>
      </c>
      <c r="BS46" s="46">
        <f t="shared" ref="BS46" si="491">BS29+$Y29</f>
        <v>21</v>
      </c>
      <c r="BT46" s="46">
        <f t="shared" ref="BT46:CF46" si="492">BT29</f>
        <v>0</v>
      </c>
      <c r="BU46" s="46">
        <f t="shared" ref="BU46" si="493">BU29+$Z29</f>
        <v>14</v>
      </c>
      <c r="BV46" s="46">
        <f t="shared" ref="BV46" si="494">BV29+$AB29</f>
        <v>26</v>
      </c>
      <c r="BW46" s="83">
        <f t="shared" ref="BW46:CF46" si="495">BW29</f>
        <v>0</v>
      </c>
      <c r="BX46" s="46">
        <f t="shared" si="495"/>
        <v>50</v>
      </c>
      <c r="BY46" s="46">
        <f t="shared" ref="BY46" si="496">BY29+$AD29</f>
        <v>300</v>
      </c>
      <c r="BZ46" s="46">
        <f t="shared" ref="BZ46" si="497">BZ29+$Y29</f>
        <v>28</v>
      </c>
      <c r="CA46" s="46">
        <f t="shared" ref="CA46:CF46" si="498">CA29</f>
        <v>0</v>
      </c>
      <c r="CB46" s="46">
        <f t="shared" ref="CB46" si="499">CB29+$Z29</f>
        <v>11</v>
      </c>
      <c r="CC46" s="46">
        <f t="shared" ref="CC46" si="500">CC29+$AB29</f>
        <v>13</v>
      </c>
      <c r="CD46" s="83">
        <f t="shared" ref="CD46:CF46" si="501">CD29</f>
        <v>0</v>
      </c>
      <c r="CE46" s="46">
        <f t="shared" si="501"/>
        <v>60</v>
      </c>
      <c r="CF46" s="46">
        <f t="shared" ref="CF46" si="502">CF29+$AD29</f>
        <v>300</v>
      </c>
      <c r="CG46" s="46">
        <f t="shared" ref="CG46" si="503">CG29+$Y29</f>
        <v>38</v>
      </c>
      <c r="CH46" s="46">
        <f t="shared" ref="CH46:DH46" si="504">CH29</f>
        <v>10</v>
      </c>
      <c r="CI46" s="46">
        <f t="shared" ref="CI46" si="505">CI29+$Z29</f>
        <v>51</v>
      </c>
      <c r="CJ46" s="46">
        <f t="shared" ref="CJ46" si="506">CJ29+$AB29</f>
        <v>31</v>
      </c>
      <c r="CK46" s="83">
        <f t="shared" ref="CK46:DH46" si="507">CK29</f>
        <v>0.3</v>
      </c>
      <c r="CL46" s="46">
        <f t="shared" si="507"/>
        <v>65</v>
      </c>
      <c r="CM46" s="46">
        <f t="shared" si="94"/>
        <v>180</v>
      </c>
      <c r="CN46" s="46">
        <f t="shared" ref="CN46" si="508">CN29+$Y29</f>
        <v>60</v>
      </c>
      <c r="CO46" s="46">
        <f t="shared" ref="CO46:DH46" si="509">CO29</f>
        <v>0</v>
      </c>
      <c r="CP46" s="46">
        <f t="shared" ref="CP46" si="510">CP29+$Z29</f>
        <v>73</v>
      </c>
      <c r="CQ46" s="46">
        <f t="shared" ref="CQ46" si="511">CQ29+$AB29</f>
        <v>30</v>
      </c>
      <c r="CR46" s="83">
        <f t="shared" ref="CR46:DH46" si="512">CR29</f>
        <v>0</v>
      </c>
      <c r="CS46" s="46">
        <f t="shared" si="512"/>
        <v>75</v>
      </c>
      <c r="CT46" s="46">
        <f t="shared" si="94"/>
        <v>300</v>
      </c>
      <c r="CU46" s="46">
        <f t="shared" ref="CU46" si="513">CU29+$Y29</f>
        <v>22</v>
      </c>
      <c r="CV46" s="46">
        <f t="shared" ref="CV46:DH46" si="514">CV29</f>
        <v>16</v>
      </c>
      <c r="CW46" s="46">
        <f t="shared" ref="CW46" si="515">CW29+$Z29</f>
        <v>31</v>
      </c>
      <c r="CX46" s="46">
        <f t="shared" ref="CX46" si="516">CX29+$AB29</f>
        <v>9</v>
      </c>
      <c r="CY46" s="83">
        <f t="shared" ref="CY46:DH46" si="517">CY29</f>
        <v>0.6</v>
      </c>
      <c r="CZ46" s="46">
        <f t="shared" si="517"/>
        <v>70</v>
      </c>
      <c r="DA46" s="46">
        <f t="shared" si="94"/>
        <v>180</v>
      </c>
      <c r="DB46" s="46">
        <f t="shared" ref="DB46" si="518">DB29+$Y29</f>
        <v>70</v>
      </c>
      <c r="DC46" s="46">
        <f t="shared" ref="DC46:DH46" si="519">DC29</f>
        <v>0</v>
      </c>
      <c r="DD46" s="46">
        <f t="shared" ref="DD46" si="520">DD29+$Z29</f>
        <v>83</v>
      </c>
      <c r="DE46" s="46">
        <f t="shared" ref="DE46" si="521">DE29+$AB29</f>
        <v>35</v>
      </c>
      <c r="DF46" s="83">
        <f t="shared" ref="DF46:DH46" si="522">DF29</f>
        <v>0</v>
      </c>
      <c r="DG46" s="46">
        <f t="shared" si="522"/>
        <v>80</v>
      </c>
      <c r="DH46" s="46">
        <f t="shared" si="94"/>
        <v>300</v>
      </c>
    </row>
    <row r="47" spans="23:112">
      <c r="AD47" s="84">
        <f t="shared" si="113"/>
        <v>83</v>
      </c>
      <c r="AE47" s="85">
        <f>AH47+10</f>
        <v>88</v>
      </c>
      <c r="AF47" s="85">
        <f t="shared" si="114"/>
        <v>93</v>
      </c>
      <c r="AG47" s="85">
        <f t="shared" si="115"/>
        <v>98</v>
      </c>
      <c r="AH47" s="85">
        <f t="shared" si="116"/>
        <v>78</v>
      </c>
      <c r="AI47" s="46">
        <v>1895</v>
      </c>
      <c r="AJ47" s="46">
        <f t="shared" si="117"/>
        <v>1</v>
      </c>
      <c r="AK47" s="46">
        <f t="shared" si="118"/>
        <v>0</v>
      </c>
      <c r="AL47" s="46">
        <f t="shared" si="119"/>
        <v>2</v>
      </c>
      <c r="AM47" s="46">
        <f t="shared" si="120"/>
        <v>23</v>
      </c>
      <c r="AN47" s="83">
        <f t="shared" si="121"/>
        <v>0</v>
      </c>
      <c r="AO47" s="46">
        <f t="shared" si="121"/>
        <v>40</v>
      </c>
      <c r="AP47" s="46">
        <f t="shared" si="122"/>
        <v>30</v>
      </c>
      <c r="AQ47" s="46">
        <f t="shared" ref="AQ47" si="523">AQ30+$Y30</f>
        <v>13</v>
      </c>
      <c r="AR47" s="46">
        <f t="shared" si="124"/>
        <v>0</v>
      </c>
      <c r="AS47" s="46">
        <f t="shared" si="125"/>
        <v>4</v>
      </c>
      <c r="AT47" s="46">
        <f t="shared" si="126"/>
        <v>23</v>
      </c>
      <c r="AU47" s="83">
        <f t="shared" ref="AU47:AW47" si="524">AU30</f>
        <v>0.25</v>
      </c>
      <c r="AV47" s="46">
        <f t="shared" si="524"/>
        <v>50</v>
      </c>
      <c r="AW47" s="46">
        <f t="shared" si="128"/>
        <v>120</v>
      </c>
      <c r="AX47" s="46">
        <f t="shared" ref="AX47" si="525">AX30+$Y30</f>
        <v>17</v>
      </c>
      <c r="AY47" s="46">
        <f t="shared" si="62"/>
        <v>0</v>
      </c>
      <c r="AZ47" s="46">
        <f t="shared" si="63"/>
        <v>5</v>
      </c>
      <c r="BA47" s="46">
        <f t="shared" si="64"/>
        <v>21</v>
      </c>
      <c r="BB47" s="83">
        <f t="shared" ref="BB47:BK47" si="526">BB30</f>
        <v>0</v>
      </c>
      <c r="BC47" s="46">
        <f t="shared" si="526"/>
        <v>60</v>
      </c>
      <c r="BD47" s="46">
        <f t="shared" si="66"/>
        <v>300</v>
      </c>
      <c r="BE47" s="46">
        <f t="shared" ref="BE47" si="527">BE30+$Y30</f>
        <v>1</v>
      </c>
      <c r="BF47" s="46">
        <f t="shared" si="62"/>
        <v>0</v>
      </c>
      <c r="BG47" s="46">
        <f t="shared" si="63"/>
        <v>6</v>
      </c>
      <c r="BH47" s="46">
        <f t="shared" si="64"/>
        <v>26</v>
      </c>
      <c r="BI47" s="83">
        <f t="shared" ref="BI47:BK47" si="528">BI30</f>
        <v>0</v>
      </c>
      <c r="BJ47" s="46">
        <f t="shared" si="528"/>
        <v>40</v>
      </c>
      <c r="BK47" s="46">
        <f t="shared" si="66"/>
        <v>30</v>
      </c>
      <c r="BL47" s="46">
        <f t="shared" ref="BL47" si="529">BL30+$Y30</f>
        <v>13</v>
      </c>
      <c r="BM47" s="46">
        <f t="shared" ref="BM47:CF47" si="530">BM30</f>
        <v>2</v>
      </c>
      <c r="BN47" s="46">
        <f t="shared" ref="BN47" si="531">BN30+$Z30</f>
        <v>11</v>
      </c>
      <c r="BO47" s="46">
        <f t="shared" ref="BO47" si="532">BO30+$AB30</f>
        <v>26</v>
      </c>
      <c r="BP47" s="83">
        <f t="shared" ref="BP47:CF47" si="533">BP30</f>
        <v>0.25</v>
      </c>
      <c r="BQ47" s="46">
        <f t="shared" si="533"/>
        <v>60</v>
      </c>
      <c r="BR47" s="46">
        <f t="shared" ref="BR47" si="534">BR30+$AD30</f>
        <v>300</v>
      </c>
      <c r="BS47" s="46">
        <f t="shared" ref="BS47" si="535">BS30+$Y30</f>
        <v>22</v>
      </c>
      <c r="BT47" s="46">
        <f t="shared" ref="BT47:CF47" si="536">BT30</f>
        <v>0</v>
      </c>
      <c r="BU47" s="46">
        <f t="shared" ref="BU47" si="537">BU30+$Z30</f>
        <v>14</v>
      </c>
      <c r="BV47" s="46">
        <f t="shared" ref="BV47" si="538">BV30+$AB30</f>
        <v>27</v>
      </c>
      <c r="BW47" s="83">
        <f t="shared" ref="BW47:CF47" si="539">BW30</f>
        <v>0</v>
      </c>
      <c r="BX47" s="46">
        <f t="shared" si="539"/>
        <v>50</v>
      </c>
      <c r="BY47" s="46">
        <f t="shared" ref="BY47" si="540">BY30+$AD30</f>
        <v>300</v>
      </c>
      <c r="BZ47" s="46">
        <f t="shared" ref="BZ47" si="541">BZ30+$Y30</f>
        <v>29</v>
      </c>
      <c r="CA47" s="46">
        <f t="shared" ref="CA47:CF47" si="542">CA30</f>
        <v>0</v>
      </c>
      <c r="CB47" s="46">
        <f t="shared" ref="CB47" si="543">CB30+$Z30</f>
        <v>11</v>
      </c>
      <c r="CC47" s="46">
        <f t="shared" ref="CC47" si="544">CC30+$AB30</f>
        <v>14</v>
      </c>
      <c r="CD47" s="83">
        <f t="shared" ref="CD47:CF47" si="545">CD30</f>
        <v>0</v>
      </c>
      <c r="CE47" s="46">
        <f t="shared" si="545"/>
        <v>60</v>
      </c>
      <c r="CF47" s="46">
        <f t="shared" ref="CF47" si="546">CF30+$AD30</f>
        <v>300</v>
      </c>
      <c r="CG47" s="46">
        <f t="shared" ref="CG47" si="547">CG30+$Y30</f>
        <v>39</v>
      </c>
      <c r="CH47" s="46">
        <f t="shared" ref="CH47:DH47" si="548">CH30</f>
        <v>10</v>
      </c>
      <c r="CI47" s="46">
        <f t="shared" ref="CI47" si="549">CI30+$Z30</f>
        <v>56</v>
      </c>
      <c r="CJ47" s="46">
        <f t="shared" ref="CJ47" si="550">CJ30+$AB30</f>
        <v>32</v>
      </c>
      <c r="CK47" s="83">
        <f t="shared" ref="CK47:DH47" si="551">CK30</f>
        <v>0.3</v>
      </c>
      <c r="CL47" s="46">
        <f t="shared" si="551"/>
        <v>65</v>
      </c>
      <c r="CM47" s="46">
        <f t="shared" si="94"/>
        <v>180</v>
      </c>
      <c r="CN47" s="46">
        <f t="shared" ref="CN47" si="552">CN30+$Y30</f>
        <v>61</v>
      </c>
      <c r="CO47" s="46">
        <f t="shared" ref="CO47:DH47" si="553">CO30</f>
        <v>0</v>
      </c>
      <c r="CP47" s="46">
        <f t="shared" ref="CP47" si="554">CP30+$Z30</f>
        <v>78</v>
      </c>
      <c r="CQ47" s="46">
        <f t="shared" ref="CQ47" si="555">CQ30+$AB30</f>
        <v>31</v>
      </c>
      <c r="CR47" s="83">
        <f t="shared" ref="CR47:DH47" si="556">CR30</f>
        <v>0</v>
      </c>
      <c r="CS47" s="46">
        <f t="shared" si="556"/>
        <v>75</v>
      </c>
      <c r="CT47" s="46">
        <f t="shared" si="94"/>
        <v>300</v>
      </c>
      <c r="CU47" s="46">
        <f t="shared" ref="CU47" si="557">CU30+$Y30</f>
        <v>23</v>
      </c>
      <c r="CV47" s="46">
        <f t="shared" ref="CV47:DH47" si="558">CV30</f>
        <v>16</v>
      </c>
      <c r="CW47" s="46">
        <f t="shared" ref="CW47" si="559">CW30+$Z30</f>
        <v>31</v>
      </c>
      <c r="CX47" s="46">
        <f t="shared" ref="CX47" si="560">CX30+$AB30</f>
        <v>10</v>
      </c>
      <c r="CY47" s="83">
        <f t="shared" ref="CY47:DH47" si="561">CY30</f>
        <v>0.6</v>
      </c>
      <c r="CZ47" s="46">
        <f t="shared" si="561"/>
        <v>70</v>
      </c>
      <c r="DA47" s="46">
        <f t="shared" si="94"/>
        <v>180</v>
      </c>
      <c r="DB47" s="46">
        <f t="shared" ref="DB47" si="562">DB30+$Y30</f>
        <v>71</v>
      </c>
      <c r="DC47" s="46">
        <f t="shared" ref="DC47:DH47" si="563">DC30</f>
        <v>0</v>
      </c>
      <c r="DD47" s="46">
        <f t="shared" ref="DD47" si="564">DD30+$Z30</f>
        <v>88</v>
      </c>
      <c r="DE47" s="46">
        <f t="shared" ref="DE47" si="565">DE30+$AB30</f>
        <v>36</v>
      </c>
      <c r="DF47" s="83">
        <f t="shared" ref="DF47:DH47" si="566">DF30</f>
        <v>0</v>
      </c>
      <c r="DG47" s="46">
        <f t="shared" si="566"/>
        <v>80</v>
      </c>
      <c r="DH47" s="46">
        <f t="shared" si="94"/>
        <v>300</v>
      </c>
    </row>
    <row r="48" spans="23:112">
      <c r="AD48" s="84">
        <f t="shared" si="113"/>
        <v>99</v>
      </c>
      <c r="AE48" s="85">
        <f>AH48+10</f>
        <v>104</v>
      </c>
      <c r="AF48" s="85">
        <f t="shared" si="114"/>
        <v>109</v>
      </c>
      <c r="AG48" s="85">
        <f t="shared" si="115"/>
        <v>114</v>
      </c>
      <c r="AH48" s="85">
        <f t="shared" si="116"/>
        <v>94</v>
      </c>
      <c r="AI48" s="46">
        <v>1900</v>
      </c>
      <c r="AJ48" s="46">
        <f t="shared" si="117"/>
        <v>1</v>
      </c>
      <c r="AK48" s="46">
        <f t="shared" si="118"/>
        <v>0</v>
      </c>
      <c r="AL48" s="46">
        <f t="shared" si="119"/>
        <v>3</v>
      </c>
      <c r="AM48" s="46">
        <f t="shared" si="120"/>
        <v>24</v>
      </c>
      <c r="AN48" s="83">
        <f t="shared" si="121"/>
        <v>0.1</v>
      </c>
      <c r="AO48" s="46">
        <f t="shared" si="121"/>
        <v>40</v>
      </c>
      <c r="AP48" s="46">
        <f t="shared" si="122"/>
        <v>20</v>
      </c>
      <c r="AQ48" s="46">
        <f t="shared" ref="AQ48" si="567">AQ31+$Y31</f>
        <v>13</v>
      </c>
      <c r="AR48" s="46">
        <f t="shared" si="124"/>
        <v>0</v>
      </c>
      <c r="AS48" s="46">
        <f t="shared" si="125"/>
        <v>5</v>
      </c>
      <c r="AT48" s="46">
        <f t="shared" si="126"/>
        <v>23</v>
      </c>
      <c r="AU48" s="83">
        <f t="shared" ref="AU48:AW48" si="568">AU31</f>
        <v>0.25</v>
      </c>
      <c r="AV48" s="46">
        <f t="shared" si="568"/>
        <v>50</v>
      </c>
      <c r="AW48" s="46">
        <f t="shared" si="128"/>
        <v>110</v>
      </c>
      <c r="AX48" s="46">
        <f t="shared" ref="AX48" si="569">AX31+$Y31</f>
        <v>17</v>
      </c>
      <c r="AY48" s="46">
        <f t="shared" si="62"/>
        <v>0</v>
      </c>
      <c r="AZ48" s="46">
        <f t="shared" si="63"/>
        <v>6</v>
      </c>
      <c r="BA48" s="46">
        <f t="shared" si="64"/>
        <v>21</v>
      </c>
      <c r="BB48" s="83">
        <f t="shared" ref="BB48:BK48" si="570">BB31</f>
        <v>0</v>
      </c>
      <c r="BC48" s="46">
        <f t="shared" si="570"/>
        <v>60</v>
      </c>
      <c r="BD48" s="46">
        <f t="shared" si="66"/>
        <v>290</v>
      </c>
      <c r="BE48" s="46">
        <f t="shared" ref="BE48" si="571">BE31+$Y31</f>
        <v>1</v>
      </c>
      <c r="BF48" s="46">
        <f t="shared" si="62"/>
        <v>0</v>
      </c>
      <c r="BG48" s="46">
        <f t="shared" si="63"/>
        <v>7</v>
      </c>
      <c r="BH48" s="46">
        <f t="shared" si="64"/>
        <v>34</v>
      </c>
      <c r="BI48" s="83">
        <f t="shared" ref="BI48:BK48" si="572">BI31</f>
        <v>0.25</v>
      </c>
      <c r="BJ48" s="46">
        <f t="shared" si="572"/>
        <v>40</v>
      </c>
      <c r="BK48" s="46">
        <f t="shared" si="66"/>
        <v>20</v>
      </c>
      <c r="BL48" s="46">
        <f t="shared" ref="BL48" si="573">BL31+$Y31</f>
        <v>13</v>
      </c>
      <c r="BM48" s="46">
        <f t="shared" ref="BM48:CF48" si="574">BM31</f>
        <v>2</v>
      </c>
      <c r="BN48" s="46">
        <f t="shared" ref="BN48" si="575">BN31+$Z31</f>
        <v>12</v>
      </c>
      <c r="BO48" s="46">
        <f t="shared" ref="BO48" si="576">BO31+$AB31</f>
        <v>26</v>
      </c>
      <c r="BP48" s="83">
        <f t="shared" ref="BP48:CF48" si="577">BP31</f>
        <v>0.25</v>
      </c>
      <c r="BQ48" s="46">
        <f t="shared" si="577"/>
        <v>60</v>
      </c>
      <c r="BR48" s="46">
        <f t="shared" ref="BR48" si="578">BR31+$AD31</f>
        <v>290</v>
      </c>
      <c r="BS48" s="46">
        <f t="shared" ref="BS48" si="579">BS31+$Y31</f>
        <v>22</v>
      </c>
      <c r="BT48" s="46">
        <f t="shared" ref="BT48:CF48" si="580">BT31</f>
        <v>0</v>
      </c>
      <c r="BU48" s="46">
        <f t="shared" ref="BU48" si="581">BU31+$Z31</f>
        <v>15</v>
      </c>
      <c r="BV48" s="46">
        <f t="shared" ref="BV48" si="582">BV31+$AB31</f>
        <v>27</v>
      </c>
      <c r="BW48" s="83">
        <f t="shared" ref="BW48:CF48" si="583">BW31</f>
        <v>0</v>
      </c>
      <c r="BX48" s="46">
        <f t="shared" si="583"/>
        <v>50</v>
      </c>
      <c r="BY48" s="46">
        <f t="shared" ref="BY48" si="584">BY31+$AD31</f>
        <v>290</v>
      </c>
      <c r="BZ48" s="46">
        <f t="shared" ref="BZ48" si="585">BZ31+$Y31</f>
        <v>29</v>
      </c>
      <c r="CA48" s="46">
        <f t="shared" ref="CA48:CF48" si="586">CA31</f>
        <v>0</v>
      </c>
      <c r="CB48" s="46">
        <f t="shared" ref="CB48" si="587">CB31+$Z31</f>
        <v>12</v>
      </c>
      <c r="CC48" s="46">
        <f t="shared" ref="CC48" si="588">CC31+$AB31</f>
        <v>20</v>
      </c>
      <c r="CD48" s="83">
        <f t="shared" ref="CD48:CF48" si="589">CD31</f>
        <v>0</v>
      </c>
      <c r="CE48" s="46">
        <f t="shared" si="589"/>
        <v>60</v>
      </c>
      <c r="CF48" s="46">
        <f t="shared" ref="CF48" si="590">CF31+$AD31</f>
        <v>290</v>
      </c>
      <c r="CG48" s="46">
        <f t="shared" ref="CG48" si="591">CG31+$Y31</f>
        <v>39</v>
      </c>
      <c r="CH48" s="46">
        <f t="shared" ref="CH48:DH48" si="592">CH31</f>
        <v>10</v>
      </c>
      <c r="CI48" s="46">
        <f t="shared" ref="CI48" si="593">CI31+$Z31</f>
        <v>57</v>
      </c>
      <c r="CJ48" s="46">
        <f t="shared" ref="CJ48" si="594">CJ31+$AB31</f>
        <v>37</v>
      </c>
      <c r="CK48" s="83">
        <f t="shared" ref="CK48:DH48" si="595">CK31</f>
        <v>0.3</v>
      </c>
      <c r="CL48" s="46">
        <f t="shared" si="595"/>
        <v>65</v>
      </c>
      <c r="CM48" s="46">
        <f t="shared" si="94"/>
        <v>170</v>
      </c>
      <c r="CN48" s="46">
        <f t="shared" ref="CN48" si="596">CN31+$Y31</f>
        <v>63</v>
      </c>
      <c r="CO48" s="46">
        <f t="shared" ref="CO48:DH48" si="597">CO31</f>
        <v>0</v>
      </c>
      <c r="CP48" s="46">
        <f t="shared" ref="CP48" si="598">CP31+$Z31</f>
        <v>79</v>
      </c>
      <c r="CQ48" s="46">
        <f t="shared" ref="CQ48" si="599">CQ31+$AB31</f>
        <v>34</v>
      </c>
      <c r="CR48" s="83">
        <f t="shared" ref="CR48:DH48" si="600">CR31</f>
        <v>0</v>
      </c>
      <c r="CS48" s="46">
        <f t="shared" si="600"/>
        <v>75</v>
      </c>
      <c r="CT48" s="46">
        <f t="shared" si="94"/>
        <v>290</v>
      </c>
      <c r="CU48" s="46">
        <f t="shared" ref="CU48" si="601">CU31+$Y31</f>
        <v>23</v>
      </c>
      <c r="CV48" s="46">
        <f t="shared" ref="CV48:DH48" si="602">CV31</f>
        <v>28</v>
      </c>
      <c r="CW48" s="46">
        <f t="shared" ref="CW48" si="603">CW31+$Z31</f>
        <v>32</v>
      </c>
      <c r="CX48" s="46">
        <f t="shared" ref="CX48" si="604">CX31+$AB31</f>
        <v>10</v>
      </c>
      <c r="CY48" s="83">
        <f t="shared" ref="CY48:DH48" si="605">CY31</f>
        <v>0.6</v>
      </c>
      <c r="CZ48" s="46">
        <f t="shared" si="605"/>
        <v>70</v>
      </c>
      <c r="DA48" s="46">
        <f t="shared" si="94"/>
        <v>170</v>
      </c>
      <c r="DB48" s="46">
        <f t="shared" ref="DB48" si="606">DB31+$Y31</f>
        <v>73</v>
      </c>
      <c r="DC48" s="46">
        <f t="shared" ref="DC48:DH48" si="607">DC31</f>
        <v>0</v>
      </c>
      <c r="DD48" s="46">
        <f t="shared" ref="DD48" si="608">DD31+$Z31</f>
        <v>91</v>
      </c>
      <c r="DE48" s="46">
        <f t="shared" ref="DE48" si="609">DE31+$AB31</f>
        <v>36</v>
      </c>
      <c r="DF48" s="83">
        <f t="shared" ref="DF48:DH48" si="610">DF31</f>
        <v>0</v>
      </c>
      <c r="DG48" s="46">
        <f t="shared" si="610"/>
        <v>80</v>
      </c>
      <c r="DH48" s="46">
        <f t="shared" si="94"/>
        <v>290</v>
      </c>
    </row>
    <row r="49" spans="30:112">
      <c r="AD49" s="84">
        <f t="shared" si="113"/>
        <v>99</v>
      </c>
      <c r="AE49" s="85">
        <f>AH49+10</f>
        <v>104</v>
      </c>
      <c r="AF49" s="85">
        <f t="shared" si="114"/>
        <v>109</v>
      </c>
      <c r="AG49" s="85">
        <f t="shared" si="115"/>
        <v>114</v>
      </c>
      <c r="AH49" s="85">
        <f t="shared" si="116"/>
        <v>94</v>
      </c>
      <c r="AI49" s="46">
        <v>1914</v>
      </c>
      <c r="AJ49" s="46">
        <f t="shared" si="117"/>
        <v>1</v>
      </c>
      <c r="AK49" s="46">
        <f t="shared" si="118"/>
        <v>0</v>
      </c>
      <c r="AL49" s="46">
        <f t="shared" si="119"/>
        <v>3</v>
      </c>
      <c r="AM49" s="46">
        <f t="shared" si="120"/>
        <v>24</v>
      </c>
      <c r="AN49" s="83">
        <f t="shared" si="121"/>
        <v>0.1</v>
      </c>
      <c r="AO49" s="46">
        <f t="shared" si="121"/>
        <v>40</v>
      </c>
      <c r="AP49" s="46">
        <f t="shared" si="122"/>
        <v>20</v>
      </c>
      <c r="AQ49" s="46">
        <f t="shared" ref="AQ49" si="611">AQ32+$Y32</f>
        <v>15</v>
      </c>
      <c r="AR49" s="46">
        <f t="shared" si="124"/>
        <v>0</v>
      </c>
      <c r="AS49" s="46">
        <f t="shared" si="125"/>
        <v>5</v>
      </c>
      <c r="AT49" s="46">
        <f t="shared" si="126"/>
        <v>23</v>
      </c>
      <c r="AU49" s="83">
        <f t="shared" ref="AU49:AW49" si="612">AU32</f>
        <v>0.25</v>
      </c>
      <c r="AV49" s="46">
        <f t="shared" si="612"/>
        <v>50</v>
      </c>
      <c r="AW49" s="46">
        <f t="shared" si="128"/>
        <v>110</v>
      </c>
      <c r="AX49" s="46">
        <f t="shared" ref="AX49" si="613">AX32+$Y32</f>
        <v>19</v>
      </c>
      <c r="AY49" s="46">
        <f t="shared" si="62"/>
        <v>0</v>
      </c>
      <c r="AZ49" s="46">
        <f t="shared" si="63"/>
        <v>6</v>
      </c>
      <c r="BA49" s="46">
        <f t="shared" si="64"/>
        <v>21</v>
      </c>
      <c r="BB49" s="83">
        <f t="shared" ref="BB49:BK49" si="614">BB32</f>
        <v>0</v>
      </c>
      <c r="BC49" s="46">
        <f t="shared" si="614"/>
        <v>60</v>
      </c>
      <c r="BD49" s="46">
        <f t="shared" si="66"/>
        <v>290</v>
      </c>
      <c r="BE49" s="46">
        <f t="shared" ref="BE49" si="615">BE32+$Y32</f>
        <v>1</v>
      </c>
      <c r="BF49" s="46">
        <f t="shared" si="62"/>
        <v>0</v>
      </c>
      <c r="BG49" s="46">
        <f t="shared" si="63"/>
        <v>7</v>
      </c>
      <c r="BH49" s="46">
        <f t="shared" si="64"/>
        <v>34</v>
      </c>
      <c r="BI49" s="83">
        <f t="shared" ref="BI49:BK49" si="616">BI32</f>
        <v>0.25</v>
      </c>
      <c r="BJ49" s="46">
        <f t="shared" si="616"/>
        <v>40</v>
      </c>
      <c r="BK49" s="46">
        <f t="shared" si="66"/>
        <v>20</v>
      </c>
      <c r="BL49" s="46">
        <f t="shared" ref="BL49" si="617">BL32+$Y32</f>
        <v>15</v>
      </c>
      <c r="BM49" s="46">
        <f t="shared" ref="BM49:CF49" si="618">BM32</f>
        <v>2</v>
      </c>
      <c r="BN49" s="46">
        <f t="shared" ref="BN49" si="619">BN32+$Z32</f>
        <v>12</v>
      </c>
      <c r="BO49" s="46">
        <f t="shared" ref="BO49" si="620">BO32+$AB32</f>
        <v>26</v>
      </c>
      <c r="BP49" s="83">
        <f t="shared" ref="BP49:CF49" si="621">BP32</f>
        <v>0.25</v>
      </c>
      <c r="BQ49" s="46">
        <f t="shared" si="621"/>
        <v>60</v>
      </c>
      <c r="BR49" s="46">
        <f t="shared" ref="BR49" si="622">BR32+$AD32</f>
        <v>290</v>
      </c>
      <c r="BS49" s="46">
        <f t="shared" ref="BS49" si="623">BS32+$Y32</f>
        <v>24</v>
      </c>
      <c r="BT49" s="46">
        <f t="shared" ref="BT49:CF49" si="624">BT32</f>
        <v>0</v>
      </c>
      <c r="BU49" s="46">
        <f t="shared" ref="BU49" si="625">BU32+$Z32</f>
        <v>15</v>
      </c>
      <c r="BV49" s="46">
        <f t="shared" ref="BV49" si="626">BV32+$AB32</f>
        <v>27</v>
      </c>
      <c r="BW49" s="83">
        <f t="shared" ref="BW49:CF49" si="627">BW32</f>
        <v>0</v>
      </c>
      <c r="BX49" s="46">
        <f t="shared" si="627"/>
        <v>50</v>
      </c>
      <c r="BY49" s="46">
        <f t="shared" ref="BY49" si="628">BY32+$AD32</f>
        <v>290</v>
      </c>
      <c r="BZ49" s="46">
        <f t="shared" ref="BZ49" si="629">BZ32+$Y32</f>
        <v>31</v>
      </c>
      <c r="CA49" s="46">
        <f t="shared" ref="CA49:CF49" si="630">CA32</f>
        <v>0</v>
      </c>
      <c r="CB49" s="46">
        <f t="shared" ref="CB49" si="631">CB32+$Z32</f>
        <v>12</v>
      </c>
      <c r="CC49" s="46">
        <f t="shared" ref="CC49" si="632">CC32+$AB32</f>
        <v>20</v>
      </c>
      <c r="CD49" s="83">
        <f t="shared" ref="CD49:CF49" si="633">CD32</f>
        <v>0</v>
      </c>
      <c r="CE49" s="46">
        <f t="shared" si="633"/>
        <v>60</v>
      </c>
      <c r="CF49" s="46">
        <f t="shared" ref="CF49" si="634">CF32+$AD32</f>
        <v>290</v>
      </c>
      <c r="CG49" s="46">
        <f t="shared" ref="CG49" si="635">CG32+$Y32</f>
        <v>41</v>
      </c>
      <c r="CH49" s="46">
        <f t="shared" ref="CH49:DH49" si="636">CH32</f>
        <v>10</v>
      </c>
      <c r="CI49" s="46">
        <f t="shared" ref="CI49" si="637">CI32+$Z32</f>
        <v>57</v>
      </c>
      <c r="CJ49" s="46">
        <f t="shared" ref="CJ49" si="638">CJ32+$AB32</f>
        <v>37</v>
      </c>
      <c r="CK49" s="83">
        <f t="shared" ref="CK49:DH49" si="639">CK32</f>
        <v>0.3</v>
      </c>
      <c r="CL49" s="46">
        <f t="shared" si="639"/>
        <v>65</v>
      </c>
      <c r="CM49" s="46">
        <f t="shared" si="94"/>
        <v>170</v>
      </c>
      <c r="CN49" s="46">
        <f t="shared" ref="CN49" si="640">CN32+$Y32</f>
        <v>65</v>
      </c>
      <c r="CO49" s="46">
        <f t="shared" ref="CO49:DH49" si="641">CO32</f>
        <v>0</v>
      </c>
      <c r="CP49" s="46">
        <f t="shared" ref="CP49" si="642">CP32+$Z32</f>
        <v>79</v>
      </c>
      <c r="CQ49" s="46">
        <f t="shared" ref="CQ49" si="643">CQ32+$AB32</f>
        <v>34</v>
      </c>
      <c r="CR49" s="83">
        <f t="shared" ref="CR49:DH49" si="644">CR32</f>
        <v>0</v>
      </c>
      <c r="CS49" s="46">
        <f t="shared" si="644"/>
        <v>75</v>
      </c>
      <c r="CT49" s="46">
        <f t="shared" si="94"/>
        <v>290</v>
      </c>
      <c r="CU49" s="46">
        <f t="shared" ref="CU49" si="645">CU32+$Y32</f>
        <v>25</v>
      </c>
      <c r="CV49" s="46">
        <f t="shared" ref="CV49:DH49" si="646">CV32</f>
        <v>28</v>
      </c>
      <c r="CW49" s="46">
        <f t="shared" ref="CW49" si="647">CW32+$Z32</f>
        <v>32</v>
      </c>
      <c r="CX49" s="46">
        <f t="shared" ref="CX49" si="648">CX32+$AB32</f>
        <v>10</v>
      </c>
      <c r="CY49" s="83">
        <f t="shared" ref="CY49:DH49" si="649">CY32</f>
        <v>0.6</v>
      </c>
      <c r="CZ49" s="46">
        <f t="shared" si="649"/>
        <v>70</v>
      </c>
      <c r="DA49" s="46">
        <f t="shared" si="94"/>
        <v>170</v>
      </c>
      <c r="DB49" s="46">
        <f t="shared" ref="DB49" si="650">DB32+$Y32</f>
        <v>75</v>
      </c>
      <c r="DC49" s="46">
        <f t="shared" ref="DC49:DH49" si="651">DC32</f>
        <v>0</v>
      </c>
      <c r="DD49" s="46">
        <f t="shared" ref="DD49" si="652">DD32+$Z32</f>
        <v>91</v>
      </c>
      <c r="DE49" s="46">
        <f t="shared" ref="DE49" si="653">DE32+$AB32</f>
        <v>36</v>
      </c>
      <c r="DF49" s="83">
        <f t="shared" ref="DF49:DH49" si="654">DF32</f>
        <v>0</v>
      </c>
      <c r="DG49" s="46">
        <f t="shared" si="654"/>
        <v>80</v>
      </c>
      <c r="DH49" s="46">
        <f t="shared" si="94"/>
        <v>290</v>
      </c>
    </row>
    <row r="50" spans="30:112">
      <c r="AD50" s="84">
        <f t="shared" si="113"/>
        <v>112</v>
      </c>
      <c r="AE50" s="85">
        <f>AH50+10</f>
        <v>117</v>
      </c>
      <c r="AF50" s="85">
        <f t="shared" si="114"/>
        <v>122</v>
      </c>
      <c r="AG50" s="85">
        <f t="shared" si="115"/>
        <v>127</v>
      </c>
      <c r="AH50" s="85">
        <f t="shared" si="116"/>
        <v>107</v>
      </c>
      <c r="AI50" s="46">
        <v>1919</v>
      </c>
      <c r="AJ50" s="46">
        <f t="shared" si="117"/>
        <v>1</v>
      </c>
      <c r="AK50" s="46">
        <f t="shared" si="118"/>
        <v>0</v>
      </c>
      <c r="AL50" s="46">
        <f t="shared" si="119"/>
        <v>3</v>
      </c>
      <c r="AM50" s="46">
        <f t="shared" si="120"/>
        <v>24</v>
      </c>
      <c r="AN50" s="83">
        <f t="shared" si="121"/>
        <v>0.1</v>
      </c>
      <c r="AO50" s="46">
        <f t="shared" si="121"/>
        <v>40</v>
      </c>
      <c r="AP50" s="46">
        <f t="shared" si="122"/>
        <v>10</v>
      </c>
      <c r="AQ50" s="46">
        <f t="shared" ref="AQ50" si="655">AQ33+$Y33</f>
        <v>15</v>
      </c>
      <c r="AR50" s="46">
        <f t="shared" si="124"/>
        <v>0</v>
      </c>
      <c r="AS50" s="46">
        <f t="shared" si="125"/>
        <v>5</v>
      </c>
      <c r="AT50" s="46">
        <f t="shared" si="126"/>
        <v>23</v>
      </c>
      <c r="AU50" s="83">
        <f t="shared" ref="AU50:AW50" si="656">AU33</f>
        <v>0.25</v>
      </c>
      <c r="AV50" s="46">
        <f t="shared" si="656"/>
        <v>50</v>
      </c>
      <c r="AW50" s="46">
        <f t="shared" si="128"/>
        <v>100</v>
      </c>
      <c r="AX50" s="46">
        <f t="shared" ref="AX50" si="657">AX33+$Y33</f>
        <v>19</v>
      </c>
      <c r="AY50" s="46">
        <f t="shared" si="62"/>
        <v>0</v>
      </c>
      <c r="AZ50" s="46">
        <f t="shared" si="63"/>
        <v>6</v>
      </c>
      <c r="BA50" s="46">
        <f t="shared" si="64"/>
        <v>21</v>
      </c>
      <c r="BB50" s="83">
        <f t="shared" ref="BB50:BK50" si="658">BB33</f>
        <v>0</v>
      </c>
      <c r="BC50" s="46">
        <f t="shared" si="658"/>
        <v>60</v>
      </c>
      <c r="BD50" s="46">
        <f t="shared" si="66"/>
        <v>280</v>
      </c>
      <c r="BE50" s="46">
        <f t="shared" ref="BE50" si="659">BE33+$Y33</f>
        <v>1</v>
      </c>
      <c r="BF50" s="46">
        <f t="shared" si="62"/>
        <v>0</v>
      </c>
      <c r="BG50" s="46">
        <f t="shared" si="63"/>
        <v>7</v>
      </c>
      <c r="BH50" s="46">
        <f t="shared" si="64"/>
        <v>41</v>
      </c>
      <c r="BI50" s="83">
        <f t="shared" ref="BI50:BK50" si="660">BI33</f>
        <v>0.25</v>
      </c>
      <c r="BJ50" s="46">
        <f t="shared" si="660"/>
        <v>40</v>
      </c>
      <c r="BK50" s="46">
        <f t="shared" si="66"/>
        <v>10</v>
      </c>
      <c r="BL50" s="46">
        <f t="shared" ref="BL50" si="661">BL33+$Y33</f>
        <v>15</v>
      </c>
      <c r="BM50" s="46">
        <f t="shared" ref="BM50:CF50" si="662">BM33</f>
        <v>2</v>
      </c>
      <c r="BN50" s="46">
        <f t="shared" ref="BN50" si="663">BN33+$Z33</f>
        <v>12</v>
      </c>
      <c r="BO50" s="46">
        <f t="shared" ref="BO50" si="664">BO33+$AB33</f>
        <v>26</v>
      </c>
      <c r="BP50" s="83">
        <f t="shared" ref="BP50:CF50" si="665">BP33</f>
        <v>0.25</v>
      </c>
      <c r="BQ50" s="46">
        <f t="shared" si="665"/>
        <v>60</v>
      </c>
      <c r="BR50" s="46">
        <f t="shared" ref="BR50" si="666">BR33+$AD33</f>
        <v>280</v>
      </c>
      <c r="BS50" s="46">
        <f t="shared" ref="BS50" si="667">BS33+$Y33</f>
        <v>24</v>
      </c>
      <c r="BT50" s="46">
        <f t="shared" ref="BT50:CF50" si="668">BT33</f>
        <v>0</v>
      </c>
      <c r="BU50" s="46">
        <f t="shared" ref="BU50" si="669">BU33+$Z33</f>
        <v>15</v>
      </c>
      <c r="BV50" s="46">
        <f t="shared" ref="BV50" si="670">BV33+$AB33</f>
        <v>27</v>
      </c>
      <c r="BW50" s="83">
        <f t="shared" ref="BW50:CF50" si="671">BW33</f>
        <v>0</v>
      </c>
      <c r="BX50" s="46">
        <f t="shared" si="671"/>
        <v>50</v>
      </c>
      <c r="BY50" s="46">
        <f t="shared" ref="BY50" si="672">BY33+$AD33</f>
        <v>280</v>
      </c>
      <c r="BZ50" s="46">
        <f t="shared" ref="BZ50" si="673">BZ33+$Y33</f>
        <v>31</v>
      </c>
      <c r="CA50" s="46">
        <f t="shared" ref="CA50:CF50" si="674">CA33</f>
        <v>0</v>
      </c>
      <c r="CB50" s="46">
        <f t="shared" ref="CB50" si="675">CB33+$Z33</f>
        <v>12</v>
      </c>
      <c r="CC50" s="46">
        <f t="shared" ref="CC50" si="676">CC33+$AB33</f>
        <v>20</v>
      </c>
      <c r="CD50" s="83">
        <f t="shared" ref="CD50:CF50" si="677">CD33</f>
        <v>0</v>
      </c>
      <c r="CE50" s="46">
        <f t="shared" si="677"/>
        <v>60</v>
      </c>
      <c r="CF50" s="46">
        <f t="shared" ref="CF50" si="678">CF33+$AD33</f>
        <v>280</v>
      </c>
      <c r="CG50" s="46">
        <f t="shared" ref="CG50" si="679">CG33+$Y33</f>
        <v>44</v>
      </c>
      <c r="CH50" s="46">
        <f t="shared" ref="CH50:DH50" si="680">CH33</f>
        <v>14</v>
      </c>
      <c r="CI50" s="46">
        <f t="shared" ref="CI50" si="681">CI33+$Z33</f>
        <v>58</v>
      </c>
      <c r="CJ50" s="46">
        <f t="shared" ref="CJ50" si="682">CJ33+$AB33</f>
        <v>43</v>
      </c>
      <c r="CK50" s="83">
        <f t="shared" ref="CK50:DH50" si="683">CK33</f>
        <v>0.3</v>
      </c>
      <c r="CL50" s="46">
        <f t="shared" si="683"/>
        <v>65</v>
      </c>
      <c r="CM50" s="46">
        <f t="shared" si="94"/>
        <v>160</v>
      </c>
      <c r="CN50" s="46">
        <f t="shared" ref="CN50" si="684">CN33+$Y33</f>
        <v>69</v>
      </c>
      <c r="CO50" s="46">
        <f t="shared" ref="CO50:DH50" si="685">CO33</f>
        <v>0</v>
      </c>
      <c r="CP50" s="46">
        <f t="shared" ref="CP50" si="686">CP33+$Z33</f>
        <v>80</v>
      </c>
      <c r="CQ50" s="46">
        <f t="shared" ref="CQ50" si="687">CQ33+$AB33</f>
        <v>35</v>
      </c>
      <c r="CR50" s="83">
        <f t="shared" ref="CR50:DH50" si="688">CR33</f>
        <v>0</v>
      </c>
      <c r="CS50" s="46">
        <f t="shared" si="688"/>
        <v>75</v>
      </c>
      <c r="CT50" s="46">
        <f t="shared" si="94"/>
        <v>280</v>
      </c>
      <c r="CU50" s="46">
        <f t="shared" ref="CU50" si="689">CU33+$Y33</f>
        <v>28</v>
      </c>
      <c r="CV50" s="46">
        <f t="shared" ref="CV50:DH50" si="690">CV33</f>
        <v>32</v>
      </c>
      <c r="CW50" s="46">
        <f t="shared" ref="CW50" si="691">CW33+$Z33</f>
        <v>33</v>
      </c>
      <c r="CX50" s="46">
        <f t="shared" ref="CX50" si="692">CX33+$AB33</f>
        <v>14</v>
      </c>
      <c r="CY50" s="83">
        <f t="shared" ref="CY50:DH50" si="693">CY33</f>
        <v>0.6</v>
      </c>
      <c r="CZ50" s="46">
        <f t="shared" si="693"/>
        <v>70</v>
      </c>
      <c r="DA50" s="46">
        <f t="shared" si="94"/>
        <v>160</v>
      </c>
      <c r="DB50" s="46">
        <f t="shared" ref="DB50" si="694">DB33+$Y33</f>
        <v>83</v>
      </c>
      <c r="DC50" s="46">
        <f t="shared" ref="DC50:DH50" si="695">DC33</f>
        <v>0</v>
      </c>
      <c r="DD50" s="46">
        <f t="shared" ref="DD50" si="696">DD33+$Z33</f>
        <v>92</v>
      </c>
      <c r="DE50" s="46">
        <f t="shared" ref="DE50" si="697">DE33+$AB33</f>
        <v>41</v>
      </c>
      <c r="DF50" s="83">
        <f t="shared" ref="DF50:DH50" si="698">DF33</f>
        <v>0</v>
      </c>
      <c r="DG50" s="46">
        <f t="shared" si="698"/>
        <v>80</v>
      </c>
      <c r="DH50" s="46">
        <f t="shared" si="94"/>
        <v>280</v>
      </c>
    </row>
  </sheetData>
  <mergeCells count="65">
    <mergeCell ref="AI35:AI36"/>
    <mergeCell ref="AD35:AH35"/>
    <mergeCell ref="DB18:DH18"/>
    <mergeCell ref="AJ35:AP35"/>
    <mergeCell ref="AQ35:AW35"/>
    <mergeCell ref="AX35:BD35"/>
    <mergeCell ref="BE35:BK35"/>
    <mergeCell ref="BL35:BR35"/>
    <mergeCell ref="BS35:BY35"/>
    <mergeCell ref="BZ35:CF35"/>
    <mergeCell ref="CG35:CM35"/>
    <mergeCell ref="CN35:CT35"/>
    <mergeCell ref="CU35:DA35"/>
    <mergeCell ref="DB35:DH35"/>
    <mergeCell ref="BS18:BY18"/>
    <mergeCell ref="BZ18:CF18"/>
    <mergeCell ref="CG18:CM18"/>
    <mergeCell ref="CN18:CT18"/>
    <mergeCell ref="CU18:DA18"/>
    <mergeCell ref="AJ18:AP18"/>
    <mergeCell ref="AQ18:AW18"/>
    <mergeCell ref="AX18:BD18"/>
    <mergeCell ref="BE18:BK18"/>
    <mergeCell ref="BL18:BR18"/>
    <mergeCell ref="CN1:CT1"/>
    <mergeCell ref="CU1:DA1"/>
    <mergeCell ref="DB1:DH1"/>
    <mergeCell ref="W18:W19"/>
    <mergeCell ref="X18:X19"/>
    <mergeCell ref="Y18:Y19"/>
    <mergeCell ref="Z18:Z19"/>
    <mergeCell ref="AA18:AA19"/>
    <mergeCell ref="AB18:AB19"/>
    <mergeCell ref="AC18:AC19"/>
    <mergeCell ref="AD18:AD19"/>
    <mergeCell ref="AE18:AE19"/>
    <mergeCell ref="AF18:AF19"/>
    <mergeCell ref="AG18:AG19"/>
    <mergeCell ref="AH18:AH19"/>
    <mergeCell ref="AI18:AI19"/>
    <mergeCell ref="BE1:BK1"/>
    <mergeCell ref="BL1:BR1"/>
    <mergeCell ref="BS1:BY1"/>
    <mergeCell ref="BZ1:CF1"/>
    <mergeCell ref="CG1:CM1"/>
    <mergeCell ref="AJ1:AP1"/>
    <mergeCell ref="AQ1:AW1"/>
    <mergeCell ref="AX1:BD1"/>
    <mergeCell ref="AG1:AG2"/>
    <mergeCell ref="AH1:AH2"/>
    <mergeCell ref="AI1:AI2"/>
    <mergeCell ref="AE1:AE2"/>
    <mergeCell ref="AF1:AF2"/>
    <mergeCell ref="Z1:Z2"/>
    <mergeCell ref="AA1:AA2"/>
    <mergeCell ref="AB1:AB2"/>
    <mergeCell ref="AC1:AC2"/>
    <mergeCell ref="AD1:AD2"/>
    <mergeCell ref="W1:W2"/>
    <mergeCell ref="X1:X2"/>
    <mergeCell ref="Y1:Y2"/>
    <mergeCell ref="L1:N1"/>
    <mergeCell ref="P1:R1"/>
    <mergeCell ref="A4:J4"/>
    <mergeCell ref="A1:J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B92"/>
  <sheetViews>
    <sheetView topLeftCell="A34" zoomScale="120" zoomScaleNormal="120" workbookViewId="0">
      <pane xSplit="1" topLeftCell="B1" activePane="topRight" state="frozen"/>
      <selection activeCell="A34" sqref="A34"/>
      <selection pane="topRight" activeCell="A56" sqref="A56"/>
    </sheetView>
  </sheetViews>
  <sheetFormatPr defaultColWidth="8.85546875" defaultRowHeight="15"/>
  <cols>
    <col min="1" max="1" width="13.7109375" style="46" customWidth="1"/>
    <col min="2" max="2" width="12.7109375" style="50" customWidth="1"/>
    <col min="3" max="3" width="14.42578125" style="50" customWidth="1"/>
    <col min="4" max="4" width="15.5703125" style="50" customWidth="1"/>
    <col min="5" max="5" width="16.42578125" style="51" customWidth="1"/>
    <col min="6" max="6" width="18.7109375" style="50" customWidth="1"/>
    <col min="7" max="7" width="13.5703125" style="50" customWidth="1"/>
    <col min="8" max="8" width="14.85546875" style="50" customWidth="1"/>
    <col min="9" max="9" width="14" style="51" customWidth="1"/>
    <col min="10" max="10" width="8.85546875" style="51"/>
    <col min="11" max="11" width="13.42578125" style="50" customWidth="1"/>
    <col min="12" max="12" width="17" style="50" customWidth="1"/>
    <col min="13" max="13" width="18.28515625" style="50" customWidth="1"/>
    <col min="14" max="14" width="11.7109375" style="50" customWidth="1"/>
    <col min="15" max="15" width="11.42578125" style="52" customWidth="1"/>
    <col min="16" max="16" width="19" style="50" customWidth="1"/>
    <col min="17" max="17" width="26.28515625" style="50" customWidth="1"/>
    <col min="18" max="18" width="11" style="53" customWidth="1"/>
    <col min="19" max="19" width="10.140625" customWidth="1"/>
    <col min="20" max="20" width="16.7109375" customWidth="1"/>
    <col min="21" max="21" width="12.28515625" style="54" customWidth="1"/>
    <col min="22" max="22" width="13.28515625" style="50" customWidth="1"/>
    <col min="23" max="23" width="12" style="50" customWidth="1"/>
    <col min="24" max="24" width="10.5703125" style="50" customWidth="1"/>
    <col min="25" max="25" width="11.42578125" style="50" customWidth="1"/>
    <col min="26" max="26" width="8.85546875" style="50"/>
    <col min="27" max="27" width="12.5703125" style="50" customWidth="1"/>
    <col min="28" max="28" width="10" style="50" customWidth="1"/>
    <col min="29" max="29" width="16" style="50" customWidth="1"/>
    <col min="30" max="30" width="11" style="50" customWidth="1"/>
    <col min="31" max="31" width="8.42578125" style="50" customWidth="1"/>
    <col min="32" max="32" width="12.5703125" style="50" customWidth="1"/>
    <col min="33" max="33" width="20.5703125" style="50" customWidth="1"/>
    <col min="34" max="34" width="12.42578125" style="50" customWidth="1"/>
    <col min="35" max="35" width="13.85546875" style="50" customWidth="1"/>
    <col min="36" max="36" width="10" style="50" customWidth="1"/>
    <col min="37" max="37" width="11.5703125" style="50" customWidth="1"/>
    <col min="38" max="38" width="14.140625" style="50" customWidth="1"/>
    <col min="39" max="39" width="20.28515625" style="50" customWidth="1"/>
    <col min="40" max="40" width="12.42578125" style="50" customWidth="1"/>
    <col min="41" max="41" width="15.140625" style="50" customWidth="1"/>
    <col min="42" max="42" width="16.7109375" style="50" customWidth="1"/>
    <col min="43" max="43" width="26.140625" style="50" customWidth="1"/>
    <col min="44" max="44" width="27.7109375" style="50" customWidth="1"/>
    <col min="45" max="45" width="13.140625" style="50" customWidth="1"/>
    <col min="46" max="46" width="17.42578125" style="50" customWidth="1"/>
    <col min="47" max="47" width="14.140625" style="50" customWidth="1"/>
    <col min="48" max="48" width="11.140625" style="50" customWidth="1"/>
    <col min="49" max="49" width="18.7109375" style="50" customWidth="1"/>
    <col min="50" max="50" width="12.5703125" style="50" customWidth="1"/>
    <col min="51" max="51" width="15.28515625" style="50" customWidth="1"/>
    <col min="52" max="52" width="11.140625" style="50" customWidth="1"/>
    <col min="53" max="53" width="11.42578125" style="50" customWidth="1"/>
    <col min="54" max="54" width="12.28515625" style="50" customWidth="1"/>
    <col min="55" max="55" width="16.5703125" style="50" customWidth="1"/>
    <col min="56" max="56" width="15.140625" style="50" customWidth="1"/>
    <col min="57" max="57" width="10.5703125" style="50" customWidth="1"/>
    <col min="58" max="58" width="11.85546875" style="50" customWidth="1"/>
    <col min="59" max="59" width="13.5703125" style="50" customWidth="1"/>
    <col min="60" max="60" width="11.85546875" style="50" customWidth="1"/>
    <col min="61" max="61" width="16.42578125" style="50" customWidth="1"/>
    <col min="62" max="62" width="20.5703125" style="50" customWidth="1"/>
    <col min="63" max="63" width="21.140625" style="50" customWidth="1"/>
    <col min="64" max="64" width="20.28515625" style="50" customWidth="1"/>
    <col min="65" max="65" width="15.5703125" style="50" customWidth="1"/>
    <col min="66" max="66" width="15.140625" style="50" customWidth="1"/>
    <col min="67" max="67" width="17.85546875" style="50" customWidth="1"/>
    <col min="68" max="68" width="18.85546875" style="50" customWidth="1"/>
    <col min="69" max="69" width="13.7109375" style="50" customWidth="1"/>
    <col min="70" max="70" width="18.5703125" style="50" customWidth="1"/>
    <col min="71" max="71" width="17.7109375" style="50" customWidth="1"/>
    <col min="72" max="72" width="14.28515625" style="50" customWidth="1"/>
    <col min="73" max="73" width="19.28515625" style="50" customWidth="1"/>
    <col min="74" max="74" width="17.7109375" style="50" customWidth="1"/>
    <col min="75" max="75" width="12.7109375" style="50" customWidth="1"/>
    <col min="76" max="76" width="21.7109375" style="50" customWidth="1"/>
    <col min="77" max="77" width="19" style="50" customWidth="1"/>
    <col min="78" max="78" width="11.5703125" style="50" customWidth="1"/>
    <col min="79" max="79" width="12.140625" style="50" customWidth="1"/>
    <col min="80" max="80" width="11.5703125" style="50" customWidth="1"/>
    <col min="81" max="81" width="9" style="50" customWidth="1"/>
    <col min="82" max="82" width="13.140625" style="50" customWidth="1"/>
    <col min="83" max="83" width="10.42578125" style="50" customWidth="1"/>
    <col min="88" max="88" width="11.28515625" customWidth="1"/>
    <col min="89" max="89" width="5" customWidth="1"/>
    <col min="90" max="90" width="10.42578125" customWidth="1"/>
    <col min="92" max="92" width="8.28515625" customWidth="1"/>
    <col min="93" max="96" width="12.85546875" customWidth="1"/>
    <col min="105" max="105" width="9.7109375" customWidth="1"/>
  </cols>
  <sheetData>
    <row r="1" spans="1:106" s="46" customFormat="1">
      <c r="A1" s="46" t="s">
        <v>0</v>
      </c>
      <c r="B1" s="46" t="s">
        <v>104</v>
      </c>
      <c r="C1" s="46" t="s">
        <v>215</v>
      </c>
      <c r="D1" s="46" t="s">
        <v>103</v>
      </c>
      <c r="E1" s="46" t="s">
        <v>216</v>
      </c>
      <c r="F1" s="46" t="s">
        <v>217</v>
      </c>
      <c r="G1" s="46" t="s">
        <v>143</v>
      </c>
      <c r="H1" s="46" t="s">
        <v>142</v>
      </c>
      <c r="I1" s="46" t="s">
        <v>218</v>
      </c>
      <c r="J1" s="46" t="s">
        <v>219</v>
      </c>
      <c r="K1" s="46" t="s">
        <v>220</v>
      </c>
      <c r="L1" s="46" t="s">
        <v>221</v>
      </c>
      <c r="M1" s="46" t="s">
        <v>222</v>
      </c>
      <c r="N1" s="46" t="s">
        <v>223</v>
      </c>
      <c r="O1" s="46" t="s">
        <v>85</v>
      </c>
      <c r="P1" s="46" t="s">
        <v>224</v>
      </c>
      <c r="Q1" s="46" t="s">
        <v>225</v>
      </c>
      <c r="R1" s="46" t="s">
        <v>146</v>
      </c>
      <c r="S1" s="46" t="s">
        <v>226</v>
      </c>
      <c r="T1" s="46" t="s">
        <v>227</v>
      </c>
      <c r="U1" s="46" t="s">
        <v>228</v>
      </c>
      <c r="V1" s="55" t="s">
        <v>229</v>
      </c>
      <c r="W1" s="55" t="s">
        <v>230</v>
      </c>
      <c r="X1" s="55" t="s">
        <v>231</v>
      </c>
      <c r="Y1" s="55" t="s">
        <v>232</v>
      </c>
      <c r="Z1" s="55" t="s">
        <v>233</v>
      </c>
      <c r="AA1" s="55" t="s">
        <v>234</v>
      </c>
      <c r="AB1" s="55" t="s">
        <v>235</v>
      </c>
      <c r="AC1" s="55" t="s">
        <v>236</v>
      </c>
      <c r="AD1" s="55" t="s">
        <v>237</v>
      </c>
      <c r="AE1" s="55" t="s">
        <v>238</v>
      </c>
      <c r="AF1" s="55" t="s">
        <v>239</v>
      </c>
      <c r="AG1" s="55" t="s">
        <v>240</v>
      </c>
      <c r="AH1" s="55" t="s">
        <v>241</v>
      </c>
      <c r="AI1" s="55" t="s">
        <v>242</v>
      </c>
      <c r="AJ1" s="55" t="s">
        <v>243</v>
      </c>
      <c r="AK1" s="55" t="s">
        <v>244</v>
      </c>
      <c r="AL1" s="55" t="s">
        <v>245</v>
      </c>
      <c r="AM1" s="55" t="s">
        <v>246</v>
      </c>
      <c r="AN1" s="55" t="s">
        <v>247</v>
      </c>
      <c r="AO1" s="55" t="s">
        <v>248</v>
      </c>
      <c r="AP1" s="55" t="s">
        <v>249</v>
      </c>
      <c r="AQ1" s="55" t="s">
        <v>250</v>
      </c>
      <c r="AR1" s="55" t="s">
        <v>251</v>
      </c>
      <c r="AS1" s="55" t="s">
        <v>252</v>
      </c>
      <c r="AT1" s="55" t="s">
        <v>253</v>
      </c>
      <c r="AU1" s="55" t="s">
        <v>254</v>
      </c>
      <c r="AV1" s="55" t="s">
        <v>255</v>
      </c>
      <c r="AW1" s="55" t="s">
        <v>256</v>
      </c>
      <c r="AX1" s="55" t="s">
        <v>257</v>
      </c>
      <c r="AY1" s="55" t="s">
        <v>258</v>
      </c>
      <c r="AZ1" s="55" t="s">
        <v>259</v>
      </c>
      <c r="BA1" s="55" t="s">
        <v>260</v>
      </c>
      <c r="BB1" s="55" t="s">
        <v>261</v>
      </c>
      <c r="BC1" s="55" t="s">
        <v>262</v>
      </c>
      <c r="BD1" s="55" t="s">
        <v>263</v>
      </c>
      <c r="BE1" s="55" t="s">
        <v>264</v>
      </c>
      <c r="BF1" s="55" t="s">
        <v>265</v>
      </c>
      <c r="BG1" s="55" t="s">
        <v>266</v>
      </c>
      <c r="BH1" s="55" t="s">
        <v>267</v>
      </c>
      <c r="BI1" s="55" t="s">
        <v>268</v>
      </c>
      <c r="BJ1" s="55" t="s">
        <v>269</v>
      </c>
      <c r="BK1" s="55" t="s">
        <v>270</v>
      </c>
      <c r="BL1" s="55" t="s">
        <v>271</v>
      </c>
      <c r="BM1" s="55" t="s">
        <v>272</v>
      </c>
      <c r="BN1" s="55" t="s">
        <v>273</v>
      </c>
      <c r="BO1" s="55" t="s">
        <v>274</v>
      </c>
      <c r="BP1" s="55" t="s">
        <v>275</v>
      </c>
      <c r="BQ1" s="55" t="s">
        <v>276</v>
      </c>
      <c r="BR1" s="55" t="s">
        <v>277</v>
      </c>
      <c r="BS1" s="55" t="s">
        <v>278</v>
      </c>
      <c r="BT1" s="55" t="s">
        <v>279</v>
      </c>
      <c r="BU1" s="55" t="s">
        <v>280</v>
      </c>
      <c r="BV1" s="55" t="s">
        <v>281</v>
      </c>
      <c r="BW1" s="55" t="s">
        <v>282</v>
      </c>
      <c r="BX1" s="55" t="s">
        <v>283</v>
      </c>
      <c r="BY1" s="55" t="s">
        <v>284</v>
      </c>
      <c r="BZ1" s="55" t="s">
        <v>285</v>
      </c>
      <c r="CA1" s="55" t="s">
        <v>286</v>
      </c>
      <c r="CB1" s="55" t="s">
        <v>287</v>
      </c>
      <c r="CC1" s="55" t="s">
        <v>288</v>
      </c>
      <c r="CD1" s="55" t="s">
        <v>289</v>
      </c>
      <c r="CE1" s="55" t="s">
        <v>290</v>
      </c>
    </row>
    <row r="2" spans="1:106">
      <c r="A2" s="46" t="s">
        <v>291</v>
      </c>
      <c r="B2" s="50">
        <v>0.2</v>
      </c>
      <c r="C2" s="50">
        <v>0.1</v>
      </c>
      <c r="D2" s="50">
        <v>0.2</v>
      </c>
      <c r="E2" s="51">
        <v>1</v>
      </c>
      <c r="F2" s="50">
        <v>1</v>
      </c>
      <c r="G2" s="50">
        <v>1</v>
      </c>
      <c r="H2" s="50">
        <v>1</v>
      </c>
      <c r="I2" s="51">
        <v>1</v>
      </c>
      <c r="J2" s="51">
        <v>1</v>
      </c>
      <c r="K2" s="50">
        <v>1</v>
      </c>
      <c r="L2" s="50">
        <v>1</v>
      </c>
      <c r="M2" s="50">
        <v>1</v>
      </c>
      <c r="N2" s="56">
        <v>1</v>
      </c>
      <c r="O2" s="52">
        <v>1E-4</v>
      </c>
      <c r="P2" s="57">
        <v>1</v>
      </c>
      <c r="Q2" s="50">
        <v>1</v>
      </c>
      <c r="T2">
        <v>1</v>
      </c>
      <c r="U2" s="56">
        <v>1</v>
      </c>
      <c r="V2" s="56">
        <v>1</v>
      </c>
      <c r="W2" s="56">
        <v>1</v>
      </c>
      <c r="X2" s="56">
        <v>1</v>
      </c>
      <c r="Y2" s="56">
        <v>1</v>
      </c>
      <c r="Z2" s="56">
        <v>1</v>
      </c>
      <c r="AA2" s="56">
        <v>1</v>
      </c>
      <c r="AB2" s="56">
        <v>1</v>
      </c>
      <c r="AC2" s="56">
        <v>1</v>
      </c>
      <c r="AD2" s="56">
        <v>1</v>
      </c>
      <c r="AE2" s="56">
        <v>1</v>
      </c>
      <c r="AF2" s="56">
        <v>1</v>
      </c>
      <c r="AG2" s="56">
        <v>1</v>
      </c>
      <c r="AH2" s="56">
        <v>1</v>
      </c>
      <c r="AI2" s="56">
        <v>1</v>
      </c>
      <c r="AJ2" s="56">
        <v>1</v>
      </c>
      <c r="AK2" s="56">
        <v>1</v>
      </c>
      <c r="AL2" s="56">
        <v>1</v>
      </c>
      <c r="AM2" s="56">
        <v>1</v>
      </c>
      <c r="AN2" s="56">
        <v>1</v>
      </c>
      <c r="AO2" s="56">
        <v>1</v>
      </c>
      <c r="AP2" s="56">
        <v>1</v>
      </c>
      <c r="AQ2" s="56">
        <v>1</v>
      </c>
      <c r="AR2" s="56">
        <v>1</v>
      </c>
      <c r="AS2" s="56">
        <v>1</v>
      </c>
      <c r="AT2" s="56">
        <v>1</v>
      </c>
      <c r="AU2" s="56">
        <v>1</v>
      </c>
      <c r="AV2" s="56">
        <v>1</v>
      </c>
      <c r="AW2" s="56">
        <v>1</v>
      </c>
      <c r="AX2" s="56">
        <v>1</v>
      </c>
      <c r="AY2" s="56">
        <v>1</v>
      </c>
      <c r="AZ2" s="56">
        <v>1</v>
      </c>
      <c r="BA2" s="56">
        <v>1</v>
      </c>
      <c r="BB2" s="56">
        <v>1</v>
      </c>
      <c r="BC2" s="56">
        <v>1</v>
      </c>
      <c r="BD2" s="56">
        <v>1</v>
      </c>
      <c r="BE2" s="56">
        <v>1</v>
      </c>
      <c r="BF2" s="56">
        <v>1</v>
      </c>
      <c r="BG2" s="56">
        <v>1</v>
      </c>
      <c r="BH2" s="56">
        <v>1</v>
      </c>
      <c r="BI2" s="56">
        <v>1</v>
      </c>
      <c r="BJ2" s="56">
        <v>1</v>
      </c>
      <c r="BK2" s="56">
        <v>1</v>
      </c>
      <c r="BL2" s="56">
        <v>1</v>
      </c>
      <c r="BM2" s="56">
        <v>1</v>
      </c>
      <c r="BN2" s="56">
        <v>1</v>
      </c>
      <c r="BO2" s="56">
        <v>1</v>
      </c>
      <c r="BP2" s="56">
        <v>1</v>
      </c>
      <c r="BQ2" s="56">
        <v>1</v>
      </c>
      <c r="BR2" s="56">
        <v>1</v>
      </c>
      <c r="BS2" s="56">
        <v>1</v>
      </c>
      <c r="BT2" s="56">
        <v>1</v>
      </c>
      <c r="BU2" s="56">
        <v>1</v>
      </c>
      <c r="BV2" s="56">
        <v>1</v>
      </c>
      <c r="BW2" s="56">
        <v>1</v>
      </c>
      <c r="BX2" s="56">
        <v>1</v>
      </c>
      <c r="BY2" s="56">
        <v>1</v>
      </c>
      <c r="BZ2" s="56">
        <v>1</v>
      </c>
      <c r="CA2" s="56">
        <v>1</v>
      </c>
      <c r="CB2" s="56">
        <v>1</v>
      </c>
      <c r="CC2" s="56">
        <v>1</v>
      </c>
      <c r="CD2" s="56">
        <v>1</v>
      </c>
      <c r="CE2" s="56">
        <v>1</v>
      </c>
      <c r="CJ2" s="46"/>
      <c r="CK2" s="46"/>
      <c r="CL2" s="46"/>
      <c r="CM2" s="46"/>
      <c r="CN2" s="46"/>
      <c r="CO2" s="46"/>
      <c r="CP2" s="46"/>
      <c r="CW2">
        <v>500000</v>
      </c>
      <c r="CX2" s="50">
        <f t="shared" ref="CX2:CX33" si="0">CZ2/$CW$2</f>
        <v>7.6E-3</v>
      </c>
      <c r="CY2">
        <v>1</v>
      </c>
      <c r="CZ2">
        <v>3800</v>
      </c>
      <c r="DA2" s="58">
        <f t="shared" ref="DA2:DA33" si="1">CZ2-CZ1</f>
        <v>3800</v>
      </c>
      <c r="DB2" s="50">
        <f t="shared" ref="DB2:DB33" si="2">CZ2/$CZ$52</f>
        <v>1.9701981604570859E-2</v>
      </c>
    </row>
    <row r="3" spans="1:106">
      <c r="A3" s="46" t="s">
        <v>292</v>
      </c>
      <c r="E3" s="52"/>
      <c r="I3" s="52">
        <v>0.25</v>
      </c>
      <c r="J3" s="52">
        <v>0.25</v>
      </c>
      <c r="Q3" s="50">
        <f>-0.05-0.05-0.1-0.15</f>
        <v>-0.35</v>
      </c>
      <c r="R3" s="59"/>
      <c r="S3" s="56"/>
      <c r="T3" s="50">
        <v>-1</v>
      </c>
      <c r="CF3" s="50"/>
      <c r="CJ3" s="46"/>
      <c r="CK3" s="46"/>
      <c r="CL3" s="46"/>
      <c r="CM3" s="46"/>
      <c r="CN3" s="44"/>
      <c r="CO3" s="46"/>
      <c r="CP3" s="46"/>
      <c r="CX3" s="50">
        <f t="shared" si="0"/>
        <v>1.5202E-2</v>
      </c>
      <c r="CY3">
        <v>2</v>
      </c>
      <c r="CZ3">
        <v>7601</v>
      </c>
      <c r="DA3" s="58">
        <f t="shared" si="1"/>
        <v>3801</v>
      </c>
      <c r="DB3" s="50">
        <f t="shared" si="2"/>
        <v>3.9409147941142919E-2</v>
      </c>
    </row>
    <row r="4" spans="1:106">
      <c r="A4" s="46" t="s">
        <v>213</v>
      </c>
      <c r="B4" s="50">
        <f>0.1+0.05</f>
        <v>0.15000000000000002</v>
      </c>
      <c r="C4" s="50">
        <v>0.2</v>
      </c>
      <c r="D4" s="50">
        <f>0.1+0.05</f>
        <v>0.15000000000000002</v>
      </c>
      <c r="E4" s="52"/>
      <c r="G4" s="50">
        <f>0.25+0.25+0.05</f>
        <v>0.55000000000000004</v>
      </c>
      <c r="H4" s="50">
        <f>0.25+0.25+0.25</f>
        <v>0.75</v>
      </c>
      <c r="I4" s="52">
        <v>-0.25</v>
      </c>
      <c r="J4" s="52">
        <v>-0.25</v>
      </c>
      <c r="K4" s="50">
        <v>-0.01</v>
      </c>
      <c r="L4" s="50">
        <v>0.01</v>
      </c>
      <c r="Q4" s="50">
        <f>0.05+0.05+0.1+0.1+0.1+0.1</f>
        <v>0.5</v>
      </c>
      <c r="R4" s="53">
        <v>1</v>
      </c>
      <c r="S4" s="56"/>
      <c r="T4" s="50">
        <v>0.8</v>
      </c>
      <c r="AH4" s="50">
        <v>0.1</v>
      </c>
      <c r="BD4" s="50">
        <v>0.1</v>
      </c>
      <c r="BE4" s="50">
        <v>0.1</v>
      </c>
      <c r="BF4" s="50">
        <v>0.1</v>
      </c>
      <c r="BX4" s="50">
        <v>0.1</v>
      </c>
      <c r="BY4" s="50">
        <v>0.05</v>
      </c>
      <c r="CX4" s="50">
        <f t="shared" si="0"/>
        <v>2.2801999999999999E-2</v>
      </c>
      <c r="CY4">
        <v>3</v>
      </c>
      <c r="CZ4">
        <v>11401</v>
      </c>
      <c r="DA4" s="58">
        <f t="shared" si="1"/>
        <v>3800</v>
      </c>
      <c r="DB4" s="50">
        <f t="shared" si="2"/>
        <v>5.9111129545713785E-2</v>
      </c>
    </row>
    <row r="5" spans="1:106">
      <c r="A5" s="46" t="s">
        <v>214</v>
      </c>
      <c r="B5" s="50">
        <f>-0.1-0.05+0.01+0.05</f>
        <v>-9.0000000000000011E-2</v>
      </c>
      <c r="C5" s="50">
        <v>-0.2</v>
      </c>
      <c r="D5" s="50">
        <f>-0.1+0.05</f>
        <v>-0.05</v>
      </c>
      <c r="E5" s="52"/>
      <c r="F5" s="50">
        <v>0.25</v>
      </c>
      <c r="G5" s="50">
        <f>-0.25-0.25+0.1</f>
        <v>-0.4</v>
      </c>
      <c r="H5" s="50">
        <f>-0.25-0.25+0.1</f>
        <v>-0.4</v>
      </c>
      <c r="I5" s="52"/>
      <c r="J5" s="52"/>
      <c r="M5" s="50">
        <v>0.25</v>
      </c>
      <c r="Q5" s="50">
        <f>0.15-0.05</f>
        <v>9.9999999999999992E-2</v>
      </c>
      <c r="R5" s="59"/>
      <c r="S5" s="56">
        <f>6+10+9</f>
        <v>25</v>
      </c>
      <c r="T5" s="50">
        <v>0.2</v>
      </c>
      <c r="Y5" s="50">
        <v>0.5</v>
      </c>
      <c r="AA5" s="50">
        <v>0.1</v>
      </c>
      <c r="AH5" s="50">
        <v>0.3</v>
      </c>
      <c r="AQ5" s="50">
        <v>0.1</v>
      </c>
      <c r="BA5" s="50">
        <v>0.1</v>
      </c>
      <c r="BB5" s="50">
        <v>0.1</v>
      </c>
      <c r="BF5" s="50">
        <v>0.1</v>
      </c>
      <c r="BJ5" s="50">
        <v>0.05</v>
      </c>
      <c r="BT5" s="50">
        <v>0.05</v>
      </c>
      <c r="CX5" s="50">
        <f t="shared" si="0"/>
        <v>3.0404E-2</v>
      </c>
      <c r="CY5">
        <v>4</v>
      </c>
      <c r="CZ5">
        <v>15202</v>
      </c>
      <c r="DA5" s="58">
        <f t="shared" si="1"/>
        <v>3801</v>
      </c>
      <c r="DB5" s="50">
        <f t="shared" si="2"/>
        <v>7.8818295882285838E-2</v>
      </c>
    </row>
    <row r="6" spans="1:106">
      <c r="A6" s="46" t="s">
        <v>293</v>
      </c>
      <c r="B6" s="50">
        <f>0.05+0.01+0.01</f>
        <v>7.0000000000000007E-2</v>
      </c>
      <c r="D6" s="50">
        <v>0.05</v>
      </c>
      <c r="G6" s="50">
        <f>0.1+0.1</f>
        <v>0.2</v>
      </c>
      <c r="H6" s="50">
        <f>0.1+0.25</f>
        <v>0.35</v>
      </c>
      <c r="K6" s="50">
        <v>-0.01</v>
      </c>
      <c r="L6" s="50">
        <f>0.01+0.01+0.01+0.01</f>
        <v>0.04</v>
      </c>
      <c r="M6" s="50">
        <f>0.05+0.05</f>
        <v>0.1</v>
      </c>
      <c r="O6" s="52">
        <f>0.0001+0.0001+0.0001+0.0001</f>
        <v>4.0000000000000002E-4</v>
      </c>
      <c r="P6" s="50">
        <v>-0.1</v>
      </c>
      <c r="Q6" s="50">
        <f>0.1+0.1+0.1+0.1</f>
        <v>0.4</v>
      </c>
      <c r="S6">
        <f>9+13+12+19+21</f>
        <v>74</v>
      </c>
      <c r="U6" s="54">
        <f>-0.002-0.002</f>
        <v>-4.0000000000000001E-3</v>
      </c>
      <c r="W6" s="50">
        <f>0.2+0.2+0.1</f>
        <v>0.5</v>
      </c>
      <c r="X6" s="50">
        <v>0.2</v>
      </c>
      <c r="AF6" s="50">
        <f>0.15+0.15</f>
        <v>0.3</v>
      </c>
      <c r="AG6" s="50">
        <v>0.1</v>
      </c>
      <c r="AH6" s="50">
        <f>0.1+0.15</f>
        <v>0.25</v>
      </c>
      <c r="AN6" s="50">
        <v>0.1</v>
      </c>
      <c r="AR6" s="50">
        <v>0.1</v>
      </c>
      <c r="AS6" s="50">
        <v>0.1</v>
      </c>
      <c r="AY6" s="50">
        <v>0.2</v>
      </c>
      <c r="AZ6" s="50">
        <v>0.5</v>
      </c>
      <c r="BA6" s="50">
        <v>0.15</v>
      </c>
      <c r="BB6" s="50">
        <f>0.1+0.15</f>
        <v>0.25</v>
      </c>
      <c r="BC6" s="50">
        <v>0.1</v>
      </c>
      <c r="BD6" s="50">
        <v>0.1</v>
      </c>
      <c r="BE6" s="50">
        <f>0.1+0.15</f>
        <v>0.25</v>
      </c>
      <c r="BF6" s="50">
        <v>0.1</v>
      </c>
      <c r="BI6" s="50">
        <v>0.1</v>
      </c>
      <c r="BR6" s="50">
        <v>0.1</v>
      </c>
      <c r="BX6" s="50">
        <f>0.1+0.1</f>
        <v>0.2</v>
      </c>
      <c r="BY6" s="50">
        <f>0.05+0.05</f>
        <v>0.1</v>
      </c>
      <c r="CX6" s="50">
        <f t="shared" si="0"/>
        <v>3.8004000000000003E-2</v>
      </c>
      <c r="CY6">
        <v>5</v>
      </c>
      <c r="CZ6">
        <v>19002</v>
      </c>
      <c r="DA6" s="58">
        <f t="shared" si="1"/>
        <v>3800</v>
      </c>
      <c r="DB6" s="50">
        <f t="shared" si="2"/>
        <v>9.8520277486856711E-2</v>
      </c>
    </row>
    <row r="7" spans="1:106">
      <c r="A7" s="46" t="s">
        <v>294</v>
      </c>
      <c r="B7" s="50">
        <f>0.01+0.01+0.01+0.01</f>
        <v>0.04</v>
      </c>
      <c r="D7" s="50">
        <v>0.05</v>
      </c>
      <c r="G7" s="50">
        <f>0.05+0.1+0.5+0.5</f>
        <v>1.1499999999999999</v>
      </c>
      <c r="H7" s="50">
        <f>0.1+0.25+0.02</f>
        <v>0.37</v>
      </c>
      <c r="J7" s="60"/>
      <c r="K7" s="50">
        <v>-0.01</v>
      </c>
      <c r="L7" s="50">
        <f>0.01+0.01+0.01+0.01</f>
        <v>0.04</v>
      </c>
      <c r="M7" s="50">
        <f>0.05+0.05</f>
        <v>0.1</v>
      </c>
      <c r="N7" s="50">
        <f>-0.03-0.02</f>
        <v>-0.05</v>
      </c>
      <c r="O7" s="52">
        <v>1E-4</v>
      </c>
      <c r="S7">
        <f>16+2+20</f>
        <v>38</v>
      </c>
      <c r="V7" s="50">
        <v>0.5</v>
      </c>
      <c r="X7" s="50">
        <v>0.2</v>
      </c>
      <c r="AH7" s="50">
        <f>0.1+0.25</f>
        <v>0.35</v>
      </c>
      <c r="AI7" s="50">
        <v>1</v>
      </c>
      <c r="AL7" s="50">
        <v>0.1</v>
      </c>
      <c r="AM7" s="50">
        <v>0.02</v>
      </c>
      <c r="AO7" s="50">
        <v>0.05</v>
      </c>
      <c r="AP7" s="50">
        <f>0.25+0.02</f>
        <v>0.27</v>
      </c>
      <c r="AS7" s="50">
        <f>0.1+0.05</f>
        <v>0.15000000000000002</v>
      </c>
      <c r="AX7" s="50">
        <v>0.01</v>
      </c>
      <c r="BD7" s="50">
        <v>0.1</v>
      </c>
      <c r="BE7" s="50">
        <v>0.1</v>
      </c>
      <c r="BF7" s="50">
        <v>0.1</v>
      </c>
      <c r="BH7" s="50">
        <v>0.02</v>
      </c>
      <c r="BI7" s="50">
        <v>0.1</v>
      </c>
      <c r="BM7" s="50">
        <v>0.02</v>
      </c>
      <c r="BN7" s="50">
        <v>0.02</v>
      </c>
      <c r="BS7" s="50">
        <v>0.02</v>
      </c>
      <c r="BU7" s="50">
        <v>0.02</v>
      </c>
      <c r="BX7" s="50">
        <f>0.1+0.05+0.1</f>
        <v>0.25</v>
      </c>
      <c r="BY7" s="50">
        <f>0.05+0.05</f>
        <v>0.1</v>
      </c>
      <c r="CX7" s="50">
        <f t="shared" si="0"/>
        <v>4.5606000000000001E-2</v>
      </c>
      <c r="CY7">
        <v>6</v>
      </c>
      <c r="CZ7">
        <v>22803</v>
      </c>
      <c r="DA7" s="58">
        <f t="shared" si="1"/>
        <v>3801</v>
      </c>
      <c r="DB7" s="50">
        <f t="shared" si="2"/>
        <v>0.11822744382342877</v>
      </c>
    </row>
    <row r="8" spans="1:106">
      <c r="A8" s="46">
        <v>1840</v>
      </c>
      <c r="R8" s="53">
        <v>1</v>
      </c>
      <c r="S8">
        <f>4+3</f>
        <v>7</v>
      </c>
      <c r="Y8" s="50">
        <f>0.2+0.5+0.5</f>
        <v>1.2</v>
      </c>
      <c r="Z8" s="50">
        <v>0.25</v>
      </c>
      <c r="AA8" s="50">
        <f>0.2+0.1</f>
        <v>0.30000000000000004</v>
      </c>
      <c r="AB8" s="50">
        <v>0.25</v>
      </c>
      <c r="AD8" s="50">
        <f>0.15+0.1</f>
        <v>0.25</v>
      </c>
      <c r="AE8" s="50">
        <v>0.25</v>
      </c>
      <c r="BZ8" s="50">
        <v>0.1</v>
      </c>
      <c r="CA8" s="50">
        <v>0.1</v>
      </c>
      <c r="CX8" s="50">
        <f t="shared" si="0"/>
        <v>5.3206000000000003E-2</v>
      </c>
      <c r="CY8">
        <v>7</v>
      </c>
      <c r="CZ8">
        <v>26603</v>
      </c>
      <c r="DA8" s="58">
        <f t="shared" si="1"/>
        <v>3800</v>
      </c>
      <c r="DB8" s="50">
        <f t="shared" si="2"/>
        <v>0.13792942542799963</v>
      </c>
    </row>
    <row r="9" spans="1:106">
      <c r="A9" s="46">
        <v>1848</v>
      </c>
      <c r="S9">
        <v>3</v>
      </c>
      <c r="CX9" s="50">
        <f t="shared" si="0"/>
        <v>6.0808000000000001E-2</v>
      </c>
      <c r="CY9">
        <v>8</v>
      </c>
      <c r="CZ9">
        <v>30404</v>
      </c>
      <c r="DA9" s="58">
        <f t="shared" si="1"/>
        <v>3801</v>
      </c>
      <c r="DB9" s="50">
        <f t="shared" si="2"/>
        <v>0.15763659176457168</v>
      </c>
    </row>
    <row r="10" spans="1:106">
      <c r="A10" s="46">
        <v>1850</v>
      </c>
      <c r="B10" s="50">
        <f>0.05+0.01+0.01+0.01+0.01+0.01</f>
        <v>9.9999999999999992E-2</v>
      </c>
      <c r="D10" s="50">
        <v>0.05</v>
      </c>
      <c r="G10" s="50">
        <f>0.05+0.1</f>
        <v>0.15000000000000002</v>
      </c>
      <c r="H10" s="50">
        <f>0.3+0.1+0.25+0.05</f>
        <v>0.70000000000000007</v>
      </c>
      <c r="K10" s="50">
        <v>-0.01</v>
      </c>
      <c r="L10" s="50">
        <f>0.01+0.01+0.025+0.025</f>
        <v>7.0000000000000007E-2</v>
      </c>
      <c r="M10" s="50">
        <f>0.1+0.05</f>
        <v>0.15000000000000002</v>
      </c>
      <c r="N10" s="50">
        <f>-0.01-0.01-0.01-0.1+0.05</f>
        <v>-0.08</v>
      </c>
      <c r="Q10" s="50">
        <f>0.2+0.05+0.2+0.05+0.05+0.05+0.2</f>
        <v>0.8</v>
      </c>
      <c r="R10" s="53">
        <v>1</v>
      </c>
      <c r="Y10" s="50">
        <f>0.2+0.2+0.25</f>
        <v>0.65</v>
      </c>
      <c r="Z10" s="50">
        <v>0.25</v>
      </c>
      <c r="AA10" s="50">
        <f>0.15+0.1</f>
        <v>0.25</v>
      </c>
      <c r="AB10" s="50">
        <v>0.25</v>
      </c>
      <c r="AD10" s="50">
        <f>0.2+0.1+0.3+0.4+0.25+0.25</f>
        <v>1.5</v>
      </c>
      <c r="AE10" s="50">
        <v>0.25</v>
      </c>
      <c r="AF10" s="50">
        <f>0.15+0.15</f>
        <v>0.3</v>
      </c>
      <c r="AH10" s="50">
        <f>0.1+0.1+0.1+0.05+0.1+0.15</f>
        <v>0.60000000000000009</v>
      </c>
      <c r="AJ10" s="50">
        <v>0.1</v>
      </c>
      <c r="AK10" s="50">
        <f>0.3+0.05+0.05</f>
        <v>0.39999999999999997</v>
      </c>
      <c r="AL10" s="50">
        <v>0.15</v>
      </c>
      <c r="AY10" s="50">
        <v>0.3</v>
      </c>
      <c r="AZ10" s="50">
        <v>0.1</v>
      </c>
      <c r="BD10" s="50">
        <f>0.1+0.25</f>
        <v>0.35</v>
      </c>
      <c r="BE10" s="50">
        <f>0.1+0.2+0.2</f>
        <v>0.5</v>
      </c>
      <c r="BF10" s="50">
        <f>0.1+0.2+0.3+0.2+0.05</f>
        <v>0.85000000000000009</v>
      </c>
      <c r="BG10" s="50">
        <v>0.2</v>
      </c>
      <c r="BH10" s="50">
        <v>0.05</v>
      </c>
      <c r="BI10" s="50">
        <f>0.2+0.1</f>
        <v>0.30000000000000004</v>
      </c>
      <c r="BK10" s="50">
        <v>0.1</v>
      </c>
      <c r="BT10" s="50">
        <v>0.1</v>
      </c>
      <c r="BU10" s="50">
        <v>0.05</v>
      </c>
      <c r="BX10" s="50">
        <f>0.1+0.05+0.1</f>
        <v>0.25</v>
      </c>
      <c r="BY10" s="50">
        <f>0.05+0.05</f>
        <v>0.1</v>
      </c>
      <c r="BZ10" s="50">
        <v>0.1</v>
      </c>
      <c r="CA10" s="50">
        <v>0.1</v>
      </c>
      <c r="CB10" s="50">
        <v>0.5</v>
      </c>
      <c r="CC10" s="50">
        <v>0.2</v>
      </c>
      <c r="CD10" s="50">
        <v>0.1</v>
      </c>
      <c r="CE10" s="50">
        <v>0.5</v>
      </c>
      <c r="CX10" s="50">
        <f t="shared" si="0"/>
        <v>6.8407999999999997E-2</v>
      </c>
      <c r="CY10">
        <v>9</v>
      </c>
      <c r="CZ10">
        <v>34204</v>
      </c>
      <c r="DA10" s="58">
        <f t="shared" si="1"/>
        <v>3800</v>
      </c>
      <c r="DB10" s="50">
        <f t="shared" si="2"/>
        <v>0.17733857336914255</v>
      </c>
    </row>
    <row r="11" spans="1:106">
      <c r="A11" s="46">
        <v>1855</v>
      </c>
      <c r="CX11" s="50">
        <f t="shared" si="0"/>
        <v>7.6009999999999994E-2</v>
      </c>
      <c r="CY11">
        <v>10</v>
      </c>
      <c r="CZ11">
        <v>38005</v>
      </c>
      <c r="DA11" s="58">
        <f t="shared" si="1"/>
        <v>3801</v>
      </c>
      <c r="DB11" s="50">
        <f t="shared" si="2"/>
        <v>0.19704573970571462</v>
      </c>
    </row>
    <row r="12" spans="1:106">
      <c r="A12" s="46">
        <v>1860</v>
      </c>
      <c r="AC12" s="50">
        <v>0.05</v>
      </c>
      <c r="AO12" s="50">
        <v>0.05</v>
      </c>
      <c r="AV12" s="50">
        <v>0.05</v>
      </c>
      <c r="CX12" s="50">
        <f t="shared" si="0"/>
        <v>8.3610000000000004E-2</v>
      </c>
      <c r="CY12">
        <v>11</v>
      </c>
      <c r="CZ12">
        <v>41805</v>
      </c>
      <c r="DA12" s="58">
        <f t="shared" si="1"/>
        <v>3800</v>
      </c>
      <c r="DB12" s="50">
        <f t="shared" si="2"/>
        <v>0.21674772131028547</v>
      </c>
    </row>
    <row r="13" spans="1:106">
      <c r="A13" s="46">
        <v>1870</v>
      </c>
      <c r="B13" s="50">
        <f>0.05+0.01+0.01</f>
        <v>7.0000000000000007E-2</v>
      </c>
      <c r="D13" s="50">
        <v>0.05</v>
      </c>
      <c r="K13" s="50">
        <f>-0.01-0.01-0.01-0.01</f>
        <v>-0.04</v>
      </c>
      <c r="L13" s="50">
        <v>0.01</v>
      </c>
      <c r="M13" s="50">
        <f>0.1+0.05</f>
        <v>0.15000000000000002</v>
      </c>
      <c r="N13" s="50">
        <f>-0.01-0.01-0.01-0.01-0.01-0.01-0.1</f>
        <v>-0.16</v>
      </c>
      <c r="O13" s="52">
        <v>1E-4</v>
      </c>
      <c r="P13" s="50">
        <v>-0.2</v>
      </c>
      <c r="Q13" s="50">
        <f>0.2+0.05+0.2+0.05+0.05+0.05+0.2</f>
        <v>0.8</v>
      </c>
      <c r="R13" s="53">
        <v>1</v>
      </c>
      <c r="V13" s="50">
        <v>0.2</v>
      </c>
      <c r="W13" s="50">
        <v>0.2</v>
      </c>
      <c r="X13" s="50">
        <v>0.2</v>
      </c>
      <c r="Y13" s="50">
        <f>0.3+0.25+0.25+0.1+0.25</f>
        <v>1.1499999999999999</v>
      </c>
      <c r="Z13" s="50">
        <f>0.75+0.25</f>
        <v>1</v>
      </c>
      <c r="AA13" s="50">
        <v>0.2</v>
      </c>
      <c r="AB13" s="50">
        <f>0.75+0.25</f>
        <v>1</v>
      </c>
      <c r="AD13" s="50">
        <f>0.25+0.3+0.1</f>
        <v>0.65</v>
      </c>
      <c r="AE13" s="50">
        <f>0.75+0.25</f>
        <v>1</v>
      </c>
      <c r="AH13" s="50">
        <f>0.1+0.25</f>
        <v>0.35</v>
      </c>
      <c r="AP13" s="50">
        <v>0.03</v>
      </c>
      <c r="AR13" s="50">
        <v>0.05</v>
      </c>
      <c r="AS13" s="50">
        <v>0.05</v>
      </c>
      <c r="AT13" s="50">
        <v>0.05</v>
      </c>
      <c r="AY13" s="50">
        <f>0.2+0.2</f>
        <v>0.4</v>
      </c>
      <c r="AZ13" s="50">
        <v>0.15</v>
      </c>
      <c r="BA13" s="50">
        <v>0.2</v>
      </c>
      <c r="BD13" s="50">
        <f>0.1+0.5+0.25</f>
        <v>0.85</v>
      </c>
      <c r="BE13" s="50">
        <f>0.1+0.2</f>
        <v>0.30000000000000004</v>
      </c>
      <c r="BF13" s="50">
        <f>0.1+0.1+0.2+0.1</f>
        <v>0.5</v>
      </c>
      <c r="BH13" s="50">
        <v>0.02</v>
      </c>
      <c r="BI13" s="50">
        <v>0.05</v>
      </c>
      <c r="BO13" s="50">
        <v>0.03</v>
      </c>
      <c r="BP13" s="50">
        <v>0.03</v>
      </c>
      <c r="BR13" s="50">
        <v>0.03</v>
      </c>
      <c r="BS13" s="50">
        <v>0.03</v>
      </c>
      <c r="BT13" s="50">
        <v>7.0000000000000007E-2</v>
      </c>
      <c r="BV13" s="50">
        <v>0.03</v>
      </c>
      <c r="BX13" s="50">
        <f>0.1+0.2+0.1</f>
        <v>0.4</v>
      </c>
      <c r="BY13" s="50">
        <f>0.05+0.05</f>
        <v>0.1</v>
      </c>
      <c r="BZ13" s="50">
        <v>0.2</v>
      </c>
      <c r="CA13" s="50">
        <v>0.2</v>
      </c>
      <c r="CX13" s="50">
        <f t="shared" si="0"/>
        <v>9.1212000000000001E-2</v>
      </c>
      <c r="CY13">
        <v>12</v>
      </c>
      <c r="CZ13">
        <v>45606</v>
      </c>
      <c r="DA13" s="58">
        <f t="shared" si="1"/>
        <v>3801</v>
      </c>
      <c r="DB13" s="50">
        <f t="shared" si="2"/>
        <v>0.23645488764685754</v>
      </c>
    </row>
    <row r="14" spans="1:106">
      <c r="A14" s="46">
        <v>1872</v>
      </c>
      <c r="CX14" s="50">
        <f t="shared" si="0"/>
        <v>9.8808000000000007E-2</v>
      </c>
      <c r="CY14">
        <v>13</v>
      </c>
      <c r="CZ14">
        <v>49404</v>
      </c>
      <c r="DA14" s="58">
        <f t="shared" si="1"/>
        <v>3798</v>
      </c>
      <c r="DB14" s="50">
        <f t="shared" si="2"/>
        <v>0.25614649978742599</v>
      </c>
    </row>
    <row r="15" spans="1:106">
      <c r="A15" s="46">
        <v>1875</v>
      </c>
      <c r="CX15" s="50">
        <f t="shared" si="0"/>
        <v>0.10641399999999999</v>
      </c>
      <c r="CY15">
        <v>14</v>
      </c>
      <c r="CZ15">
        <v>53207</v>
      </c>
      <c r="DA15" s="58">
        <f t="shared" si="1"/>
        <v>3803</v>
      </c>
      <c r="DB15" s="50">
        <f t="shared" si="2"/>
        <v>0.27586403558800043</v>
      </c>
    </row>
    <row r="16" spans="1:106">
      <c r="A16" s="46">
        <v>1880</v>
      </c>
      <c r="G16" s="50">
        <v>0.15</v>
      </c>
      <c r="H16" s="50">
        <f>0.15+0.3</f>
        <v>0.44999999999999996</v>
      </c>
      <c r="Q16" s="50">
        <v>0.05</v>
      </c>
      <c r="AF16" s="50">
        <v>0.15</v>
      </c>
      <c r="AH16" s="50">
        <v>0.3</v>
      </c>
      <c r="AL16" s="50">
        <v>0.15</v>
      </c>
      <c r="AM16" s="50">
        <f>0.01+0.02</f>
        <v>0.03</v>
      </c>
      <c r="AY16" s="50">
        <v>0.2</v>
      </c>
      <c r="BF16" s="50">
        <v>0.3</v>
      </c>
      <c r="BR16" s="50">
        <v>0.1</v>
      </c>
      <c r="CX16" s="50">
        <f t="shared" si="0"/>
        <v>0.114014</v>
      </c>
      <c r="CY16">
        <v>15</v>
      </c>
      <c r="CZ16">
        <v>57007</v>
      </c>
      <c r="DA16" s="58">
        <f t="shared" si="1"/>
        <v>3800</v>
      </c>
      <c r="DB16" s="50">
        <f t="shared" si="2"/>
        <v>0.29556601719257131</v>
      </c>
    </row>
    <row r="17" spans="1:106">
      <c r="A17" s="46">
        <v>1890</v>
      </c>
      <c r="Y17" s="50">
        <v>0.35</v>
      </c>
      <c r="AA17" s="50">
        <v>0.2</v>
      </c>
      <c r="AD17" s="50">
        <v>0.2</v>
      </c>
      <c r="AK17" s="50">
        <f>0.02+0.02</f>
        <v>0.04</v>
      </c>
      <c r="BD17" s="50">
        <v>0.25</v>
      </c>
      <c r="BZ17" s="50">
        <v>0.05</v>
      </c>
      <c r="CA17" s="50">
        <v>0.05</v>
      </c>
      <c r="CX17" s="50">
        <f t="shared" si="0"/>
        <v>0.121616</v>
      </c>
      <c r="CY17">
        <v>16</v>
      </c>
      <c r="CZ17">
        <v>60808</v>
      </c>
      <c r="DA17" s="58">
        <f t="shared" si="1"/>
        <v>3801</v>
      </c>
      <c r="DB17" s="50">
        <f t="shared" si="2"/>
        <v>0.31527318352914335</v>
      </c>
    </row>
    <row r="18" spans="1:106">
      <c r="A18" s="46">
        <v>1895</v>
      </c>
      <c r="CX18" s="50">
        <f t="shared" si="0"/>
        <v>0.129216</v>
      </c>
      <c r="CY18">
        <v>17</v>
      </c>
      <c r="CZ18">
        <v>64608</v>
      </c>
      <c r="DA18" s="58">
        <f t="shared" si="1"/>
        <v>3800</v>
      </c>
      <c r="DB18" s="50">
        <f t="shared" si="2"/>
        <v>0.33497516513371423</v>
      </c>
    </row>
    <row r="19" spans="1:106">
      <c r="A19" s="46">
        <v>1898</v>
      </c>
      <c r="R19" s="53">
        <v>1</v>
      </c>
      <c r="AF19" s="50">
        <v>0.15</v>
      </c>
      <c r="CX19" s="50">
        <f t="shared" si="0"/>
        <v>0.13681599999999999</v>
      </c>
      <c r="CY19">
        <v>18</v>
      </c>
      <c r="CZ19">
        <v>68408</v>
      </c>
      <c r="DA19" s="58">
        <f t="shared" si="1"/>
        <v>3800</v>
      </c>
      <c r="DB19" s="50">
        <f t="shared" si="2"/>
        <v>0.3546771467382851</v>
      </c>
    </row>
    <row r="20" spans="1:106">
      <c r="A20" s="46">
        <v>1900</v>
      </c>
      <c r="B20" s="50">
        <v>0.05</v>
      </c>
      <c r="D20" s="50">
        <f>0.05+0.05</f>
        <v>0.1</v>
      </c>
      <c r="E20" s="60">
        <f>0.05+0.05+0.05</f>
        <v>0.15000000000000002</v>
      </c>
      <c r="G20" s="50">
        <f>0.15+0.5</f>
        <v>0.65</v>
      </c>
      <c r="H20" s="50">
        <f>0.15</f>
        <v>0.15</v>
      </c>
      <c r="K20" s="50">
        <v>-0.01</v>
      </c>
      <c r="L20" s="50">
        <v>0.03</v>
      </c>
      <c r="M20" s="50">
        <f>0.1+0.05+0.02+0.02+0.1</f>
        <v>0.29000000000000004</v>
      </c>
      <c r="N20" s="50">
        <f>0.1-0.01</f>
        <v>9.0000000000000011E-2</v>
      </c>
      <c r="Q20" s="50">
        <f>0.35+0.3+0.2</f>
        <v>0.84999999999999987</v>
      </c>
      <c r="U20" s="54">
        <f>-0.005-0.005-0.005</f>
        <v>-1.4999999999999999E-2</v>
      </c>
      <c r="AF20" s="50">
        <v>0.15</v>
      </c>
      <c r="AH20" s="50">
        <f>0.1+0.4</f>
        <v>0.5</v>
      </c>
      <c r="AN20" s="50">
        <v>0.05</v>
      </c>
      <c r="AQ20" s="50">
        <v>0.1</v>
      </c>
      <c r="AS20" s="50">
        <f>0.05+0.05</f>
        <v>0.1</v>
      </c>
      <c r="AW20" s="50">
        <v>0.03</v>
      </c>
      <c r="AZ20" s="50">
        <v>0.3</v>
      </c>
      <c r="BD20" s="50">
        <f>0.1+0.25</f>
        <v>0.35</v>
      </c>
      <c r="BE20" s="50">
        <f>0.1+0.3+0.2</f>
        <v>0.60000000000000009</v>
      </c>
      <c r="BF20" s="50">
        <f>0.1+0.1+0.1+0.1</f>
        <v>0.4</v>
      </c>
      <c r="BL20" s="50">
        <v>1</v>
      </c>
      <c r="BO20" s="50">
        <v>0.03</v>
      </c>
      <c r="BQ20" s="50">
        <v>0.03</v>
      </c>
      <c r="BX20" s="50">
        <f>0.1+0.2+0.1</f>
        <v>0.4</v>
      </c>
      <c r="BY20" s="50">
        <f>0.05+0.05</f>
        <v>0.1</v>
      </c>
      <c r="CB20" s="50">
        <v>0.3</v>
      </c>
      <c r="CX20" s="50">
        <f t="shared" si="0"/>
        <v>0.14441799999999999</v>
      </c>
      <c r="CY20">
        <v>19</v>
      </c>
      <c r="CZ20">
        <v>72209</v>
      </c>
      <c r="DA20" s="58">
        <f t="shared" si="1"/>
        <v>3801</v>
      </c>
      <c r="DB20" s="50">
        <f t="shared" si="2"/>
        <v>0.37438431307485714</v>
      </c>
    </row>
    <row r="21" spans="1:106">
      <c r="A21" s="46">
        <v>1905</v>
      </c>
      <c r="O21" s="52">
        <v>1E-4</v>
      </c>
      <c r="Y21" s="50">
        <f>0.4+0.4+0.5</f>
        <v>1.3</v>
      </c>
      <c r="AA21" s="50">
        <f>0.25+0.3</f>
        <v>0.55000000000000004</v>
      </c>
      <c r="AD21" s="50">
        <f>0.25+0.3+0.5</f>
        <v>1.05</v>
      </c>
      <c r="AK21" s="50">
        <v>0.05</v>
      </c>
      <c r="CX21" s="50">
        <f t="shared" si="0"/>
        <v>0.15201799999999999</v>
      </c>
      <c r="CY21">
        <v>20</v>
      </c>
      <c r="CZ21">
        <v>76009</v>
      </c>
      <c r="DA21" s="58">
        <f t="shared" si="1"/>
        <v>3800</v>
      </c>
      <c r="DB21" s="50">
        <f t="shared" si="2"/>
        <v>0.39408629467942802</v>
      </c>
    </row>
    <row r="22" spans="1:106">
      <c r="A22" s="46">
        <v>1910</v>
      </c>
      <c r="O22" s="52">
        <v>1E-4</v>
      </c>
      <c r="CX22" s="50">
        <f t="shared" si="0"/>
        <v>0.15960199999999999</v>
      </c>
      <c r="CY22">
        <v>21</v>
      </c>
      <c r="CZ22">
        <v>79801</v>
      </c>
      <c r="DA22" s="58">
        <f t="shared" si="1"/>
        <v>3792</v>
      </c>
      <c r="DB22" s="50">
        <f t="shared" si="2"/>
        <v>0.41374679842798928</v>
      </c>
    </row>
    <row r="23" spans="1:106">
      <c r="A23" s="46">
        <v>1914</v>
      </c>
      <c r="Q23" s="50">
        <v>0.2</v>
      </c>
      <c r="CX23" s="50">
        <f t="shared" si="0"/>
        <v>0.16720199999999999</v>
      </c>
      <c r="CY23">
        <v>22</v>
      </c>
      <c r="CZ23">
        <v>83601</v>
      </c>
      <c r="DA23" s="58">
        <f t="shared" si="1"/>
        <v>3800</v>
      </c>
      <c r="DB23" s="50">
        <f t="shared" si="2"/>
        <v>0.4334487800325601</v>
      </c>
    </row>
    <row r="24" spans="1:106">
      <c r="A24" s="46">
        <v>1915</v>
      </c>
      <c r="R24" s="53">
        <v>1</v>
      </c>
      <c r="CX24" s="50">
        <f t="shared" si="0"/>
        <v>0.17482200000000001</v>
      </c>
      <c r="CY24">
        <v>23</v>
      </c>
      <c r="CZ24">
        <v>87411</v>
      </c>
      <c r="DA24" s="58">
        <f t="shared" si="1"/>
        <v>3810</v>
      </c>
      <c r="DB24" s="50">
        <f t="shared" si="2"/>
        <v>0.45320260895714298</v>
      </c>
    </row>
    <row r="25" spans="1:106">
      <c r="A25" s="46">
        <v>1919</v>
      </c>
      <c r="B25" s="50">
        <v>0.05</v>
      </c>
      <c r="N25" s="50">
        <v>-0.01</v>
      </c>
      <c r="Q25" s="50">
        <f>0.2-0.3-0.3+0.2</f>
        <v>-0.19999999999999996</v>
      </c>
      <c r="CX25" s="50">
        <f t="shared" si="0"/>
        <v>0.182422</v>
      </c>
      <c r="CY25">
        <v>24</v>
      </c>
      <c r="CZ25">
        <v>91211</v>
      </c>
      <c r="DA25" s="58">
        <f t="shared" si="1"/>
        <v>3800</v>
      </c>
      <c r="DB25" s="50">
        <f t="shared" si="2"/>
        <v>0.47290459056171386</v>
      </c>
    </row>
    <row r="26" spans="1:106">
      <c r="CX26" s="50">
        <f t="shared" si="0"/>
        <v>0.190024</v>
      </c>
      <c r="CY26">
        <v>25</v>
      </c>
      <c r="CZ26">
        <v>95012</v>
      </c>
      <c r="DA26" s="58">
        <f t="shared" si="1"/>
        <v>3801</v>
      </c>
      <c r="DB26" s="50">
        <f t="shared" si="2"/>
        <v>0.4926117568982859</v>
      </c>
    </row>
    <row r="27" spans="1:106">
      <c r="CX27" s="50">
        <f t="shared" si="0"/>
        <v>0.19762399999999999</v>
      </c>
      <c r="CY27">
        <v>26</v>
      </c>
      <c r="CZ27">
        <v>98812</v>
      </c>
      <c r="DA27" s="58">
        <f t="shared" si="1"/>
        <v>3800</v>
      </c>
      <c r="DB27" s="50">
        <f t="shared" si="2"/>
        <v>0.51231373850285677</v>
      </c>
    </row>
    <row r="28" spans="1:106">
      <c r="A28" s="46" t="s">
        <v>0</v>
      </c>
      <c r="B28" s="46" t="s">
        <v>104</v>
      </c>
      <c r="C28" s="46" t="s">
        <v>215</v>
      </c>
      <c r="D28" s="46" t="s">
        <v>103</v>
      </c>
      <c r="E28" s="46" t="s">
        <v>216</v>
      </c>
      <c r="F28" s="46" t="s">
        <v>217</v>
      </c>
      <c r="G28" s="46" t="s">
        <v>143</v>
      </c>
      <c r="H28" s="46" t="s">
        <v>142</v>
      </c>
      <c r="I28" s="61" t="s">
        <v>218</v>
      </c>
      <c r="J28" s="61" t="s">
        <v>219</v>
      </c>
      <c r="K28" s="46" t="s">
        <v>220</v>
      </c>
      <c r="L28" s="46" t="s">
        <v>221</v>
      </c>
      <c r="M28" s="46" t="s">
        <v>222</v>
      </c>
      <c r="N28" s="46" t="s">
        <v>223</v>
      </c>
      <c r="O28" s="46" t="s">
        <v>85</v>
      </c>
      <c r="P28" s="46" t="s">
        <v>224</v>
      </c>
      <c r="Q28" s="46" t="s">
        <v>225</v>
      </c>
      <c r="R28" s="46" t="s">
        <v>146</v>
      </c>
      <c r="S28" s="46" t="s">
        <v>226</v>
      </c>
      <c r="T28" s="46" t="s">
        <v>227</v>
      </c>
      <c r="U28" s="46" t="s">
        <v>228</v>
      </c>
      <c r="V28" s="55" t="s">
        <v>229</v>
      </c>
      <c r="W28" s="55" t="s">
        <v>230</v>
      </c>
      <c r="X28" s="55" t="s">
        <v>231</v>
      </c>
      <c r="Y28" s="55" t="s">
        <v>232</v>
      </c>
      <c r="Z28" s="55" t="s">
        <v>233</v>
      </c>
      <c r="AA28" s="55" t="s">
        <v>234</v>
      </c>
      <c r="AB28" s="55" t="s">
        <v>235</v>
      </c>
      <c r="AC28" s="55" t="s">
        <v>236</v>
      </c>
      <c r="AD28" s="55" t="s">
        <v>237</v>
      </c>
      <c r="AE28" s="55" t="s">
        <v>238</v>
      </c>
      <c r="AF28" s="55" t="s">
        <v>239</v>
      </c>
      <c r="AG28" s="55" t="s">
        <v>240</v>
      </c>
      <c r="AH28" s="55" t="s">
        <v>241</v>
      </c>
      <c r="AI28" s="55" t="s">
        <v>242</v>
      </c>
      <c r="AJ28" s="55" t="s">
        <v>243</v>
      </c>
      <c r="AK28" s="55" t="s">
        <v>244</v>
      </c>
      <c r="AL28" s="55" t="s">
        <v>245</v>
      </c>
      <c r="AM28" s="55" t="s">
        <v>246</v>
      </c>
      <c r="AN28" s="55" t="s">
        <v>247</v>
      </c>
      <c r="AO28" s="55" t="s">
        <v>248</v>
      </c>
      <c r="AP28" s="55" t="s">
        <v>249</v>
      </c>
      <c r="AQ28" s="55" t="s">
        <v>250</v>
      </c>
      <c r="AR28" s="55" t="s">
        <v>251</v>
      </c>
      <c r="AS28" s="55" t="s">
        <v>252</v>
      </c>
      <c r="AT28" s="55" t="s">
        <v>253</v>
      </c>
      <c r="AU28" s="55" t="s">
        <v>254</v>
      </c>
      <c r="AV28" s="55" t="s">
        <v>255</v>
      </c>
      <c r="AW28" s="55" t="s">
        <v>256</v>
      </c>
      <c r="AX28" s="55" t="s">
        <v>257</v>
      </c>
      <c r="AY28" s="55" t="s">
        <v>258</v>
      </c>
      <c r="AZ28" s="55" t="s">
        <v>259</v>
      </c>
      <c r="BA28" s="55" t="s">
        <v>260</v>
      </c>
      <c r="BB28" s="55" t="s">
        <v>261</v>
      </c>
      <c r="BC28" s="55" t="s">
        <v>262</v>
      </c>
      <c r="BD28" s="55" t="s">
        <v>263</v>
      </c>
      <c r="BE28" s="55" t="s">
        <v>264</v>
      </c>
      <c r="BF28" s="55" t="s">
        <v>265</v>
      </c>
      <c r="BG28" s="55" t="s">
        <v>266</v>
      </c>
      <c r="BH28" s="55" t="s">
        <v>267</v>
      </c>
      <c r="BI28" s="55" t="s">
        <v>268</v>
      </c>
      <c r="BJ28" s="55" t="s">
        <v>269</v>
      </c>
      <c r="BK28" s="55" t="s">
        <v>270</v>
      </c>
      <c r="BL28" s="55" t="s">
        <v>271</v>
      </c>
      <c r="BM28" s="55" t="s">
        <v>272</v>
      </c>
      <c r="BN28" s="55" t="s">
        <v>273</v>
      </c>
      <c r="BO28" s="55" t="s">
        <v>274</v>
      </c>
      <c r="BP28" s="55" t="s">
        <v>275</v>
      </c>
      <c r="BQ28" s="55" t="s">
        <v>276</v>
      </c>
      <c r="BR28" s="55" t="s">
        <v>277</v>
      </c>
      <c r="BS28" s="55" t="s">
        <v>278</v>
      </c>
      <c r="BT28" s="55" t="s">
        <v>279</v>
      </c>
      <c r="BU28" s="55" t="s">
        <v>280</v>
      </c>
      <c r="BV28" s="55" t="s">
        <v>281</v>
      </c>
      <c r="BW28" s="55" t="s">
        <v>282</v>
      </c>
      <c r="BX28" s="55" t="s">
        <v>283</v>
      </c>
      <c r="BY28" s="55" t="s">
        <v>284</v>
      </c>
      <c r="BZ28" s="55" t="s">
        <v>285</v>
      </c>
      <c r="CA28" s="55" t="s">
        <v>286</v>
      </c>
      <c r="CB28" s="55" t="s">
        <v>287</v>
      </c>
      <c r="CC28" s="55" t="s">
        <v>288</v>
      </c>
      <c r="CD28" s="55" t="s">
        <v>289</v>
      </c>
      <c r="CE28" s="55" t="s">
        <v>290</v>
      </c>
      <c r="CX28" s="50">
        <f t="shared" si="0"/>
        <v>0.20522599999999999</v>
      </c>
      <c r="CY28">
        <v>27</v>
      </c>
      <c r="CZ28">
        <v>102613</v>
      </c>
      <c r="DA28" s="58">
        <f t="shared" si="1"/>
        <v>3801</v>
      </c>
      <c r="DB28" s="50">
        <f t="shared" si="2"/>
        <v>0.53202090483942888</v>
      </c>
    </row>
    <row r="29" spans="1:106">
      <c r="A29" s="46" t="s">
        <v>291</v>
      </c>
      <c r="B29" s="50">
        <f t="shared" ref="B29:AG29" si="3">SUM(B2)</f>
        <v>0.2</v>
      </c>
      <c r="C29" s="50">
        <f t="shared" si="3"/>
        <v>0.1</v>
      </c>
      <c r="D29" s="50">
        <f t="shared" si="3"/>
        <v>0.2</v>
      </c>
      <c r="E29" s="50">
        <f t="shared" si="3"/>
        <v>1</v>
      </c>
      <c r="F29" s="50">
        <f t="shared" si="3"/>
        <v>1</v>
      </c>
      <c r="G29" s="50">
        <f t="shared" si="3"/>
        <v>1</v>
      </c>
      <c r="H29" s="50">
        <f t="shared" si="3"/>
        <v>1</v>
      </c>
      <c r="I29" s="52">
        <f t="shared" si="3"/>
        <v>1</v>
      </c>
      <c r="J29" s="52">
        <f t="shared" si="3"/>
        <v>1</v>
      </c>
      <c r="K29" s="50">
        <f t="shared" si="3"/>
        <v>1</v>
      </c>
      <c r="L29" s="50">
        <f t="shared" si="3"/>
        <v>1</v>
      </c>
      <c r="M29" s="50">
        <f t="shared" si="3"/>
        <v>1</v>
      </c>
      <c r="N29" s="50">
        <f t="shared" si="3"/>
        <v>1</v>
      </c>
      <c r="O29" s="52">
        <f t="shared" si="3"/>
        <v>1E-4</v>
      </c>
      <c r="P29" s="50">
        <f t="shared" si="3"/>
        <v>1</v>
      </c>
      <c r="Q29" s="50">
        <f t="shared" si="3"/>
        <v>1</v>
      </c>
      <c r="R29" s="56">
        <f t="shared" si="3"/>
        <v>0</v>
      </c>
      <c r="S29" s="56">
        <f t="shared" si="3"/>
        <v>0</v>
      </c>
      <c r="T29" s="50">
        <f t="shared" si="3"/>
        <v>1</v>
      </c>
      <c r="U29" s="54">
        <f t="shared" si="3"/>
        <v>1</v>
      </c>
      <c r="V29" s="50">
        <f t="shared" si="3"/>
        <v>1</v>
      </c>
      <c r="W29" s="50">
        <f t="shared" si="3"/>
        <v>1</v>
      </c>
      <c r="X29" s="50">
        <f t="shared" si="3"/>
        <v>1</v>
      </c>
      <c r="Y29" s="50">
        <f t="shared" si="3"/>
        <v>1</v>
      </c>
      <c r="Z29" s="50">
        <f t="shared" si="3"/>
        <v>1</v>
      </c>
      <c r="AA29" s="50">
        <f t="shared" si="3"/>
        <v>1</v>
      </c>
      <c r="AB29" s="50">
        <f t="shared" si="3"/>
        <v>1</v>
      </c>
      <c r="AC29" s="50">
        <f t="shared" si="3"/>
        <v>1</v>
      </c>
      <c r="AD29" s="50">
        <f t="shared" si="3"/>
        <v>1</v>
      </c>
      <c r="AE29" s="50">
        <f t="shared" si="3"/>
        <v>1</v>
      </c>
      <c r="AF29" s="50">
        <f t="shared" si="3"/>
        <v>1</v>
      </c>
      <c r="AG29" s="50">
        <f t="shared" si="3"/>
        <v>1</v>
      </c>
      <c r="AH29" s="50">
        <f t="shared" ref="AH29:BM29" si="4">SUM(AH2)</f>
        <v>1</v>
      </c>
      <c r="AI29" s="50">
        <f t="shared" si="4"/>
        <v>1</v>
      </c>
      <c r="AJ29" s="50">
        <f t="shared" si="4"/>
        <v>1</v>
      </c>
      <c r="AK29" s="50">
        <f t="shared" si="4"/>
        <v>1</v>
      </c>
      <c r="AL29" s="50">
        <f t="shared" si="4"/>
        <v>1</v>
      </c>
      <c r="AM29" s="50">
        <f t="shared" si="4"/>
        <v>1</v>
      </c>
      <c r="AN29" s="50">
        <f t="shared" si="4"/>
        <v>1</v>
      </c>
      <c r="AO29" s="50">
        <f t="shared" si="4"/>
        <v>1</v>
      </c>
      <c r="AP29" s="50">
        <f t="shared" si="4"/>
        <v>1</v>
      </c>
      <c r="AQ29" s="50">
        <f t="shared" si="4"/>
        <v>1</v>
      </c>
      <c r="AR29" s="50">
        <f t="shared" si="4"/>
        <v>1</v>
      </c>
      <c r="AS29" s="50">
        <f t="shared" si="4"/>
        <v>1</v>
      </c>
      <c r="AT29" s="50">
        <f t="shared" si="4"/>
        <v>1</v>
      </c>
      <c r="AU29" s="50">
        <f t="shared" si="4"/>
        <v>1</v>
      </c>
      <c r="AV29" s="50">
        <f t="shared" si="4"/>
        <v>1</v>
      </c>
      <c r="AW29" s="50">
        <f t="shared" si="4"/>
        <v>1</v>
      </c>
      <c r="AX29" s="50">
        <f t="shared" si="4"/>
        <v>1</v>
      </c>
      <c r="AY29" s="50">
        <f t="shared" si="4"/>
        <v>1</v>
      </c>
      <c r="AZ29" s="50">
        <f t="shared" si="4"/>
        <v>1</v>
      </c>
      <c r="BA29" s="50">
        <f t="shared" si="4"/>
        <v>1</v>
      </c>
      <c r="BB29" s="50">
        <f t="shared" si="4"/>
        <v>1</v>
      </c>
      <c r="BC29" s="50">
        <f t="shared" si="4"/>
        <v>1</v>
      </c>
      <c r="BD29" s="50">
        <f t="shared" si="4"/>
        <v>1</v>
      </c>
      <c r="BE29" s="50">
        <f t="shared" si="4"/>
        <v>1</v>
      </c>
      <c r="BF29" s="50">
        <f t="shared" si="4"/>
        <v>1</v>
      </c>
      <c r="BG29" s="50">
        <f t="shared" si="4"/>
        <v>1</v>
      </c>
      <c r="BH29" s="50">
        <f t="shared" si="4"/>
        <v>1</v>
      </c>
      <c r="BI29" s="50">
        <f t="shared" si="4"/>
        <v>1</v>
      </c>
      <c r="BJ29" s="50">
        <f t="shared" si="4"/>
        <v>1</v>
      </c>
      <c r="BK29" s="50">
        <f t="shared" si="4"/>
        <v>1</v>
      </c>
      <c r="BL29" s="50">
        <f t="shared" si="4"/>
        <v>1</v>
      </c>
      <c r="BM29" s="50">
        <f t="shared" si="4"/>
        <v>1</v>
      </c>
      <c r="BN29" s="50">
        <f t="shared" ref="BN29:CE29" si="5">SUM(BN2)</f>
        <v>1</v>
      </c>
      <c r="BO29" s="50">
        <f t="shared" si="5"/>
        <v>1</v>
      </c>
      <c r="BP29" s="50">
        <f t="shared" si="5"/>
        <v>1</v>
      </c>
      <c r="BQ29" s="50">
        <f t="shared" si="5"/>
        <v>1</v>
      </c>
      <c r="BR29" s="50">
        <f t="shared" si="5"/>
        <v>1</v>
      </c>
      <c r="BS29" s="50">
        <f t="shared" si="5"/>
        <v>1</v>
      </c>
      <c r="BT29" s="50">
        <f t="shared" si="5"/>
        <v>1</v>
      </c>
      <c r="BU29" s="50">
        <f t="shared" si="5"/>
        <v>1</v>
      </c>
      <c r="BV29" s="50">
        <f t="shared" si="5"/>
        <v>1</v>
      </c>
      <c r="BW29" s="50">
        <f t="shared" si="5"/>
        <v>1</v>
      </c>
      <c r="BX29" s="50">
        <f t="shared" si="5"/>
        <v>1</v>
      </c>
      <c r="BY29" s="50">
        <f t="shared" si="5"/>
        <v>1</v>
      </c>
      <c r="BZ29" s="50">
        <f t="shared" si="5"/>
        <v>1</v>
      </c>
      <c r="CA29" s="50">
        <f t="shared" si="5"/>
        <v>1</v>
      </c>
      <c r="CB29" s="50">
        <f t="shared" si="5"/>
        <v>1</v>
      </c>
      <c r="CC29" s="50">
        <f t="shared" si="5"/>
        <v>1</v>
      </c>
      <c r="CD29" s="50">
        <f t="shared" si="5"/>
        <v>1</v>
      </c>
      <c r="CE29" s="50">
        <f t="shared" si="5"/>
        <v>1</v>
      </c>
      <c r="CX29" s="50">
        <f t="shared" si="0"/>
        <v>0.21282599999999999</v>
      </c>
      <c r="CY29">
        <v>28</v>
      </c>
      <c r="CZ29">
        <v>106413</v>
      </c>
      <c r="DA29" s="58">
        <f t="shared" si="1"/>
        <v>3800</v>
      </c>
      <c r="DB29" s="50">
        <f t="shared" si="2"/>
        <v>0.55172288644399969</v>
      </c>
    </row>
    <row r="30" spans="1:106">
      <c r="A30" s="46" t="s">
        <v>292</v>
      </c>
      <c r="B30" s="50">
        <f t="shared" ref="B30:AG30" si="6">SUM(B2:B3)</f>
        <v>0.2</v>
      </c>
      <c r="C30" s="50">
        <f t="shared" si="6"/>
        <v>0.1</v>
      </c>
      <c r="D30" s="50">
        <f t="shared" si="6"/>
        <v>0.2</v>
      </c>
      <c r="E30" s="50">
        <f t="shared" si="6"/>
        <v>1</v>
      </c>
      <c r="F30" s="50">
        <f t="shared" si="6"/>
        <v>1</v>
      </c>
      <c r="G30" s="50">
        <f t="shared" si="6"/>
        <v>1</v>
      </c>
      <c r="H30" s="50">
        <f t="shared" si="6"/>
        <v>1</v>
      </c>
      <c r="I30" s="52">
        <f t="shared" si="6"/>
        <v>1.25</v>
      </c>
      <c r="J30" s="52">
        <f t="shared" si="6"/>
        <v>1.25</v>
      </c>
      <c r="K30" s="50">
        <f t="shared" si="6"/>
        <v>1</v>
      </c>
      <c r="L30" s="50">
        <f t="shared" si="6"/>
        <v>1</v>
      </c>
      <c r="M30" s="50">
        <f t="shared" si="6"/>
        <v>1</v>
      </c>
      <c r="N30" s="50">
        <f t="shared" si="6"/>
        <v>1</v>
      </c>
      <c r="O30" s="52">
        <f t="shared" si="6"/>
        <v>1E-4</v>
      </c>
      <c r="P30" s="50">
        <f t="shared" si="6"/>
        <v>1</v>
      </c>
      <c r="Q30" s="50">
        <f t="shared" si="6"/>
        <v>0.65</v>
      </c>
      <c r="R30" s="56">
        <f t="shared" si="6"/>
        <v>0</v>
      </c>
      <c r="S30" s="56">
        <f t="shared" si="6"/>
        <v>0</v>
      </c>
      <c r="T30" s="50">
        <f t="shared" si="6"/>
        <v>0</v>
      </c>
      <c r="U30" s="54">
        <f t="shared" si="6"/>
        <v>1</v>
      </c>
      <c r="V30" s="50">
        <f t="shared" si="6"/>
        <v>1</v>
      </c>
      <c r="W30" s="50">
        <f t="shared" si="6"/>
        <v>1</v>
      </c>
      <c r="X30" s="50">
        <f t="shared" si="6"/>
        <v>1</v>
      </c>
      <c r="Y30" s="50">
        <f t="shared" si="6"/>
        <v>1</v>
      </c>
      <c r="Z30" s="50">
        <f t="shared" si="6"/>
        <v>1</v>
      </c>
      <c r="AA30" s="50">
        <f t="shared" si="6"/>
        <v>1</v>
      </c>
      <c r="AB30" s="50">
        <f t="shared" si="6"/>
        <v>1</v>
      </c>
      <c r="AC30" s="50">
        <f t="shared" si="6"/>
        <v>1</v>
      </c>
      <c r="AD30" s="50">
        <f t="shared" si="6"/>
        <v>1</v>
      </c>
      <c r="AE30" s="50">
        <f t="shared" si="6"/>
        <v>1</v>
      </c>
      <c r="AF30" s="50">
        <f t="shared" si="6"/>
        <v>1</v>
      </c>
      <c r="AG30" s="50">
        <f t="shared" si="6"/>
        <v>1</v>
      </c>
      <c r="AH30" s="50">
        <f t="shared" ref="AH30:BM30" si="7">SUM(AH2:AH3)</f>
        <v>1</v>
      </c>
      <c r="AI30" s="50">
        <f t="shared" si="7"/>
        <v>1</v>
      </c>
      <c r="AJ30" s="50">
        <f t="shared" si="7"/>
        <v>1</v>
      </c>
      <c r="AK30" s="50">
        <f t="shared" si="7"/>
        <v>1</v>
      </c>
      <c r="AL30" s="50">
        <f t="shared" si="7"/>
        <v>1</v>
      </c>
      <c r="AM30" s="50">
        <f t="shared" si="7"/>
        <v>1</v>
      </c>
      <c r="AN30" s="50">
        <f t="shared" si="7"/>
        <v>1</v>
      </c>
      <c r="AO30" s="50">
        <f t="shared" si="7"/>
        <v>1</v>
      </c>
      <c r="AP30" s="50">
        <f t="shared" si="7"/>
        <v>1</v>
      </c>
      <c r="AQ30" s="50">
        <f t="shared" si="7"/>
        <v>1</v>
      </c>
      <c r="AR30" s="50">
        <f t="shared" si="7"/>
        <v>1</v>
      </c>
      <c r="AS30" s="50">
        <f t="shared" si="7"/>
        <v>1</v>
      </c>
      <c r="AT30" s="50">
        <f t="shared" si="7"/>
        <v>1</v>
      </c>
      <c r="AU30" s="50">
        <f t="shared" si="7"/>
        <v>1</v>
      </c>
      <c r="AV30" s="50">
        <f t="shared" si="7"/>
        <v>1</v>
      </c>
      <c r="AW30" s="50">
        <f t="shared" si="7"/>
        <v>1</v>
      </c>
      <c r="AX30" s="50">
        <f t="shared" si="7"/>
        <v>1</v>
      </c>
      <c r="AY30" s="50">
        <f t="shared" si="7"/>
        <v>1</v>
      </c>
      <c r="AZ30" s="50">
        <f t="shared" si="7"/>
        <v>1</v>
      </c>
      <c r="BA30" s="50">
        <f t="shared" si="7"/>
        <v>1</v>
      </c>
      <c r="BB30" s="50">
        <f t="shared" si="7"/>
        <v>1</v>
      </c>
      <c r="BC30" s="50">
        <f t="shared" si="7"/>
        <v>1</v>
      </c>
      <c r="BD30" s="50">
        <f t="shared" si="7"/>
        <v>1</v>
      </c>
      <c r="BE30" s="50">
        <f t="shared" si="7"/>
        <v>1</v>
      </c>
      <c r="BF30" s="50">
        <f t="shared" si="7"/>
        <v>1</v>
      </c>
      <c r="BG30" s="50">
        <f t="shared" si="7"/>
        <v>1</v>
      </c>
      <c r="BH30" s="50">
        <f t="shared" si="7"/>
        <v>1</v>
      </c>
      <c r="BI30" s="50">
        <f t="shared" si="7"/>
        <v>1</v>
      </c>
      <c r="BJ30" s="50">
        <f t="shared" si="7"/>
        <v>1</v>
      </c>
      <c r="BK30" s="50">
        <f t="shared" si="7"/>
        <v>1</v>
      </c>
      <c r="BL30" s="50">
        <f t="shared" si="7"/>
        <v>1</v>
      </c>
      <c r="BM30" s="50">
        <f t="shared" si="7"/>
        <v>1</v>
      </c>
      <c r="BN30" s="50">
        <f t="shared" ref="BN30:CE30" si="8">SUM(BN2:BN3)</f>
        <v>1</v>
      </c>
      <c r="BO30" s="50">
        <f t="shared" si="8"/>
        <v>1</v>
      </c>
      <c r="BP30" s="50">
        <f t="shared" si="8"/>
        <v>1</v>
      </c>
      <c r="BQ30" s="50">
        <f t="shared" si="8"/>
        <v>1</v>
      </c>
      <c r="BR30" s="50">
        <f t="shared" si="8"/>
        <v>1</v>
      </c>
      <c r="BS30" s="50">
        <f t="shared" si="8"/>
        <v>1</v>
      </c>
      <c r="BT30" s="50">
        <f t="shared" si="8"/>
        <v>1</v>
      </c>
      <c r="BU30" s="50">
        <f t="shared" si="8"/>
        <v>1</v>
      </c>
      <c r="BV30" s="50">
        <f t="shared" si="8"/>
        <v>1</v>
      </c>
      <c r="BW30" s="50">
        <f t="shared" si="8"/>
        <v>1</v>
      </c>
      <c r="BX30" s="50">
        <f t="shared" si="8"/>
        <v>1</v>
      </c>
      <c r="BY30" s="50">
        <f t="shared" si="8"/>
        <v>1</v>
      </c>
      <c r="BZ30" s="50">
        <f t="shared" si="8"/>
        <v>1</v>
      </c>
      <c r="CA30" s="50">
        <f t="shared" si="8"/>
        <v>1</v>
      </c>
      <c r="CB30" s="50">
        <f t="shared" si="8"/>
        <v>1</v>
      </c>
      <c r="CC30" s="50">
        <f t="shared" si="8"/>
        <v>1</v>
      </c>
      <c r="CD30" s="50">
        <f t="shared" si="8"/>
        <v>1</v>
      </c>
      <c r="CE30" s="50">
        <f t="shared" si="8"/>
        <v>1</v>
      </c>
      <c r="CX30" s="50">
        <f t="shared" si="0"/>
        <v>0.22042800000000001</v>
      </c>
      <c r="CY30">
        <v>29</v>
      </c>
      <c r="CZ30">
        <v>110214</v>
      </c>
      <c r="DA30" s="58">
        <f t="shared" si="1"/>
        <v>3801</v>
      </c>
      <c r="DB30" s="50">
        <f t="shared" si="2"/>
        <v>0.5714300527805718</v>
      </c>
    </row>
    <row r="31" spans="1:106">
      <c r="A31" s="46" t="s">
        <v>213</v>
      </c>
      <c r="B31" s="50">
        <f t="shared" ref="B31:AG31" si="9">SUM(B2:B4)</f>
        <v>0.35000000000000003</v>
      </c>
      <c r="C31" s="50">
        <f t="shared" si="9"/>
        <v>0.30000000000000004</v>
      </c>
      <c r="D31" s="50">
        <f t="shared" si="9"/>
        <v>0.35000000000000003</v>
      </c>
      <c r="E31" s="50">
        <f t="shared" si="9"/>
        <v>1</v>
      </c>
      <c r="F31" s="50">
        <f t="shared" si="9"/>
        <v>1</v>
      </c>
      <c r="G31" s="50">
        <f t="shared" si="9"/>
        <v>1.55</v>
      </c>
      <c r="H31" s="50">
        <f t="shared" si="9"/>
        <v>1.75</v>
      </c>
      <c r="I31" s="52">
        <f t="shared" si="9"/>
        <v>1</v>
      </c>
      <c r="J31" s="52">
        <f t="shared" si="9"/>
        <v>1</v>
      </c>
      <c r="K31" s="50">
        <f t="shared" si="9"/>
        <v>0.99</v>
      </c>
      <c r="L31" s="50">
        <f t="shared" si="9"/>
        <v>1.01</v>
      </c>
      <c r="M31" s="50">
        <f t="shared" si="9"/>
        <v>1</v>
      </c>
      <c r="N31" s="50">
        <f t="shared" si="9"/>
        <v>1</v>
      </c>
      <c r="O31" s="52">
        <f t="shared" si="9"/>
        <v>1E-4</v>
      </c>
      <c r="P31" s="50">
        <f t="shared" si="9"/>
        <v>1</v>
      </c>
      <c r="Q31" s="50">
        <f t="shared" si="9"/>
        <v>1.1499999999999999</v>
      </c>
      <c r="R31" s="56">
        <f t="shared" si="9"/>
        <v>1</v>
      </c>
      <c r="S31" s="56">
        <f t="shared" si="9"/>
        <v>0</v>
      </c>
      <c r="T31" s="50">
        <f t="shared" si="9"/>
        <v>0.8</v>
      </c>
      <c r="U31" s="54">
        <f t="shared" si="9"/>
        <v>1</v>
      </c>
      <c r="V31" s="50">
        <f t="shared" si="9"/>
        <v>1</v>
      </c>
      <c r="W31" s="50">
        <f t="shared" si="9"/>
        <v>1</v>
      </c>
      <c r="X31" s="50">
        <f t="shared" si="9"/>
        <v>1</v>
      </c>
      <c r="Y31" s="50">
        <f t="shared" si="9"/>
        <v>1</v>
      </c>
      <c r="Z31" s="50">
        <f t="shared" si="9"/>
        <v>1</v>
      </c>
      <c r="AA31" s="50">
        <f t="shared" si="9"/>
        <v>1</v>
      </c>
      <c r="AB31" s="50">
        <f t="shared" si="9"/>
        <v>1</v>
      </c>
      <c r="AC31" s="50">
        <f t="shared" si="9"/>
        <v>1</v>
      </c>
      <c r="AD31" s="50">
        <f t="shared" si="9"/>
        <v>1</v>
      </c>
      <c r="AE31" s="50">
        <f t="shared" si="9"/>
        <v>1</v>
      </c>
      <c r="AF31" s="50">
        <f t="shared" si="9"/>
        <v>1</v>
      </c>
      <c r="AG31" s="50">
        <f t="shared" si="9"/>
        <v>1</v>
      </c>
      <c r="AH31" s="50">
        <f t="shared" ref="AH31:BM31" si="10">SUM(AH2:AH4)</f>
        <v>1.1000000000000001</v>
      </c>
      <c r="AI31" s="50">
        <f t="shared" si="10"/>
        <v>1</v>
      </c>
      <c r="AJ31" s="50">
        <f t="shared" si="10"/>
        <v>1</v>
      </c>
      <c r="AK31" s="50">
        <f t="shared" si="10"/>
        <v>1</v>
      </c>
      <c r="AL31" s="50">
        <f t="shared" si="10"/>
        <v>1</v>
      </c>
      <c r="AM31" s="50">
        <f t="shared" si="10"/>
        <v>1</v>
      </c>
      <c r="AN31" s="50">
        <f t="shared" si="10"/>
        <v>1</v>
      </c>
      <c r="AO31" s="50">
        <f t="shared" si="10"/>
        <v>1</v>
      </c>
      <c r="AP31" s="50">
        <f t="shared" si="10"/>
        <v>1</v>
      </c>
      <c r="AQ31" s="50">
        <f t="shared" si="10"/>
        <v>1</v>
      </c>
      <c r="AR31" s="50">
        <f t="shared" si="10"/>
        <v>1</v>
      </c>
      <c r="AS31" s="50">
        <f t="shared" si="10"/>
        <v>1</v>
      </c>
      <c r="AT31" s="50">
        <f t="shared" si="10"/>
        <v>1</v>
      </c>
      <c r="AU31" s="50">
        <f t="shared" si="10"/>
        <v>1</v>
      </c>
      <c r="AV31" s="50">
        <f t="shared" si="10"/>
        <v>1</v>
      </c>
      <c r="AW31" s="50">
        <f t="shared" si="10"/>
        <v>1</v>
      </c>
      <c r="AX31" s="50">
        <f t="shared" si="10"/>
        <v>1</v>
      </c>
      <c r="AY31" s="50">
        <f t="shared" si="10"/>
        <v>1</v>
      </c>
      <c r="AZ31" s="50">
        <f t="shared" si="10"/>
        <v>1</v>
      </c>
      <c r="BA31" s="50">
        <f t="shared" si="10"/>
        <v>1</v>
      </c>
      <c r="BB31" s="50">
        <f t="shared" si="10"/>
        <v>1</v>
      </c>
      <c r="BC31" s="50">
        <f t="shared" si="10"/>
        <v>1</v>
      </c>
      <c r="BD31" s="50">
        <f t="shared" si="10"/>
        <v>1.1000000000000001</v>
      </c>
      <c r="BE31" s="50">
        <f t="shared" si="10"/>
        <v>1.1000000000000001</v>
      </c>
      <c r="BF31" s="50">
        <f t="shared" si="10"/>
        <v>1.1000000000000001</v>
      </c>
      <c r="BG31" s="50">
        <f t="shared" si="10"/>
        <v>1</v>
      </c>
      <c r="BH31" s="50">
        <f t="shared" si="10"/>
        <v>1</v>
      </c>
      <c r="BI31" s="50">
        <f t="shared" si="10"/>
        <v>1</v>
      </c>
      <c r="BJ31" s="50">
        <f t="shared" si="10"/>
        <v>1</v>
      </c>
      <c r="BK31" s="50">
        <f t="shared" si="10"/>
        <v>1</v>
      </c>
      <c r="BL31" s="50">
        <f t="shared" si="10"/>
        <v>1</v>
      </c>
      <c r="BM31" s="50">
        <f t="shared" si="10"/>
        <v>1</v>
      </c>
      <c r="BN31" s="50">
        <f t="shared" ref="BN31:CE31" si="11">SUM(BN2:BN4)</f>
        <v>1</v>
      </c>
      <c r="BO31" s="50">
        <f t="shared" si="11"/>
        <v>1</v>
      </c>
      <c r="BP31" s="50">
        <f t="shared" si="11"/>
        <v>1</v>
      </c>
      <c r="BQ31" s="50">
        <f t="shared" si="11"/>
        <v>1</v>
      </c>
      <c r="BR31" s="50">
        <f t="shared" si="11"/>
        <v>1</v>
      </c>
      <c r="BS31" s="50">
        <f t="shared" si="11"/>
        <v>1</v>
      </c>
      <c r="BT31" s="50">
        <f t="shared" si="11"/>
        <v>1</v>
      </c>
      <c r="BU31" s="50">
        <f t="shared" si="11"/>
        <v>1</v>
      </c>
      <c r="BV31" s="50">
        <f t="shared" si="11"/>
        <v>1</v>
      </c>
      <c r="BW31" s="50">
        <f t="shared" si="11"/>
        <v>1</v>
      </c>
      <c r="BX31" s="50">
        <f t="shared" si="11"/>
        <v>1.1000000000000001</v>
      </c>
      <c r="BY31" s="50">
        <f t="shared" si="11"/>
        <v>1.05</v>
      </c>
      <c r="BZ31" s="50">
        <f t="shared" si="11"/>
        <v>1</v>
      </c>
      <c r="CA31" s="50">
        <f t="shared" si="11"/>
        <v>1</v>
      </c>
      <c r="CB31" s="50">
        <f t="shared" si="11"/>
        <v>1</v>
      </c>
      <c r="CC31" s="50">
        <f t="shared" si="11"/>
        <v>1</v>
      </c>
      <c r="CD31" s="50">
        <f t="shared" si="11"/>
        <v>1</v>
      </c>
      <c r="CE31" s="50">
        <f t="shared" si="11"/>
        <v>1</v>
      </c>
      <c r="CX31" s="50">
        <f t="shared" si="0"/>
        <v>0.22802800000000001</v>
      </c>
      <c r="CY31">
        <v>30</v>
      </c>
      <c r="CZ31">
        <v>114014</v>
      </c>
      <c r="DA31" s="58">
        <f t="shared" si="1"/>
        <v>3800</v>
      </c>
      <c r="DB31" s="50">
        <f t="shared" si="2"/>
        <v>0.59113203438514261</v>
      </c>
    </row>
    <row r="32" spans="1:106">
      <c r="A32" s="46" t="s">
        <v>214</v>
      </c>
      <c r="B32" s="50">
        <f t="shared" ref="B32:AG32" si="12">SUM(B2:B5)</f>
        <v>0.26</v>
      </c>
      <c r="C32" s="50">
        <f t="shared" si="12"/>
        <v>0.10000000000000003</v>
      </c>
      <c r="D32" s="50">
        <f t="shared" si="12"/>
        <v>0.30000000000000004</v>
      </c>
      <c r="E32" s="50">
        <f t="shared" si="12"/>
        <v>1</v>
      </c>
      <c r="F32" s="50">
        <f t="shared" si="12"/>
        <v>1.25</v>
      </c>
      <c r="G32" s="50">
        <f t="shared" si="12"/>
        <v>1.1499999999999999</v>
      </c>
      <c r="H32" s="50">
        <f t="shared" si="12"/>
        <v>1.35</v>
      </c>
      <c r="I32" s="52">
        <f t="shared" si="12"/>
        <v>1</v>
      </c>
      <c r="J32" s="52">
        <f t="shared" si="12"/>
        <v>1</v>
      </c>
      <c r="K32" s="50">
        <f t="shared" si="12"/>
        <v>0.99</v>
      </c>
      <c r="L32" s="50">
        <f t="shared" si="12"/>
        <v>1.01</v>
      </c>
      <c r="M32" s="50">
        <f t="shared" si="12"/>
        <v>1.25</v>
      </c>
      <c r="N32" s="50">
        <f t="shared" si="12"/>
        <v>1</v>
      </c>
      <c r="O32" s="52">
        <f t="shared" si="12"/>
        <v>1E-4</v>
      </c>
      <c r="P32" s="50">
        <f t="shared" si="12"/>
        <v>1</v>
      </c>
      <c r="Q32" s="50">
        <f t="shared" si="12"/>
        <v>1.25</v>
      </c>
      <c r="R32" s="56">
        <f t="shared" si="12"/>
        <v>1</v>
      </c>
      <c r="S32" s="56">
        <f t="shared" si="12"/>
        <v>25</v>
      </c>
      <c r="T32" s="50">
        <f t="shared" si="12"/>
        <v>1</v>
      </c>
      <c r="U32" s="54">
        <f t="shared" si="12"/>
        <v>1</v>
      </c>
      <c r="V32" s="50">
        <f t="shared" si="12"/>
        <v>1</v>
      </c>
      <c r="W32" s="50">
        <f t="shared" si="12"/>
        <v>1</v>
      </c>
      <c r="X32" s="50">
        <f t="shared" si="12"/>
        <v>1</v>
      </c>
      <c r="Y32" s="50">
        <f t="shared" si="12"/>
        <v>1.5</v>
      </c>
      <c r="Z32" s="50">
        <f t="shared" si="12"/>
        <v>1</v>
      </c>
      <c r="AA32" s="50">
        <f t="shared" si="12"/>
        <v>1.1000000000000001</v>
      </c>
      <c r="AB32" s="50">
        <f t="shared" si="12"/>
        <v>1</v>
      </c>
      <c r="AC32" s="50">
        <f t="shared" si="12"/>
        <v>1</v>
      </c>
      <c r="AD32" s="50">
        <f t="shared" si="12"/>
        <v>1</v>
      </c>
      <c r="AE32" s="50">
        <f t="shared" si="12"/>
        <v>1</v>
      </c>
      <c r="AF32" s="50">
        <f t="shared" si="12"/>
        <v>1</v>
      </c>
      <c r="AG32" s="50">
        <f t="shared" si="12"/>
        <v>1</v>
      </c>
      <c r="AH32" s="50">
        <f t="shared" ref="AH32:BM32" si="13">SUM(AH2:AH5)</f>
        <v>1.4000000000000001</v>
      </c>
      <c r="AI32" s="50">
        <f t="shared" si="13"/>
        <v>1</v>
      </c>
      <c r="AJ32" s="50">
        <f t="shared" si="13"/>
        <v>1</v>
      </c>
      <c r="AK32" s="50">
        <f t="shared" si="13"/>
        <v>1</v>
      </c>
      <c r="AL32" s="50">
        <f t="shared" si="13"/>
        <v>1</v>
      </c>
      <c r="AM32" s="50">
        <f t="shared" si="13"/>
        <v>1</v>
      </c>
      <c r="AN32" s="50">
        <f t="shared" si="13"/>
        <v>1</v>
      </c>
      <c r="AO32" s="50">
        <f t="shared" si="13"/>
        <v>1</v>
      </c>
      <c r="AP32" s="50">
        <f t="shared" si="13"/>
        <v>1</v>
      </c>
      <c r="AQ32" s="50">
        <f t="shared" si="13"/>
        <v>1.1000000000000001</v>
      </c>
      <c r="AR32" s="50">
        <f t="shared" si="13"/>
        <v>1</v>
      </c>
      <c r="AS32" s="50">
        <f t="shared" si="13"/>
        <v>1</v>
      </c>
      <c r="AT32" s="50">
        <f t="shared" si="13"/>
        <v>1</v>
      </c>
      <c r="AU32" s="50">
        <f t="shared" si="13"/>
        <v>1</v>
      </c>
      <c r="AV32" s="50">
        <f t="shared" si="13"/>
        <v>1</v>
      </c>
      <c r="AW32" s="50">
        <f t="shared" si="13"/>
        <v>1</v>
      </c>
      <c r="AX32" s="50">
        <f t="shared" si="13"/>
        <v>1</v>
      </c>
      <c r="AY32" s="50">
        <f t="shared" si="13"/>
        <v>1</v>
      </c>
      <c r="AZ32" s="50">
        <f t="shared" si="13"/>
        <v>1</v>
      </c>
      <c r="BA32" s="50">
        <f t="shared" si="13"/>
        <v>1.1000000000000001</v>
      </c>
      <c r="BB32" s="50">
        <f t="shared" si="13"/>
        <v>1.1000000000000001</v>
      </c>
      <c r="BC32" s="50">
        <f t="shared" si="13"/>
        <v>1</v>
      </c>
      <c r="BD32" s="50">
        <f t="shared" si="13"/>
        <v>1.1000000000000001</v>
      </c>
      <c r="BE32" s="50">
        <f t="shared" si="13"/>
        <v>1.1000000000000001</v>
      </c>
      <c r="BF32" s="50">
        <f t="shared" si="13"/>
        <v>1.2000000000000002</v>
      </c>
      <c r="BG32" s="50">
        <f t="shared" si="13"/>
        <v>1</v>
      </c>
      <c r="BH32" s="50">
        <f t="shared" si="13"/>
        <v>1</v>
      </c>
      <c r="BI32" s="50">
        <f t="shared" si="13"/>
        <v>1</v>
      </c>
      <c r="BJ32" s="50">
        <f t="shared" si="13"/>
        <v>1.05</v>
      </c>
      <c r="BK32" s="50">
        <f t="shared" si="13"/>
        <v>1</v>
      </c>
      <c r="BL32" s="50">
        <f t="shared" si="13"/>
        <v>1</v>
      </c>
      <c r="BM32" s="50">
        <f t="shared" si="13"/>
        <v>1</v>
      </c>
      <c r="BN32" s="50">
        <f t="shared" ref="BN32:CE32" si="14">SUM(BN2:BN5)</f>
        <v>1</v>
      </c>
      <c r="BO32" s="50">
        <f t="shared" si="14"/>
        <v>1</v>
      </c>
      <c r="BP32" s="50">
        <f t="shared" si="14"/>
        <v>1</v>
      </c>
      <c r="BQ32" s="50">
        <f t="shared" si="14"/>
        <v>1</v>
      </c>
      <c r="BR32" s="50">
        <f t="shared" si="14"/>
        <v>1</v>
      </c>
      <c r="BS32" s="50">
        <f t="shared" si="14"/>
        <v>1</v>
      </c>
      <c r="BT32" s="50">
        <f t="shared" si="14"/>
        <v>1.05</v>
      </c>
      <c r="BU32" s="50">
        <f t="shared" si="14"/>
        <v>1</v>
      </c>
      <c r="BV32" s="50">
        <f t="shared" si="14"/>
        <v>1</v>
      </c>
      <c r="BW32" s="50">
        <f t="shared" si="14"/>
        <v>1</v>
      </c>
      <c r="BX32" s="50">
        <f t="shared" si="14"/>
        <v>1.1000000000000001</v>
      </c>
      <c r="BY32" s="50">
        <f t="shared" si="14"/>
        <v>1.05</v>
      </c>
      <c r="BZ32" s="50">
        <f t="shared" si="14"/>
        <v>1</v>
      </c>
      <c r="CA32" s="50">
        <f t="shared" si="14"/>
        <v>1</v>
      </c>
      <c r="CB32" s="50">
        <f t="shared" si="14"/>
        <v>1</v>
      </c>
      <c r="CC32" s="50">
        <f t="shared" si="14"/>
        <v>1</v>
      </c>
      <c r="CD32" s="50">
        <f t="shared" si="14"/>
        <v>1</v>
      </c>
      <c r="CE32" s="50">
        <f t="shared" si="14"/>
        <v>1</v>
      </c>
      <c r="CO32" t="s">
        <v>295</v>
      </c>
      <c r="CP32" t="s">
        <v>296</v>
      </c>
      <c r="CQ32" t="s">
        <v>297</v>
      </c>
      <c r="CR32" t="s">
        <v>298</v>
      </c>
      <c r="CS32" t="s">
        <v>299</v>
      </c>
      <c r="CT32" t="s">
        <v>300</v>
      </c>
      <c r="CU32" t="s">
        <v>301</v>
      </c>
      <c r="CV32" t="s">
        <v>302</v>
      </c>
      <c r="CX32" s="50">
        <f t="shared" si="0"/>
        <v>0.23563000000000001</v>
      </c>
      <c r="CY32">
        <v>31</v>
      </c>
      <c r="CZ32">
        <v>117815</v>
      </c>
      <c r="DA32" s="58">
        <f t="shared" si="1"/>
        <v>3801</v>
      </c>
      <c r="DB32" s="50">
        <f t="shared" si="2"/>
        <v>0.61083920072171471</v>
      </c>
    </row>
    <row r="33" spans="1:106">
      <c r="A33" s="46" t="s">
        <v>293</v>
      </c>
      <c r="B33" s="50">
        <f t="shared" ref="B33:AG33" si="15">SUM(B2:B6)</f>
        <v>0.33</v>
      </c>
      <c r="C33" s="50">
        <f t="shared" si="15"/>
        <v>0.10000000000000003</v>
      </c>
      <c r="D33" s="50">
        <f t="shared" si="15"/>
        <v>0.35000000000000003</v>
      </c>
      <c r="E33" s="50">
        <f t="shared" si="15"/>
        <v>1</v>
      </c>
      <c r="F33" s="50">
        <f t="shared" si="15"/>
        <v>1.25</v>
      </c>
      <c r="G33" s="50">
        <f t="shared" si="15"/>
        <v>1.3499999999999999</v>
      </c>
      <c r="H33" s="50">
        <f t="shared" si="15"/>
        <v>1.7000000000000002</v>
      </c>
      <c r="I33" s="52">
        <f t="shared" si="15"/>
        <v>1</v>
      </c>
      <c r="J33" s="52">
        <f t="shared" si="15"/>
        <v>1</v>
      </c>
      <c r="K33" s="50">
        <f t="shared" si="15"/>
        <v>0.98</v>
      </c>
      <c r="L33" s="50">
        <f t="shared" si="15"/>
        <v>1.05</v>
      </c>
      <c r="M33" s="50">
        <f t="shared" si="15"/>
        <v>1.35</v>
      </c>
      <c r="N33" s="50">
        <f t="shared" si="15"/>
        <v>1</v>
      </c>
      <c r="O33" s="52">
        <f t="shared" si="15"/>
        <v>5.0000000000000001E-4</v>
      </c>
      <c r="P33" s="50">
        <f t="shared" si="15"/>
        <v>0.9</v>
      </c>
      <c r="Q33" s="50">
        <f t="shared" si="15"/>
        <v>1.65</v>
      </c>
      <c r="R33" s="56">
        <f t="shared" si="15"/>
        <v>1</v>
      </c>
      <c r="S33" s="56">
        <f t="shared" si="15"/>
        <v>99</v>
      </c>
      <c r="T33" s="50">
        <f t="shared" si="15"/>
        <v>1</v>
      </c>
      <c r="U33" s="54">
        <f t="shared" si="15"/>
        <v>0.996</v>
      </c>
      <c r="V33" s="50">
        <f t="shared" si="15"/>
        <v>1</v>
      </c>
      <c r="W33" s="50">
        <f t="shared" si="15"/>
        <v>1.5</v>
      </c>
      <c r="X33" s="50">
        <f t="shared" si="15"/>
        <v>1.2</v>
      </c>
      <c r="Y33" s="50">
        <f t="shared" si="15"/>
        <v>1.5</v>
      </c>
      <c r="Z33" s="50">
        <f t="shared" si="15"/>
        <v>1</v>
      </c>
      <c r="AA33" s="50">
        <f t="shared" si="15"/>
        <v>1.1000000000000001</v>
      </c>
      <c r="AB33" s="50">
        <f t="shared" si="15"/>
        <v>1</v>
      </c>
      <c r="AC33" s="50">
        <f t="shared" si="15"/>
        <v>1</v>
      </c>
      <c r="AD33" s="50">
        <f t="shared" si="15"/>
        <v>1</v>
      </c>
      <c r="AE33" s="50">
        <f t="shared" si="15"/>
        <v>1</v>
      </c>
      <c r="AF33" s="50">
        <f t="shared" si="15"/>
        <v>1.3</v>
      </c>
      <c r="AG33" s="50">
        <f t="shared" si="15"/>
        <v>1.1000000000000001</v>
      </c>
      <c r="AH33" s="50">
        <f t="shared" ref="AH33:BM33" si="16">SUM(AH2:AH6)</f>
        <v>1.6500000000000001</v>
      </c>
      <c r="AI33" s="50">
        <f t="shared" si="16"/>
        <v>1</v>
      </c>
      <c r="AJ33" s="50">
        <f t="shared" si="16"/>
        <v>1</v>
      </c>
      <c r="AK33" s="50">
        <f t="shared" si="16"/>
        <v>1</v>
      </c>
      <c r="AL33" s="50">
        <f t="shared" si="16"/>
        <v>1</v>
      </c>
      <c r="AM33" s="50">
        <f t="shared" si="16"/>
        <v>1</v>
      </c>
      <c r="AN33" s="50">
        <f t="shared" si="16"/>
        <v>1.1000000000000001</v>
      </c>
      <c r="AO33" s="50">
        <f t="shared" si="16"/>
        <v>1</v>
      </c>
      <c r="AP33" s="50">
        <f t="shared" si="16"/>
        <v>1</v>
      </c>
      <c r="AQ33" s="50">
        <f t="shared" si="16"/>
        <v>1.1000000000000001</v>
      </c>
      <c r="AR33" s="50">
        <f t="shared" si="16"/>
        <v>1.1000000000000001</v>
      </c>
      <c r="AS33" s="50">
        <f t="shared" si="16"/>
        <v>1.1000000000000001</v>
      </c>
      <c r="AT33" s="50">
        <f t="shared" si="16"/>
        <v>1</v>
      </c>
      <c r="AU33" s="50">
        <f t="shared" si="16"/>
        <v>1</v>
      </c>
      <c r="AV33" s="50">
        <f t="shared" si="16"/>
        <v>1</v>
      </c>
      <c r="AW33" s="50">
        <f t="shared" si="16"/>
        <v>1</v>
      </c>
      <c r="AX33" s="50">
        <f t="shared" si="16"/>
        <v>1</v>
      </c>
      <c r="AY33" s="50">
        <f t="shared" si="16"/>
        <v>1.2</v>
      </c>
      <c r="AZ33" s="50">
        <f t="shared" si="16"/>
        <v>1.5</v>
      </c>
      <c r="BA33" s="50">
        <f t="shared" si="16"/>
        <v>1.25</v>
      </c>
      <c r="BB33" s="50">
        <f t="shared" si="16"/>
        <v>1.35</v>
      </c>
      <c r="BC33" s="50">
        <f t="shared" si="16"/>
        <v>1.1000000000000001</v>
      </c>
      <c r="BD33" s="50">
        <f t="shared" si="16"/>
        <v>1.2000000000000002</v>
      </c>
      <c r="BE33" s="50">
        <f t="shared" si="16"/>
        <v>1.35</v>
      </c>
      <c r="BF33" s="50">
        <f t="shared" si="16"/>
        <v>1.3000000000000003</v>
      </c>
      <c r="BG33" s="50">
        <f t="shared" si="16"/>
        <v>1</v>
      </c>
      <c r="BH33" s="50">
        <f t="shared" si="16"/>
        <v>1</v>
      </c>
      <c r="BI33" s="50">
        <f t="shared" si="16"/>
        <v>1.1000000000000001</v>
      </c>
      <c r="BJ33" s="50">
        <f t="shared" si="16"/>
        <v>1.05</v>
      </c>
      <c r="BK33" s="50">
        <f t="shared" si="16"/>
        <v>1</v>
      </c>
      <c r="BL33" s="50">
        <f t="shared" si="16"/>
        <v>1</v>
      </c>
      <c r="BM33" s="50">
        <f t="shared" si="16"/>
        <v>1</v>
      </c>
      <c r="BN33" s="50">
        <f t="shared" ref="BN33:CE33" si="17">SUM(BN2:BN6)</f>
        <v>1</v>
      </c>
      <c r="BO33" s="50">
        <f t="shared" si="17"/>
        <v>1</v>
      </c>
      <c r="BP33" s="50">
        <f t="shared" si="17"/>
        <v>1</v>
      </c>
      <c r="BQ33" s="50">
        <f t="shared" si="17"/>
        <v>1</v>
      </c>
      <c r="BR33" s="50">
        <f t="shared" si="17"/>
        <v>1.1000000000000001</v>
      </c>
      <c r="BS33" s="50">
        <f t="shared" si="17"/>
        <v>1</v>
      </c>
      <c r="BT33" s="50">
        <f t="shared" si="17"/>
        <v>1.05</v>
      </c>
      <c r="BU33" s="50">
        <f t="shared" si="17"/>
        <v>1</v>
      </c>
      <c r="BV33" s="50">
        <f t="shared" si="17"/>
        <v>1</v>
      </c>
      <c r="BW33" s="50">
        <f t="shared" si="17"/>
        <v>1</v>
      </c>
      <c r="BX33" s="50">
        <f t="shared" si="17"/>
        <v>1.3</v>
      </c>
      <c r="BY33" s="50">
        <f t="shared" si="17"/>
        <v>1.1500000000000001</v>
      </c>
      <c r="BZ33" s="50">
        <f t="shared" si="17"/>
        <v>1</v>
      </c>
      <c r="CA33" s="50">
        <f t="shared" si="17"/>
        <v>1</v>
      </c>
      <c r="CB33" s="50">
        <f t="shared" si="17"/>
        <v>1</v>
      </c>
      <c r="CC33" s="50">
        <f t="shared" si="17"/>
        <v>1</v>
      </c>
      <c r="CD33" s="50">
        <f t="shared" si="17"/>
        <v>1</v>
      </c>
      <c r="CE33" s="50">
        <f t="shared" si="17"/>
        <v>1</v>
      </c>
      <c r="CO33">
        <v>1110000</v>
      </c>
      <c r="CP33">
        <v>16510</v>
      </c>
      <c r="CQ33">
        <v>3656</v>
      </c>
      <c r="CR33">
        <v>55800</v>
      </c>
      <c r="CS33">
        <v>4112</v>
      </c>
      <c r="CT33">
        <v>500000</v>
      </c>
      <c r="CU33">
        <v>131640</v>
      </c>
      <c r="CV33">
        <v>148620</v>
      </c>
      <c r="CX33" s="50">
        <f t="shared" si="0"/>
        <v>0.24323</v>
      </c>
      <c r="CY33">
        <v>32</v>
      </c>
      <c r="CZ33">
        <v>121615</v>
      </c>
      <c r="DA33" s="58">
        <f t="shared" si="1"/>
        <v>3800</v>
      </c>
      <c r="DB33" s="50">
        <f t="shared" si="2"/>
        <v>0.63054118232628553</v>
      </c>
    </row>
    <row r="34" spans="1:106">
      <c r="A34" s="46" t="s">
        <v>294</v>
      </c>
      <c r="B34" s="50">
        <f t="shared" ref="B34:AG34" si="18">SUM(B2:B7)</f>
        <v>0.37</v>
      </c>
      <c r="C34" s="50">
        <f t="shared" si="18"/>
        <v>0.10000000000000003</v>
      </c>
      <c r="D34" s="50">
        <f t="shared" si="18"/>
        <v>0.4</v>
      </c>
      <c r="E34" s="50">
        <f t="shared" si="18"/>
        <v>1</v>
      </c>
      <c r="F34" s="50">
        <f t="shared" si="18"/>
        <v>1.25</v>
      </c>
      <c r="G34" s="50">
        <f t="shared" si="18"/>
        <v>2.5</v>
      </c>
      <c r="H34" s="50">
        <f t="shared" si="18"/>
        <v>2.0700000000000003</v>
      </c>
      <c r="I34" s="52">
        <f t="shared" si="18"/>
        <v>1</v>
      </c>
      <c r="J34" s="52">
        <f t="shared" si="18"/>
        <v>1</v>
      </c>
      <c r="K34" s="50">
        <f t="shared" si="18"/>
        <v>0.97</v>
      </c>
      <c r="L34" s="50">
        <f t="shared" si="18"/>
        <v>1.0900000000000001</v>
      </c>
      <c r="M34" s="50">
        <f t="shared" si="18"/>
        <v>1.4500000000000002</v>
      </c>
      <c r="N34" s="50">
        <f t="shared" si="18"/>
        <v>0.95</v>
      </c>
      <c r="O34" s="52">
        <f t="shared" si="18"/>
        <v>6.0000000000000006E-4</v>
      </c>
      <c r="P34" s="50">
        <f t="shared" si="18"/>
        <v>0.9</v>
      </c>
      <c r="Q34" s="50">
        <f t="shared" si="18"/>
        <v>1.65</v>
      </c>
      <c r="R34" s="56">
        <f t="shared" si="18"/>
        <v>1</v>
      </c>
      <c r="S34" s="56">
        <f t="shared" si="18"/>
        <v>137</v>
      </c>
      <c r="T34" s="50">
        <f t="shared" si="18"/>
        <v>1</v>
      </c>
      <c r="U34" s="54">
        <f t="shared" si="18"/>
        <v>0.996</v>
      </c>
      <c r="V34" s="50">
        <f t="shared" si="18"/>
        <v>1.5</v>
      </c>
      <c r="W34" s="50">
        <f t="shared" si="18"/>
        <v>1.5</v>
      </c>
      <c r="X34" s="50">
        <f t="shared" si="18"/>
        <v>1.4</v>
      </c>
      <c r="Y34" s="50">
        <f t="shared" si="18"/>
        <v>1.5</v>
      </c>
      <c r="Z34" s="50">
        <f t="shared" si="18"/>
        <v>1</v>
      </c>
      <c r="AA34" s="50">
        <f t="shared" si="18"/>
        <v>1.1000000000000001</v>
      </c>
      <c r="AB34" s="50">
        <f t="shared" si="18"/>
        <v>1</v>
      </c>
      <c r="AC34" s="50">
        <f t="shared" si="18"/>
        <v>1</v>
      </c>
      <c r="AD34" s="50">
        <f t="shared" si="18"/>
        <v>1</v>
      </c>
      <c r="AE34" s="50">
        <f t="shared" si="18"/>
        <v>1</v>
      </c>
      <c r="AF34" s="50">
        <f t="shared" si="18"/>
        <v>1.3</v>
      </c>
      <c r="AG34" s="50">
        <f t="shared" si="18"/>
        <v>1.1000000000000001</v>
      </c>
      <c r="AH34" s="50">
        <f t="shared" ref="AH34:BM34" si="19">SUM(AH2:AH7)</f>
        <v>2</v>
      </c>
      <c r="AI34" s="50">
        <f t="shared" si="19"/>
        <v>2</v>
      </c>
      <c r="AJ34" s="50">
        <f t="shared" si="19"/>
        <v>1</v>
      </c>
      <c r="AK34" s="50">
        <f t="shared" si="19"/>
        <v>1</v>
      </c>
      <c r="AL34" s="50">
        <f t="shared" si="19"/>
        <v>1.1000000000000001</v>
      </c>
      <c r="AM34" s="50">
        <f t="shared" si="19"/>
        <v>1.02</v>
      </c>
      <c r="AN34" s="50">
        <f t="shared" si="19"/>
        <v>1.1000000000000001</v>
      </c>
      <c r="AO34" s="50">
        <f t="shared" si="19"/>
        <v>1.05</v>
      </c>
      <c r="AP34" s="50">
        <f t="shared" si="19"/>
        <v>1.27</v>
      </c>
      <c r="AQ34" s="50">
        <f t="shared" si="19"/>
        <v>1.1000000000000001</v>
      </c>
      <c r="AR34" s="50">
        <f t="shared" si="19"/>
        <v>1.1000000000000001</v>
      </c>
      <c r="AS34" s="50">
        <f t="shared" si="19"/>
        <v>1.25</v>
      </c>
      <c r="AT34" s="50">
        <f t="shared" si="19"/>
        <v>1</v>
      </c>
      <c r="AU34" s="50">
        <f t="shared" si="19"/>
        <v>1</v>
      </c>
      <c r="AV34" s="50">
        <f t="shared" si="19"/>
        <v>1</v>
      </c>
      <c r="AW34" s="50">
        <f t="shared" si="19"/>
        <v>1</v>
      </c>
      <c r="AX34" s="50">
        <f t="shared" si="19"/>
        <v>1.01</v>
      </c>
      <c r="AY34" s="50">
        <f t="shared" si="19"/>
        <v>1.2</v>
      </c>
      <c r="AZ34" s="50">
        <f t="shared" si="19"/>
        <v>1.5</v>
      </c>
      <c r="BA34" s="50">
        <f t="shared" si="19"/>
        <v>1.25</v>
      </c>
      <c r="BB34" s="50">
        <f t="shared" si="19"/>
        <v>1.35</v>
      </c>
      <c r="BC34" s="50">
        <f t="shared" si="19"/>
        <v>1.1000000000000001</v>
      </c>
      <c r="BD34" s="50">
        <f t="shared" si="19"/>
        <v>1.3000000000000003</v>
      </c>
      <c r="BE34" s="50">
        <f t="shared" si="19"/>
        <v>1.4500000000000002</v>
      </c>
      <c r="BF34" s="50">
        <f t="shared" si="19"/>
        <v>1.4000000000000004</v>
      </c>
      <c r="BG34" s="50">
        <f t="shared" si="19"/>
        <v>1</v>
      </c>
      <c r="BH34" s="50">
        <f t="shared" si="19"/>
        <v>1.02</v>
      </c>
      <c r="BI34" s="50">
        <f t="shared" si="19"/>
        <v>1.2000000000000002</v>
      </c>
      <c r="BJ34" s="50">
        <f t="shared" si="19"/>
        <v>1.05</v>
      </c>
      <c r="BK34" s="50">
        <f t="shared" si="19"/>
        <v>1</v>
      </c>
      <c r="BL34" s="50">
        <f t="shared" si="19"/>
        <v>1</v>
      </c>
      <c r="BM34" s="50">
        <f t="shared" si="19"/>
        <v>1.02</v>
      </c>
      <c r="BN34" s="50">
        <f t="shared" ref="BN34:CE34" si="20">SUM(BN2:BN7)</f>
        <v>1.02</v>
      </c>
      <c r="BO34" s="50">
        <f t="shared" si="20"/>
        <v>1</v>
      </c>
      <c r="BP34" s="50">
        <f t="shared" si="20"/>
        <v>1</v>
      </c>
      <c r="BQ34" s="50">
        <f t="shared" si="20"/>
        <v>1</v>
      </c>
      <c r="BR34" s="50">
        <f t="shared" si="20"/>
        <v>1.1000000000000001</v>
      </c>
      <c r="BS34" s="50">
        <f t="shared" si="20"/>
        <v>1.02</v>
      </c>
      <c r="BT34" s="50">
        <f t="shared" si="20"/>
        <v>1.05</v>
      </c>
      <c r="BU34" s="50">
        <f t="shared" si="20"/>
        <v>1.02</v>
      </c>
      <c r="BV34" s="50">
        <f t="shared" si="20"/>
        <v>1</v>
      </c>
      <c r="BW34" s="50">
        <f t="shared" si="20"/>
        <v>1</v>
      </c>
      <c r="BX34" s="50">
        <f t="shared" si="20"/>
        <v>1.55</v>
      </c>
      <c r="BY34" s="50">
        <f t="shared" si="20"/>
        <v>1.2500000000000002</v>
      </c>
      <c r="BZ34" s="50">
        <f t="shared" si="20"/>
        <v>1</v>
      </c>
      <c r="CA34" s="50">
        <f t="shared" si="20"/>
        <v>1</v>
      </c>
      <c r="CB34" s="50">
        <f t="shared" si="20"/>
        <v>1</v>
      </c>
      <c r="CC34" s="50">
        <f t="shared" si="20"/>
        <v>1</v>
      </c>
      <c r="CD34" s="50">
        <f t="shared" si="20"/>
        <v>1</v>
      </c>
      <c r="CE34" s="50">
        <f t="shared" si="20"/>
        <v>1</v>
      </c>
      <c r="CO34">
        <v>68.698999999999998</v>
      </c>
      <c r="CP34">
        <v>3.9590000000000001</v>
      </c>
      <c r="CQ34">
        <v>0.67100000000000004</v>
      </c>
      <c r="CR34">
        <v>8.9510000000000005</v>
      </c>
      <c r="CS34">
        <v>5.0000000000000001E-3</v>
      </c>
      <c r="CT34">
        <v>209.67699999999999</v>
      </c>
      <c r="CU34">
        <v>66.507999999999996</v>
      </c>
      <c r="CV34">
        <v>57.006</v>
      </c>
      <c r="CX34" s="50">
        <f t="shared" ref="CX34:CX52" si="21">CZ34/$CW$2</f>
        <v>0.250832</v>
      </c>
      <c r="CY34">
        <v>33</v>
      </c>
      <c r="CZ34">
        <v>125416</v>
      </c>
      <c r="DA34" s="58">
        <f t="shared" ref="DA34:DA65" si="22">CZ34-CZ33</f>
        <v>3801</v>
      </c>
      <c r="DB34" s="50">
        <f t="shared" ref="DB34:DB52" si="23">CZ34/$CZ$52</f>
        <v>0.65024834866285763</v>
      </c>
    </row>
    <row r="35" spans="1:106">
      <c r="A35" s="46">
        <v>1840</v>
      </c>
      <c r="B35" s="50">
        <f t="shared" ref="B35:AG35" si="24">SUM(B2:B8)</f>
        <v>0.37</v>
      </c>
      <c r="C35" s="50">
        <f t="shared" si="24"/>
        <v>0.10000000000000003</v>
      </c>
      <c r="D35" s="50">
        <f t="shared" si="24"/>
        <v>0.4</v>
      </c>
      <c r="E35" s="50">
        <f t="shared" si="24"/>
        <v>1</v>
      </c>
      <c r="F35" s="50">
        <f t="shared" si="24"/>
        <v>1.25</v>
      </c>
      <c r="G35" s="50">
        <f t="shared" si="24"/>
        <v>2.5</v>
      </c>
      <c r="H35" s="50">
        <f t="shared" si="24"/>
        <v>2.0700000000000003</v>
      </c>
      <c r="I35" s="52">
        <f t="shared" si="24"/>
        <v>1</v>
      </c>
      <c r="J35" s="52">
        <f t="shared" si="24"/>
        <v>1</v>
      </c>
      <c r="K35" s="50">
        <f t="shared" si="24"/>
        <v>0.97</v>
      </c>
      <c r="L35" s="50">
        <f t="shared" si="24"/>
        <v>1.0900000000000001</v>
      </c>
      <c r="M35" s="50">
        <f t="shared" si="24"/>
        <v>1.4500000000000002</v>
      </c>
      <c r="N35" s="50">
        <f t="shared" si="24"/>
        <v>0.95</v>
      </c>
      <c r="O35" s="52">
        <f t="shared" si="24"/>
        <v>6.0000000000000006E-4</v>
      </c>
      <c r="P35" s="50">
        <f t="shared" si="24"/>
        <v>0.9</v>
      </c>
      <c r="Q35" s="50">
        <f t="shared" si="24"/>
        <v>1.65</v>
      </c>
      <c r="R35" s="56">
        <f t="shared" si="24"/>
        <v>2</v>
      </c>
      <c r="S35" s="56">
        <f t="shared" si="24"/>
        <v>144</v>
      </c>
      <c r="T35" s="50">
        <f t="shared" si="24"/>
        <v>1</v>
      </c>
      <c r="U35" s="54">
        <f t="shared" si="24"/>
        <v>0.996</v>
      </c>
      <c r="V35" s="50">
        <f t="shared" si="24"/>
        <v>1.5</v>
      </c>
      <c r="W35" s="50">
        <f t="shared" si="24"/>
        <v>1.5</v>
      </c>
      <c r="X35" s="50">
        <f t="shared" si="24"/>
        <v>1.4</v>
      </c>
      <c r="Y35" s="50">
        <f t="shared" si="24"/>
        <v>2.7</v>
      </c>
      <c r="Z35" s="50">
        <f t="shared" si="24"/>
        <v>1.25</v>
      </c>
      <c r="AA35" s="50">
        <f t="shared" si="24"/>
        <v>1.4000000000000001</v>
      </c>
      <c r="AB35" s="50">
        <f t="shared" si="24"/>
        <v>1.25</v>
      </c>
      <c r="AC35" s="50">
        <f t="shared" si="24"/>
        <v>1</v>
      </c>
      <c r="AD35" s="50">
        <f t="shared" si="24"/>
        <v>1.25</v>
      </c>
      <c r="AE35" s="50">
        <f t="shared" si="24"/>
        <v>1.25</v>
      </c>
      <c r="AF35" s="50">
        <f t="shared" si="24"/>
        <v>1.3</v>
      </c>
      <c r="AG35" s="50">
        <f t="shared" si="24"/>
        <v>1.1000000000000001</v>
      </c>
      <c r="AH35" s="50">
        <f t="shared" ref="AH35:BM35" si="25">SUM(AH2:AH8)</f>
        <v>2</v>
      </c>
      <c r="AI35" s="50">
        <f t="shared" si="25"/>
        <v>2</v>
      </c>
      <c r="AJ35" s="50">
        <f t="shared" si="25"/>
        <v>1</v>
      </c>
      <c r="AK35" s="50">
        <f t="shared" si="25"/>
        <v>1</v>
      </c>
      <c r="AL35" s="50">
        <f t="shared" si="25"/>
        <v>1.1000000000000001</v>
      </c>
      <c r="AM35" s="50">
        <f t="shared" si="25"/>
        <v>1.02</v>
      </c>
      <c r="AN35" s="50">
        <f t="shared" si="25"/>
        <v>1.1000000000000001</v>
      </c>
      <c r="AO35" s="50">
        <f t="shared" si="25"/>
        <v>1.05</v>
      </c>
      <c r="AP35" s="50">
        <f t="shared" si="25"/>
        <v>1.27</v>
      </c>
      <c r="AQ35" s="50">
        <f t="shared" si="25"/>
        <v>1.1000000000000001</v>
      </c>
      <c r="AR35" s="50">
        <f t="shared" si="25"/>
        <v>1.1000000000000001</v>
      </c>
      <c r="AS35" s="50">
        <f t="shared" si="25"/>
        <v>1.25</v>
      </c>
      <c r="AT35" s="50">
        <f t="shared" si="25"/>
        <v>1</v>
      </c>
      <c r="AU35" s="50">
        <f t="shared" si="25"/>
        <v>1</v>
      </c>
      <c r="AV35" s="50">
        <f t="shared" si="25"/>
        <v>1</v>
      </c>
      <c r="AW35" s="50">
        <f t="shared" si="25"/>
        <v>1</v>
      </c>
      <c r="AX35" s="50">
        <f t="shared" si="25"/>
        <v>1.01</v>
      </c>
      <c r="AY35" s="50">
        <f t="shared" si="25"/>
        <v>1.2</v>
      </c>
      <c r="AZ35" s="50">
        <f t="shared" si="25"/>
        <v>1.5</v>
      </c>
      <c r="BA35" s="50">
        <f t="shared" si="25"/>
        <v>1.25</v>
      </c>
      <c r="BB35" s="50">
        <f t="shared" si="25"/>
        <v>1.35</v>
      </c>
      <c r="BC35" s="50">
        <f t="shared" si="25"/>
        <v>1.1000000000000001</v>
      </c>
      <c r="BD35" s="50">
        <f t="shared" si="25"/>
        <v>1.3000000000000003</v>
      </c>
      <c r="BE35" s="50">
        <f t="shared" si="25"/>
        <v>1.4500000000000002</v>
      </c>
      <c r="BF35" s="50">
        <f t="shared" si="25"/>
        <v>1.4000000000000004</v>
      </c>
      <c r="BG35" s="50">
        <f t="shared" si="25"/>
        <v>1</v>
      </c>
      <c r="BH35" s="50">
        <f t="shared" si="25"/>
        <v>1.02</v>
      </c>
      <c r="BI35" s="50">
        <f t="shared" si="25"/>
        <v>1.2000000000000002</v>
      </c>
      <c r="BJ35" s="50">
        <f t="shared" si="25"/>
        <v>1.05</v>
      </c>
      <c r="BK35" s="50">
        <f t="shared" si="25"/>
        <v>1</v>
      </c>
      <c r="BL35" s="50">
        <f t="shared" si="25"/>
        <v>1</v>
      </c>
      <c r="BM35" s="50">
        <f t="shared" si="25"/>
        <v>1.02</v>
      </c>
      <c r="BN35" s="50">
        <f t="shared" ref="BN35:CE35" si="26">SUM(BN2:BN8)</f>
        <v>1.02</v>
      </c>
      <c r="BO35" s="50">
        <f t="shared" si="26"/>
        <v>1</v>
      </c>
      <c r="BP35" s="50">
        <f t="shared" si="26"/>
        <v>1</v>
      </c>
      <c r="BQ35" s="50">
        <f t="shared" si="26"/>
        <v>1</v>
      </c>
      <c r="BR35" s="50">
        <f t="shared" si="26"/>
        <v>1.1000000000000001</v>
      </c>
      <c r="BS35" s="50">
        <f t="shared" si="26"/>
        <v>1.02</v>
      </c>
      <c r="BT35" s="50">
        <f t="shared" si="26"/>
        <v>1.05</v>
      </c>
      <c r="BU35" s="50">
        <f t="shared" si="26"/>
        <v>1.02</v>
      </c>
      <c r="BV35" s="50">
        <f t="shared" si="26"/>
        <v>1</v>
      </c>
      <c r="BW35" s="50">
        <f t="shared" si="26"/>
        <v>1</v>
      </c>
      <c r="BX35" s="50">
        <f t="shared" si="26"/>
        <v>1.55</v>
      </c>
      <c r="BY35" s="50">
        <f t="shared" si="26"/>
        <v>1.2500000000000002</v>
      </c>
      <c r="BZ35" s="50">
        <f t="shared" si="26"/>
        <v>1.1000000000000001</v>
      </c>
      <c r="CA35" s="50">
        <f t="shared" si="26"/>
        <v>1.1000000000000001</v>
      </c>
      <c r="CB35" s="50">
        <f t="shared" si="26"/>
        <v>1</v>
      </c>
      <c r="CC35" s="50">
        <f t="shared" si="26"/>
        <v>1</v>
      </c>
      <c r="CD35" s="50">
        <f t="shared" si="26"/>
        <v>1</v>
      </c>
      <c r="CE35" s="50">
        <f t="shared" si="26"/>
        <v>1</v>
      </c>
      <c r="CO35" s="56">
        <f t="shared" ref="CO35:CV35" si="27">CO34/CO33</f>
        <v>6.1890990990990988E-5</v>
      </c>
      <c r="CP35" s="56">
        <f t="shared" si="27"/>
        <v>2.3979406420351302E-4</v>
      </c>
      <c r="CQ35" s="56">
        <f t="shared" si="27"/>
        <v>1.8353391684901532E-4</v>
      </c>
      <c r="CR35" s="56">
        <f t="shared" si="27"/>
        <v>1.6041218637992833E-4</v>
      </c>
      <c r="CS35" s="56">
        <f t="shared" si="27"/>
        <v>1.2159533073929962E-6</v>
      </c>
      <c r="CT35" s="56">
        <f t="shared" si="27"/>
        <v>4.1935399999999998E-4</v>
      </c>
      <c r="CU35" s="56">
        <f t="shared" si="27"/>
        <v>5.052263749620176E-4</v>
      </c>
      <c r="CV35" s="56">
        <f t="shared" si="27"/>
        <v>3.8356883326604762E-4</v>
      </c>
      <c r="CX35" s="50">
        <f t="shared" si="21"/>
        <v>0.258432</v>
      </c>
      <c r="CY35">
        <v>34</v>
      </c>
      <c r="CZ35">
        <v>129216</v>
      </c>
      <c r="DA35" s="58">
        <f t="shared" si="22"/>
        <v>3800</v>
      </c>
      <c r="DB35" s="50">
        <f t="shared" si="23"/>
        <v>0.66995033026742845</v>
      </c>
    </row>
    <row r="36" spans="1:106">
      <c r="A36" s="46">
        <v>1848</v>
      </c>
      <c r="B36" s="50">
        <f t="shared" ref="B36:AG36" si="28">SUM(B2:B9)</f>
        <v>0.37</v>
      </c>
      <c r="C36" s="50">
        <f t="shared" si="28"/>
        <v>0.10000000000000003</v>
      </c>
      <c r="D36" s="50">
        <f t="shared" si="28"/>
        <v>0.4</v>
      </c>
      <c r="E36" s="50">
        <f t="shared" si="28"/>
        <v>1</v>
      </c>
      <c r="F36" s="50">
        <f t="shared" si="28"/>
        <v>1.25</v>
      </c>
      <c r="G36" s="50">
        <f t="shared" si="28"/>
        <v>2.5</v>
      </c>
      <c r="H36" s="50">
        <f t="shared" si="28"/>
        <v>2.0700000000000003</v>
      </c>
      <c r="I36" s="52">
        <f t="shared" si="28"/>
        <v>1</v>
      </c>
      <c r="J36" s="52">
        <f t="shared" si="28"/>
        <v>1</v>
      </c>
      <c r="K36" s="50">
        <f t="shared" si="28"/>
        <v>0.97</v>
      </c>
      <c r="L36" s="50">
        <f t="shared" si="28"/>
        <v>1.0900000000000001</v>
      </c>
      <c r="M36" s="50">
        <f t="shared" si="28"/>
        <v>1.4500000000000002</v>
      </c>
      <c r="N36" s="50">
        <f t="shared" si="28"/>
        <v>0.95</v>
      </c>
      <c r="O36" s="52">
        <f t="shared" si="28"/>
        <v>6.0000000000000006E-4</v>
      </c>
      <c r="P36" s="50">
        <f t="shared" si="28"/>
        <v>0.9</v>
      </c>
      <c r="Q36" s="50">
        <f t="shared" si="28"/>
        <v>1.65</v>
      </c>
      <c r="R36" s="56">
        <f t="shared" si="28"/>
        <v>2</v>
      </c>
      <c r="S36" s="56">
        <f t="shared" si="28"/>
        <v>147</v>
      </c>
      <c r="T36" s="50">
        <f t="shared" si="28"/>
        <v>1</v>
      </c>
      <c r="U36" s="54">
        <f t="shared" si="28"/>
        <v>0.996</v>
      </c>
      <c r="V36" s="50">
        <f t="shared" si="28"/>
        <v>1.5</v>
      </c>
      <c r="W36" s="50">
        <f t="shared" si="28"/>
        <v>1.5</v>
      </c>
      <c r="X36" s="50">
        <f t="shared" si="28"/>
        <v>1.4</v>
      </c>
      <c r="Y36" s="50">
        <f t="shared" si="28"/>
        <v>2.7</v>
      </c>
      <c r="Z36" s="50">
        <f t="shared" si="28"/>
        <v>1.25</v>
      </c>
      <c r="AA36" s="50">
        <f t="shared" si="28"/>
        <v>1.4000000000000001</v>
      </c>
      <c r="AB36" s="50">
        <f t="shared" si="28"/>
        <v>1.25</v>
      </c>
      <c r="AC36" s="50">
        <f t="shared" si="28"/>
        <v>1</v>
      </c>
      <c r="AD36" s="50">
        <f t="shared" si="28"/>
        <v>1.25</v>
      </c>
      <c r="AE36" s="50">
        <f t="shared" si="28"/>
        <v>1.25</v>
      </c>
      <c r="AF36" s="50">
        <f t="shared" si="28"/>
        <v>1.3</v>
      </c>
      <c r="AG36" s="50">
        <f t="shared" si="28"/>
        <v>1.1000000000000001</v>
      </c>
      <c r="AH36" s="50">
        <f t="shared" ref="AH36:BM36" si="29">SUM(AH2:AH9)</f>
        <v>2</v>
      </c>
      <c r="AI36" s="50">
        <f t="shared" si="29"/>
        <v>2</v>
      </c>
      <c r="AJ36" s="50">
        <f t="shared" si="29"/>
        <v>1</v>
      </c>
      <c r="AK36" s="50">
        <f t="shared" si="29"/>
        <v>1</v>
      </c>
      <c r="AL36" s="50">
        <f t="shared" si="29"/>
        <v>1.1000000000000001</v>
      </c>
      <c r="AM36" s="50">
        <f t="shared" si="29"/>
        <v>1.02</v>
      </c>
      <c r="AN36" s="50">
        <f t="shared" si="29"/>
        <v>1.1000000000000001</v>
      </c>
      <c r="AO36" s="50">
        <f t="shared" si="29"/>
        <v>1.05</v>
      </c>
      <c r="AP36" s="50">
        <f t="shared" si="29"/>
        <v>1.27</v>
      </c>
      <c r="AQ36" s="50">
        <f t="shared" si="29"/>
        <v>1.1000000000000001</v>
      </c>
      <c r="AR36" s="50">
        <f t="shared" si="29"/>
        <v>1.1000000000000001</v>
      </c>
      <c r="AS36" s="50">
        <f t="shared" si="29"/>
        <v>1.25</v>
      </c>
      <c r="AT36" s="50">
        <f t="shared" si="29"/>
        <v>1</v>
      </c>
      <c r="AU36" s="50">
        <f t="shared" si="29"/>
        <v>1</v>
      </c>
      <c r="AV36" s="50">
        <f t="shared" si="29"/>
        <v>1</v>
      </c>
      <c r="AW36" s="50">
        <f t="shared" si="29"/>
        <v>1</v>
      </c>
      <c r="AX36" s="50">
        <f t="shared" si="29"/>
        <v>1.01</v>
      </c>
      <c r="AY36" s="50">
        <f t="shared" si="29"/>
        <v>1.2</v>
      </c>
      <c r="AZ36" s="50">
        <f t="shared" si="29"/>
        <v>1.5</v>
      </c>
      <c r="BA36" s="50">
        <f t="shared" si="29"/>
        <v>1.25</v>
      </c>
      <c r="BB36" s="50">
        <f t="shared" si="29"/>
        <v>1.35</v>
      </c>
      <c r="BC36" s="50">
        <f t="shared" si="29"/>
        <v>1.1000000000000001</v>
      </c>
      <c r="BD36" s="50">
        <f t="shared" si="29"/>
        <v>1.3000000000000003</v>
      </c>
      <c r="BE36" s="50">
        <f t="shared" si="29"/>
        <v>1.4500000000000002</v>
      </c>
      <c r="BF36" s="50">
        <f t="shared" si="29"/>
        <v>1.4000000000000004</v>
      </c>
      <c r="BG36" s="50">
        <f t="shared" si="29"/>
        <v>1</v>
      </c>
      <c r="BH36" s="50">
        <f t="shared" si="29"/>
        <v>1.02</v>
      </c>
      <c r="BI36" s="50">
        <f t="shared" si="29"/>
        <v>1.2000000000000002</v>
      </c>
      <c r="BJ36" s="50">
        <f t="shared" si="29"/>
        <v>1.05</v>
      </c>
      <c r="BK36" s="50">
        <f t="shared" si="29"/>
        <v>1</v>
      </c>
      <c r="BL36" s="50">
        <f t="shared" si="29"/>
        <v>1</v>
      </c>
      <c r="BM36" s="50">
        <f t="shared" si="29"/>
        <v>1.02</v>
      </c>
      <c r="BN36" s="50">
        <f t="shared" ref="BN36:CE36" si="30">SUM(BN2:BN9)</f>
        <v>1.02</v>
      </c>
      <c r="BO36" s="50">
        <f t="shared" si="30"/>
        <v>1</v>
      </c>
      <c r="BP36" s="50">
        <f t="shared" si="30"/>
        <v>1</v>
      </c>
      <c r="BQ36" s="50">
        <f t="shared" si="30"/>
        <v>1</v>
      </c>
      <c r="BR36" s="50">
        <f t="shared" si="30"/>
        <v>1.1000000000000001</v>
      </c>
      <c r="BS36" s="50">
        <f t="shared" si="30"/>
        <v>1.02</v>
      </c>
      <c r="BT36" s="50">
        <f t="shared" si="30"/>
        <v>1.05</v>
      </c>
      <c r="BU36" s="50">
        <f t="shared" si="30"/>
        <v>1.02</v>
      </c>
      <c r="BV36" s="50">
        <f t="shared" si="30"/>
        <v>1</v>
      </c>
      <c r="BW36" s="50">
        <f t="shared" si="30"/>
        <v>1</v>
      </c>
      <c r="BX36" s="50">
        <f t="shared" si="30"/>
        <v>1.55</v>
      </c>
      <c r="BY36" s="50">
        <f t="shared" si="30"/>
        <v>1.2500000000000002</v>
      </c>
      <c r="BZ36" s="50">
        <f t="shared" si="30"/>
        <v>1.1000000000000001</v>
      </c>
      <c r="CA36" s="50">
        <f t="shared" si="30"/>
        <v>1.1000000000000001</v>
      </c>
      <c r="CB36" s="50">
        <f t="shared" si="30"/>
        <v>1</v>
      </c>
      <c r="CC36" s="50">
        <f t="shared" si="30"/>
        <v>1</v>
      </c>
      <c r="CD36" s="50">
        <f t="shared" si="30"/>
        <v>1</v>
      </c>
      <c r="CE36" s="50">
        <f t="shared" si="30"/>
        <v>1</v>
      </c>
      <c r="CX36" s="50">
        <f t="shared" si="21"/>
        <v>0.26603199999999999</v>
      </c>
      <c r="CY36">
        <v>35</v>
      </c>
      <c r="CZ36">
        <v>133016</v>
      </c>
      <c r="DA36" s="58">
        <f t="shared" si="22"/>
        <v>3800</v>
      </c>
      <c r="DB36" s="50">
        <f t="shared" si="23"/>
        <v>0.68965231187199938</v>
      </c>
    </row>
    <row r="37" spans="1:106">
      <c r="A37" s="46">
        <v>1850</v>
      </c>
      <c r="B37" s="50">
        <f t="shared" ref="B37:AG37" si="31">SUM(B2:B10)</f>
        <v>0.47</v>
      </c>
      <c r="C37" s="50">
        <f t="shared" si="31"/>
        <v>0.10000000000000003</v>
      </c>
      <c r="D37" s="50">
        <f t="shared" si="31"/>
        <v>0.45</v>
      </c>
      <c r="E37" s="50">
        <f t="shared" si="31"/>
        <v>1</v>
      </c>
      <c r="F37" s="50">
        <f t="shared" si="31"/>
        <v>1.25</v>
      </c>
      <c r="G37" s="50">
        <f t="shared" si="31"/>
        <v>2.65</v>
      </c>
      <c r="H37" s="50">
        <f t="shared" si="31"/>
        <v>2.7700000000000005</v>
      </c>
      <c r="I37" s="52">
        <f t="shared" si="31"/>
        <v>1</v>
      </c>
      <c r="J37" s="52">
        <f t="shared" si="31"/>
        <v>1</v>
      </c>
      <c r="K37" s="50">
        <f t="shared" si="31"/>
        <v>0.96</v>
      </c>
      <c r="L37" s="50">
        <f t="shared" si="31"/>
        <v>1.1600000000000001</v>
      </c>
      <c r="M37" s="50">
        <f t="shared" si="31"/>
        <v>1.6</v>
      </c>
      <c r="N37" s="50">
        <f t="shared" si="31"/>
        <v>0.87</v>
      </c>
      <c r="O37" s="52">
        <f t="shared" si="31"/>
        <v>6.0000000000000006E-4</v>
      </c>
      <c r="P37" s="50">
        <f t="shared" si="31"/>
        <v>0.9</v>
      </c>
      <c r="Q37" s="50">
        <f t="shared" si="31"/>
        <v>2.4500000000000002</v>
      </c>
      <c r="R37" s="56">
        <f t="shared" si="31"/>
        <v>3</v>
      </c>
      <c r="S37" s="56">
        <f t="shared" si="31"/>
        <v>147</v>
      </c>
      <c r="T37" s="50">
        <f t="shared" si="31"/>
        <v>1</v>
      </c>
      <c r="U37" s="54">
        <f t="shared" si="31"/>
        <v>0.996</v>
      </c>
      <c r="V37" s="50">
        <f t="shared" si="31"/>
        <v>1.5</v>
      </c>
      <c r="W37" s="50">
        <f t="shared" si="31"/>
        <v>1.5</v>
      </c>
      <c r="X37" s="50">
        <f t="shared" si="31"/>
        <v>1.4</v>
      </c>
      <c r="Y37" s="50">
        <f t="shared" si="31"/>
        <v>3.35</v>
      </c>
      <c r="Z37" s="50">
        <f t="shared" si="31"/>
        <v>1.5</v>
      </c>
      <c r="AA37" s="50">
        <f t="shared" si="31"/>
        <v>1.6500000000000001</v>
      </c>
      <c r="AB37" s="50">
        <f t="shared" si="31"/>
        <v>1.5</v>
      </c>
      <c r="AC37" s="50">
        <f t="shared" si="31"/>
        <v>1</v>
      </c>
      <c r="AD37" s="50">
        <f t="shared" si="31"/>
        <v>2.75</v>
      </c>
      <c r="AE37" s="50">
        <f t="shared" si="31"/>
        <v>1.5</v>
      </c>
      <c r="AF37" s="50">
        <f t="shared" si="31"/>
        <v>1.6</v>
      </c>
      <c r="AG37" s="50">
        <f t="shared" si="31"/>
        <v>1.1000000000000001</v>
      </c>
      <c r="AH37" s="50">
        <f t="shared" ref="AH37:BM37" si="32">SUM(AH2:AH10)</f>
        <v>2.6</v>
      </c>
      <c r="AI37" s="50">
        <f t="shared" si="32"/>
        <v>2</v>
      </c>
      <c r="AJ37" s="50">
        <f t="shared" si="32"/>
        <v>1.1000000000000001</v>
      </c>
      <c r="AK37" s="50">
        <f t="shared" si="32"/>
        <v>1.4</v>
      </c>
      <c r="AL37" s="50">
        <f t="shared" si="32"/>
        <v>1.25</v>
      </c>
      <c r="AM37" s="50">
        <f t="shared" si="32"/>
        <v>1.02</v>
      </c>
      <c r="AN37" s="50">
        <f t="shared" si="32"/>
        <v>1.1000000000000001</v>
      </c>
      <c r="AO37" s="50">
        <f t="shared" si="32"/>
        <v>1.05</v>
      </c>
      <c r="AP37" s="50">
        <f t="shared" si="32"/>
        <v>1.27</v>
      </c>
      <c r="AQ37" s="50">
        <f t="shared" si="32"/>
        <v>1.1000000000000001</v>
      </c>
      <c r="AR37" s="50">
        <f t="shared" si="32"/>
        <v>1.1000000000000001</v>
      </c>
      <c r="AS37" s="50">
        <f t="shared" si="32"/>
        <v>1.25</v>
      </c>
      <c r="AT37" s="50">
        <f t="shared" si="32"/>
        <v>1</v>
      </c>
      <c r="AU37" s="50">
        <f t="shared" si="32"/>
        <v>1</v>
      </c>
      <c r="AV37" s="50">
        <f t="shared" si="32"/>
        <v>1</v>
      </c>
      <c r="AW37" s="50">
        <f t="shared" si="32"/>
        <v>1</v>
      </c>
      <c r="AX37" s="50">
        <f t="shared" si="32"/>
        <v>1.01</v>
      </c>
      <c r="AY37" s="50">
        <f t="shared" si="32"/>
        <v>1.5</v>
      </c>
      <c r="AZ37" s="50">
        <f t="shared" si="32"/>
        <v>1.6</v>
      </c>
      <c r="BA37" s="50">
        <f t="shared" si="32"/>
        <v>1.25</v>
      </c>
      <c r="BB37" s="50">
        <f t="shared" si="32"/>
        <v>1.35</v>
      </c>
      <c r="BC37" s="50">
        <f t="shared" si="32"/>
        <v>1.1000000000000001</v>
      </c>
      <c r="BD37" s="50">
        <f t="shared" si="32"/>
        <v>1.6500000000000004</v>
      </c>
      <c r="BE37" s="50">
        <f t="shared" si="32"/>
        <v>1.9500000000000002</v>
      </c>
      <c r="BF37" s="50">
        <f t="shared" si="32"/>
        <v>2.2500000000000004</v>
      </c>
      <c r="BG37" s="50">
        <f t="shared" si="32"/>
        <v>1.2</v>
      </c>
      <c r="BH37" s="50">
        <f t="shared" si="32"/>
        <v>1.07</v>
      </c>
      <c r="BI37" s="50">
        <f t="shared" si="32"/>
        <v>1.5000000000000002</v>
      </c>
      <c r="BJ37" s="50">
        <f t="shared" si="32"/>
        <v>1.05</v>
      </c>
      <c r="BK37" s="50">
        <f t="shared" si="32"/>
        <v>1.1000000000000001</v>
      </c>
      <c r="BL37" s="50">
        <f t="shared" si="32"/>
        <v>1</v>
      </c>
      <c r="BM37" s="50">
        <f t="shared" si="32"/>
        <v>1.02</v>
      </c>
      <c r="BN37" s="50">
        <f t="shared" ref="BN37:CE37" si="33">SUM(BN2:BN10)</f>
        <v>1.02</v>
      </c>
      <c r="BO37" s="50">
        <f t="shared" si="33"/>
        <v>1</v>
      </c>
      <c r="BP37" s="50">
        <f t="shared" si="33"/>
        <v>1</v>
      </c>
      <c r="BQ37" s="50">
        <f t="shared" si="33"/>
        <v>1</v>
      </c>
      <c r="BR37" s="50">
        <f t="shared" si="33"/>
        <v>1.1000000000000001</v>
      </c>
      <c r="BS37" s="50">
        <f t="shared" si="33"/>
        <v>1.02</v>
      </c>
      <c r="BT37" s="50">
        <f t="shared" si="33"/>
        <v>1.1500000000000001</v>
      </c>
      <c r="BU37" s="50">
        <f t="shared" si="33"/>
        <v>1.07</v>
      </c>
      <c r="BV37" s="50">
        <f t="shared" si="33"/>
        <v>1</v>
      </c>
      <c r="BW37" s="50">
        <f t="shared" si="33"/>
        <v>1</v>
      </c>
      <c r="BX37" s="50">
        <f t="shared" si="33"/>
        <v>1.8</v>
      </c>
      <c r="BY37" s="50">
        <f t="shared" si="33"/>
        <v>1.3500000000000003</v>
      </c>
      <c r="BZ37" s="50">
        <f t="shared" si="33"/>
        <v>1.2000000000000002</v>
      </c>
      <c r="CA37" s="50">
        <f t="shared" si="33"/>
        <v>1.2000000000000002</v>
      </c>
      <c r="CB37" s="50">
        <f t="shared" si="33"/>
        <v>1.5</v>
      </c>
      <c r="CC37" s="50">
        <f t="shared" si="33"/>
        <v>1.2</v>
      </c>
      <c r="CD37" s="50">
        <f t="shared" si="33"/>
        <v>1.1000000000000001</v>
      </c>
      <c r="CE37" s="50">
        <f t="shared" si="33"/>
        <v>1.5</v>
      </c>
      <c r="CX37" s="50">
        <f t="shared" si="21"/>
        <v>0.27363399999999999</v>
      </c>
      <c r="CY37">
        <v>36</v>
      </c>
      <c r="CZ37">
        <v>136817</v>
      </c>
      <c r="DA37" s="58">
        <f t="shared" si="22"/>
        <v>3801</v>
      </c>
      <c r="DB37" s="50">
        <f t="shared" si="23"/>
        <v>0.70935947820857137</v>
      </c>
    </row>
    <row r="38" spans="1:106">
      <c r="A38" s="46">
        <v>1855</v>
      </c>
      <c r="B38" s="50">
        <f t="shared" ref="B38:AG38" si="34">SUM(B2:B11)</f>
        <v>0.47</v>
      </c>
      <c r="C38" s="50">
        <f t="shared" si="34"/>
        <v>0.10000000000000003</v>
      </c>
      <c r="D38" s="50">
        <f t="shared" si="34"/>
        <v>0.45</v>
      </c>
      <c r="E38" s="50">
        <f t="shared" si="34"/>
        <v>1</v>
      </c>
      <c r="F38" s="50">
        <f t="shared" si="34"/>
        <v>1.25</v>
      </c>
      <c r="G38" s="50">
        <f t="shared" si="34"/>
        <v>2.65</v>
      </c>
      <c r="H38" s="50">
        <f t="shared" si="34"/>
        <v>2.7700000000000005</v>
      </c>
      <c r="I38" s="52">
        <f t="shared" si="34"/>
        <v>1</v>
      </c>
      <c r="J38" s="52">
        <f t="shared" si="34"/>
        <v>1</v>
      </c>
      <c r="K38" s="50">
        <f t="shared" si="34"/>
        <v>0.96</v>
      </c>
      <c r="L38" s="50">
        <f t="shared" si="34"/>
        <v>1.1600000000000001</v>
      </c>
      <c r="M38" s="50">
        <f t="shared" si="34"/>
        <v>1.6</v>
      </c>
      <c r="N38" s="50">
        <f t="shared" si="34"/>
        <v>0.87</v>
      </c>
      <c r="O38" s="52">
        <f t="shared" si="34"/>
        <v>6.0000000000000006E-4</v>
      </c>
      <c r="P38" s="50">
        <f t="shared" si="34"/>
        <v>0.9</v>
      </c>
      <c r="Q38" s="50">
        <f t="shared" si="34"/>
        <v>2.4500000000000002</v>
      </c>
      <c r="R38" s="56">
        <f t="shared" si="34"/>
        <v>3</v>
      </c>
      <c r="S38" s="56">
        <f t="shared" si="34"/>
        <v>147</v>
      </c>
      <c r="T38" s="50">
        <f t="shared" si="34"/>
        <v>1</v>
      </c>
      <c r="U38" s="54">
        <f t="shared" si="34"/>
        <v>0.996</v>
      </c>
      <c r="V38" s="50">
        <f t="shared" si="34"/>
        <v>1.5</v>
      </c>
      <c r="W38" s="50">
        <f t="shared" si="34"/>
        <v>1.5</v>
      </c>
      <c r="X38" s="50">
        <f t="shared" si="34"/>
        <v>1.4</v>
      </c>
      <c r="Y38" s="50">
        <f t="shared" si="34"/>
        <v>3.35</v>
      </c>
      <c r="Z38" s="50">
        <f t="shared" si="34"/>
        <v>1.5</v>
      </c>
      <c r="AA38" s="50">
        <f t="shared" si="34"/>
        <v>1.6500000000000001</v>
      </c>
      <c r="AB38" s="50">
        <f t="shared" si="34"/>
        <v>1.5</v>
      </c>
      <c r="AC38" s="50">
        <f t="shared" si="34"/>
        <v>1</v>
      </c>
      <c r="AD38" s="50">
        <f t="shared" si="34"/>
        <v>2.75</v>
      </c>
      <c r="AE38" s="50">
        <f t="shared" si="34"/>
        <v>1.5</v>
      </c>
      <c r="AF38" s="50">
        <f t="shared" si="34"/>
        <v>1.6</v>
      </c>
      <c r="AG38" s="50">
        <f t="shared" si="34"/>
        <v>1.1000000000000001</v>
      </c>
      <c r="AH38" s="50">
        <f t="shared" ref="AH38:BM38" si="35">SUM(AH2:AH11)</f>
        <v>2.6</v>
      </c>
      <c r="AI38" s="50">
        <f t="shared" si="35"/>
        <v>2</v>
      </c>
      <c r="AJ38" s="50">
        <f t="shared" si="35"/>
        <v>1.1000000000000001</v>
      </c>
      <c r="AK38" s="50">
        <f t="shared" si="35"/>
        <v>1.4</v>
      </c>
      <c r="AL38" s="50">
        <f t="shared" si="35"/>
        <v>1.25</v>
      </c>
      <c r="AM38" s="50">
        <f t="shared" si="35"/>
        <v>1.02</v>
      </c>
      <c r="AN38" s="50">
        <f t="shared" si="35"/>
        <v>1.1000000000000001</v>
      </c>
      <c r="AO38" s="50">
        <f t="shared" si="35"/>
        <v>1.05</v>
      </c>
      <c r="AP38" s="50">
        <f t="shared" si="35"/>
        <v>1.27</v>
      </c>
      <c r="AQ38" s="50">
        <f t="shared" si="35"/>
        <v>1.1000000000000001</v>
      </c>
      <c r="AR38" s="50">
        <f t="shared" si="35"/>
        <v>1.1000000000000001</v>
      </c>
      <c r="AS38" s="50">
        <f t="shared" si="35"/>
        <v>1.25</v>
      </c>
      <c r="AT38" s="50">
        <f t="shared" si="35"/>
        <v>1</v>
      </c>
      <c r="AU38" s="50">
        <f t="shared" si="35"/>
        <v>1</v>
      </c>
      <c r="AV38" s="50">
        <f t="shared" si="35"/>
        <v>1</v>
      </c>
      <c r="AW38" s="50">
        <f t="shared" si="35"/>
        <v>1</v>
      </c>
      <c r="AX38" s="50">
        <f t="shared" si="35"/>
        <v>1.01</v>
      </c>
      <c r="AY38" s="50">
        <f t="shared" si="35"/>
        <v>1.5</v>
      </c>
      <c r="AZ38" s="50">
        <f t="shared" si="35"/>
        <v>1.6</v>
      </c>
      <c r="BA38" s="50">
        <f t="shared" si="35"/>
        <v>1.25</v>
      </c>
      <c r="BB38" s="50">
        <f t="shared" si="35"/>
        <v>1.35</v>
      </c>
      <c r="BC38" s="50">
        <f t="shared" si="35"/>
        <v>1.1000000000000001</v>
      </c>
      <c r="BD38" s="50">
        <f t="shared" si="35"/>
        <v>1.6500000000000004</v>
      </c>
      <c r="BE38" s="50">
        <f t="shared" si="35"/>
        <v>1.9500000000000002</v>
      </c>
      <c r="BF38" s="50">
        <f t="shared" si="35"/>
        <v>2.2500000000000004</v>
      </c>
      <c r="BG38" s="50">
        <f t="shared" si="35"/>
        <v>1.2</v>
      </c>
      <c r="BH38" s="50">
        <f t="shared" si="35"/>
        <v>1.07</v>
      </c>
      <c r="BI38" s="50">
        <f t="shared" si="35"/>
        <v>1.5000000000000002</v>
      </c>
      <c r="BJ38" s="50">
        <f t="shared" si="35"/>
        <v>1.05</v>
      </c>
      <c r="BK38" s="50">
        <f t="shared" si="35"/>
        <v>1.1000000000000001</v>
      </c>
      <c r="BL38" s="50">
        <f t="shared" si="35"/>
        <v>1</v>
      </c>
      <c r="BM38" s="50">
        <f t="shared" si="35"/>
        <v>1.02</v>
      </c>
      <c r="BN38" s="50">
        <f t="shared" ref="BN38:CE38" si="36">SUM(BN2:BN11)</f>
        <v>1.02</v>
      </c>
      <c r="BO38" s="50">
        <f t="shared" si="36"/>
        <v>1</v>
      </c>
      <c r="BP38" s="50">
        <f t="shared" si="36"/>
        <v>1</v>
      </c>
      <c r="BQ38" s="50">
        <f t="shared" si="36"/>
        <v>1</v>
      </c>
      <c r="BR38" s="50">
        <f t="shared" si="36"/>
        <v>1.1000000000000001</v>
      </c>
      <c r="BS38" s="50">
        <f t="shared" si="36"/>
        <v>1.02</v>
      </c>
      <c r="BT38" s="50">
        <f t="shared" si="36"/>
        <v>1.1500000000000001</v>
      </c>
      <c r="BU38" s="50">
        <f t="shared" si="36"/>
        <v>1.07</v>
      </c>
      <c r="BV38" s="50">
        <f t="shared" si="36"/>
        <v>1</v>
      </c>
      <c r="BW38" s="50">
        <f t="shared" si="36"/>
        <v>1</v>
      </c>
      <c r="BX38" s="50">
        <f t="shared" si="36"/>
        <v>1.8</v>
      </c>
      <c r="BY38" s="50">
        <f t="shared" si="36"/>
        <v>1.3500000000000003</v>
      </c>
      <c r="BZ38" s="50">
        <f t="shared" si="36"/>
        <v>1.2000000000000002</v>
      </c>
      <c r="CA38" s="50">
        <f t="shared" si="36"/>
        <v>1.2000000000000002</v>
      </c>
      <c r="CB38" s="50">
        <f t="shared" si="36"/>
        <v>1.5</v>
      </c>
      <c r="CC38" s="50">
        <f t="shared" si="36"/>
        <v>1.2</v>
      </c>
      <c r="CD38" s="50">
        <f t="shared" si="36"/>
        <v>1.1000000000000001</v>
      </c>
      <c r="CE38" s="50">
        <f t="shared" si="36"/>
        <v>1.5</v>
      </c>
      <c r="CX38" s="50">
        <f t="shared" si="21"/>
        <v>0.28083399999999997</v>
      </c>
      <c r="CY38">
        <v>37</v>
      </c>
      <c r="CZ38">
        <v>140417</v>
      </c>
      <c r="DA38" s="58">
        <f t="shared" si="22"/>
        <v>3600</v>
      </c>
      <c r="DB38" s="50">
        <f t="shared" si="23"/>
        <v>0.72802451341290164</v>
      </c>
    </row>
    <row r="39" spans="1:106">
      <c r="A39" s="46">
        <v>1860</v>
      </c>
      <c r="B39" s="50">
        <f t="shared" ref="B39:AG39" si="37">SUM(B2:B12)</f>
        <v>0.47</v>
      </c>
      <c r="C39" s="50">
        <f t="shared" si="37"/>
        <v>0.10000000000000003</v>
      </c>
      <c r="D39" s="50">
        <f t="shared" si="37"/>
        <v>0.45</v>
      </c>
      <c r="E39" s="50">
        <f t="shared" si="37"/>
        <v>1</v>
      </c>
      <c r="F39" s="50">
        <f t="shared" si="37"/>
        <v>1.25</v>
      </c>
      <c r="G39" s="50">
        <f t="shared" si="37"/>
        <v>2.65</v>
      </c>
      <c r="H39" s="50">
        <f t="shared" si="37"/>
        <v>2.7700000000000005</v>
      </c>
      <c r="I39" s="52">
        <f t="shared" si="37"/>
        <v>1</v>
      </c>
      <c r="J39" s="52">
        <f t="shared" si="37"/>
        <v>1</v>
      </c>
      <c r="K39" s="50">
        <f t="shared" si="37"/>
        <v>0.96</v>
      </c>
      <c r="L39" s="50">
        <f t="shared" si="37"/>
        <v>1.1600000000000001</v>
      </c>
      <c r="M39" s="50">
        <f t="shared" si="37"/>
        <v>1.6</v>
      </c>
      <c r="N39" s="50">
        <f t="shared" si="37"/>
        <v>0.87</v>
      </c>
      <c r="O39" s="52">
        <f t="shared" si="37"/>
        <v>6.0000000000000006E-4</v>
      </c>
      <c r="P39" s="50">
        <f t="shared" si="37"/>
        <v>0.9</v>
      </c>
      <c r="Q39" s="50">
        <f t="shared" si="37"/>
        <v>2.4500000000000002</v>
      </c>
      <c r="R39" s="56">
        <f t="shared" si="37"/>
        <v>3</v>
      </c>
      <c r="S39" s="56">
        <f t="shared" si="37"/>
        <v>147</v>
      </c>
      <c r="T39" s="50">
        <f t="shared" si="37"/>
        <v>1</v>
      </c>
      <c r="U39" s="54">
        <f t="shared" si="37"/>
        <v>0.996</v>
      </c>
      <c r="V39" s="50">
        <f t="shared" si="37"/>
        <v>1.5</v>
      </c>
      <c r="W39" s="50">
        <f t="shared" si="37"/>
        <v>1.5</v>
      </c>
      <c r="X39" s="50">
        <f t="shared" si="37"/>
        <v>1.4</v>
      </c>
      <c r="Y39" s="50">
        <f t="shared" si="37"/>
        <v>3.35</v>
      </c>
      <c r="Z39" s="50">
        <f t="shared" si="37"/>
        <v>1.5</v>
      </c>
      <c r="AA39" s="50">
        <f t="shared" si="37"/>
        <v>1.6500000000000001</v>
      </c>
      <c r="AB39" s="50">
        <f t="shared" si="37"/>
        <v>1.5</v>
      </c>
      <c r="AC39" s="50">
        <f t="shared" si="37"/>
        <v>1.05</v>
      </c>
      <c r="AD39" s="50">
        <f t="shared" si="37"/>
        <v>2.75</v>
      </c>
      <c r="AE39" s="50">
        <f t="shared" si="37"/>
        <v>1.5</v>
      </c>
      <c r="AF39" s="50">
        <f t="shared" si="37"/>
        <v>1.6</v>
      </c>
      <c r="AG39" s="50">
        <f t="shared" si="37"/>
        <v>1.1000000000000001</v>
      </c>
      <c r="AH39" s="50">
        <f t="shared" ref="AH39:BM39" si="38">SUM(AH2:AH12)</f>
        <v>2.6</v>
      </c>
      <c r="AI39" s="50">
        <f t="shared" si="38"/>
        <v>2</v>
      </c>
      <c r="AJ39" s="50">
        <f t="shared" si="38"/>
        <v>1.1000000000000001</v>
      </c>
      <c r="AK39" s="50">
        <f t="shared" si="38"/>
        <v>1.4</v>
      </c>
      <c r="AL39" s="50">
        <f t="shared" si="38"/>
        <v>1.25</v>
      </c>
      <c r="AM39" s="50">
        <f t="shared" si="38"/>
        <v>1.02</v>
      </c>
      <c r="AN39" s="50">
        <f t="shared" si="38"/>
        <v>1.1000000000000001</v>
      </c>
      <c r="AO39" s="50">
        <f t="shared" si="38"/>
        <v>1.1000000000000001</v>
      </c>
      <c r="AP39" s="50">
        <f t="shared" si="38"/>
        <v>1.27</v>
      </c>
      <c r="AQ39" s="50">
        <f t="shared" si="38"/>
        <v>1.1000000000000001</v>
      </c>
      <c r="AR39" s="50">
        <f t="shared" si="38"/>
        <v>1.1000000000000001</v>
      </c>
      <c r="AS39" s="50">
        <f t="shared" si="38"/>
        <v>1.25</v>
      </c>
      <c r="AT39" s="50">
        <f t="shared" si="38"/>
        <v>1</v>
      </c>
      <c r="AU39" s="50">
        <f t="shared" si="38"/>
        <v>1</v>
      </c>
      <c r="AV39" s="50">
        <f t="shared" si="38"/>
        <v>1.05</v>
      </c>
      <c r="AW39" s="50">
        <f t="shared" si="38"/>
        <v>1</v>
      </c>
      <c r="AX39" s="50">
        <f t="shared" si="38"/>
        <v>1.01</v>
      </c>
      <c r="AY39" s="50">
        <f t="shared" si="38"/>
        <v>1.5</v>
      </c>
      <c r="AZ39" s="50">
        <f t="shared" si="38"/>
        <v>1.6</v>
      </c>
      <c r="BA39" s="50">
        <f t="shared" si="38"/>
        <v>1.25</v>
      </c>
      <c r="BB39" s="50">
        <f t="shared" si="38"/>
        <v>1.35</v>
      </c>
      <c r="BC39" s="50">
        <f t="shared" si="38"/>
        <v>1.1000000000000001</v>
      </c>
      <c r="BD39" s="50">
        <f t="shared" si="38"/>
        <v>1.6500000000000004</v>
      </c>
      <c r="BE39" s="50">
        <f t="shared" si="38"/>
        <v>1.9500000000000002</v>
      </c>
      <c r="BF39" s="50">
        <f t="shared" si="38"/>
        <v>2.2500000000000004</v>
      </c>
      <c r="BG39" s="50">
        <f t="shared" si="38"/>
        <v>1.2</v>
      </c>
      <c r="BH39" s="50">
        <f t="shared" si="38"/>
        <v>1.07</v>
      </c>
      <c r="BI39" s="50">
        <f t="shared" si="38"/>
        <v>1.5000000000000002</v>
      </c>
      <c r="BJ39" s="50">
        <f t="shared" si="38"/>
        <v>1.05</v>
      </c>
      <c r="BK39" s="50">
        <f t="shared" si="38"/>
        <v>1.1000000000000001</v>
      </c>
      <c r="BL39" s="50">
        <f t="shared" si="38"/>
        <v>1</v>
      </c>
      <c r="BM39" s="50">
        <f t="shared" si="38"/>
        <v>1.02</v>
      </c>
      <c r="BN39" s="50">
        <f t="shared" ref="BN39:CE39" si="39">SUM(BN2:BN12)</f>
        <v>1.02</v>
      </c>
      <c r="BO39" s="50">
        <f t="shared" si="39"/>
        <v>1</v>
      </c>
      <c r="BP39" s="50">
        <f t="shared" si="39"/>
        <v>1</v>
      </c>
      <c r="BQ39" s="50">
        <f t="shared" si="39"/>
        <v>1</v>
      </c>
      <c r="BR39" s="50">
        <f t="shared" si="39"/>
        <v>1.1000000000000001</v>
      </c>
      <c r="BS39" s="50">
        <f t="shared" si="39"/>
        <v>1.02</v>
      </c>
      <c r="BT39" s="50">
        <f t="shared" si="39"/>
        <v>1.1500000000000001</v>
      </c>
      <c r="BU39" s="50">
        <f t="shared" si="39"/>
        <v>1.07</v>
      </c>
      <c r="BV39" s="50">
        <f t="shared" si="39"/>
        <v>1</v>
      </c>
      <c r="BW39" s="50">
        <f t="shared" si="39"/>
        <v>1</v>
      </c>
      <c r="BX39" s="50">
        <f t="shared" si="39"/>
        <v>1.8</v>
      </c>
      <c r="BY39" s="50">
        <f t="shared" si="39"/>
        <v>1.3500000000000003</v>
      </c>
      <c r="BZ39" s="50">
        <f t="shared" si="39"/>
        <v>1.2000000000000002</v>
      </c>
      <c r="CA39" s="50">
        <f t="shared" si="39"/>
        <v>1.2000000000000002</v>
      </c>
      <c r="CB39" s="50">
        <f t="shared" si="39"/>
        <v>1.5</v>
      </c>
      <c r="CC39" s="50">
        <f t="shared" si="39"/>
        <v>1.2</v>
      </c>
      <c r="CD39" s="50">
        <f t="shared" si="39"/>
        <v>1.1000000000000001</v>
      </c>
      <c r="CE39" s="50">
        <f t="shared" si="39"/>
        <v>1.5</v>
      </c>
      <c r="CX39" s="50">
        <f t="shared" si="21"/>
        <v>0.28883599999999998</v>
      </c>
      <c r="CY39">
        <v>38</v>
      </c>
      <c r="CZ39">
        <v>144418</v>
      </c>
      <c r="DA39" s="58">
        <f t="shared" si="22"/>
        <v>4001</v>
      </c>
      <c r="DB39" s="50">
        <f t="shared" si="23"/>
        <v>0.74876862614971429</v>
      </c>
    </row>
    <row r="40" spans="1:106">
      <c r="A40" s="46">
        <v>1870</v>
      </c>
      <c r="B40" s="50">
        <f t="shared" ref="B40:AG40" si="40">SUM(B2:B13)</f>
        <v>0.54</v>
      </c>
      <c r="C40" s="50">
        <f t="shared" si="40"/>
        <v>0.10000000000000003</v>
      </c>
      <c r="D40" s="50">
        <f t="shared" si="40"/>
        <v>0.5</v>
      </c>
      <c r="E40" s="50">
        <f t="shared" si="40"/>
        <v>1</v>
      </c>
      <c r="F40" s="50">
        <f t="shared" si="40"/>
        <v>1.25</v>
      </c>
      <c r="G40" s="50">
        <f t="shared" si="40"/>
        <v>2.65</v>
      </c>
      <c r="H40" s="50">
        <f t="shared" si="40"/>
        <v>2.7700000000000005</v>
      </c>
      <c r="I40" s="52">
        <f t="shared" si="40"/>
        <v>1</v>
      </c>
      <c r="J40" s="52">
        <f t="shared" si="40"/>
        <v>1</v>
      </c>
      <c r="K40" s="50">
        <f t="shared" si="40"/>
        <v>0.91999999999999993</v>
      </c>
      <c r="L40" s="50">
        <f t="shared" si="40"/>
        <v>1.1700000000000002</v>
      </c>
      <c r="M40" s="50">
        <f t="shared" si="40"/>
        <v>1.75</v>
      </c>
      <c r="N40" s="50">
        <f t="shared" si="40"/>
        <v>0.71</v>
      </c>
      <c r="O40" s="52">
        <f t="shared" si="40"/>
        <v>7.000000000000001E-4</v>
      </c>
      <c r="P40" s="50">
        <f t="shared" si="40"/>
        <v>0.7</v>
      </c>
      <c r="Q40" s="50">
        <f t="shared" si="40"/>
        <v>3.25</v>
      </c>
      <c r="R40" s="56">
        <f t="shared" si="40"/>
        <v>4</v>
      </c>
      <c r="S40" s="56">
        <f t="shared" si="40"/>
        <v>147</v>
      </c>
      <c r="T40" s="50">
        <f t="shared" si="40"/>
        <v>1</v>
      </c>
      <c r="U40" s="54">
        <f t="shared" si="40"/>
        <v>0.996</v>
      </c>
      <c r="V40" s="50">
        <f t="shared" si="40"/>
        <v>1.7</v>
      </c>
      <c r="W40" s="50">
        <f t="shared" si="40"/>
        <v>1.7</v>
      </c>
      <c r="X40" s="50">
        <f t="shared" si="40"/>
        <v>1.5999999999999999</v>
      </c>
      <c r="Y40" s="50">
        <f t="shared" si="40"/>
        <v>4.5</v>
      </c>
      <c r="Z40" s="50">
        <f t="shared" si="40"/>
        <v>2.5</v>
      </c>
      <c r="AA40" s="50">
        <f t="shared" si="40"/>
        <v>1.85</v>
      </c>
      <c r="AB40" s="50">
        <f t="shared" si="40"/>
        <v>2.5</v>
      </c>
      <c r="AC40" s="50">
        <f t="shared" si="40"/>
        <v>1.05</v>
      </c>
      <c r="AD40" s="50">
        <f t="shared" si="40"/>
        <v>3.4</v>
      </c>
      <c r="AE40" s="50">
        <f t="shared" si="40"/>
        <v>2.5</v>
      </c>
      <c r="AF40" s="50">
        <f t="shared" si="40"/>
        <v>1.6</v>
      </c>
      <c r="AG40" s="50">
        <f t="shared" si="40"/>
        <v>1.1000000000000001</v>
      </c>
      <c r="AH40" s="50">
        <f t="shared" ref="AH40:BM40" si="41">SUM(AH2:AH13)</f>
        <v>2.95</v>
      </c>
      <c r="AI40" s="50">
        <f t="shared" si="41"/>
        <v>2</v>
      </c>
      <c r="AJ40" s="50">
        <f t="shared" si="41"/>
        <v>1.1000000000000001</v>
      </c>
      <c r="AK40" s="50">
        <f t="shared" si="41"/>
        <v>1.4</v>
      </c>
      <c r="AL40" s="50">
        <f t="shared" si="41"/>
        <v>1.25</v>
      </c>
      <c r="AM40" s="50">
        <f t="shared" si="41"/>
        <v>1.02</v>
      </c>
      <c r="AN40" s="50">
        <f t="shared" si="41"/>
        <v>1.1000000000000001</v>
      </c>
      <c r="AO40" s="50">
        <f t="shared" si="41"/>
        <v>1.1000000000000001</v>
      </c>
      <c r="AP40" s="50">
        <f t="shared" si="41"/>
        <v>1.3</v>
      </c>
      <c r="AQ40" s="50">
        <f t="shared" si="41"/>
        <v>1.1000000000000001</v>
      </c>
      <c r="AR40" s="50">
        <f t="shared" si="41"/>
        <v>1.1500000000000001</v>
      </c>
      <c r="AS40" s="50">
        <f t="shared" si="41"/>
        <v>1.3</v>
      </c>
      <c r="AT40" s="50">
        <f t="shared" si="41"/>
        <v>1.05</v>
      </c>
      <c r="AU40" s="50">
        <f t="shared" si="41"/>
        <v>1</v>
      </c>
      <c r="AV40" s="50">
        <f t="shared" si="41"/>
        <v>1.05</v>
      </c>
      <c r="AW40" s="50">
        <f t="shared" si="41"/>
        <v>1</v>
      </c>
      <c r="AX40" s="50">
        <f t="shared" si="41"/>
        <v>1.01</v>
      </c>
      <c r="AY40" s="50">
        <f t="shared" si="41"/>
        <v>1.9</v>
      </c>
      <c r="AZ40" s="50">
        <f t="shared" si="41"/>
        <v>1.75</v>
      </c>
      <c r="BA40" s="50">
        <f t="shared" si="41"/>
        <v>1.45</v>
      </c>
      <c r="BB40" s="50">
        <f t="shared" si="41"/>
        <v>1.35</v>
      </c>
      <c r="BC40" s="50">
        <f t="shared" si="41"/>
        <v>1.1000000000000001</v>
      </c>
      <c r="BD40" s="50">
        <f t="shared" si="41"/>
        <v>2.5000000000000004</v>
      </c>
      <c r="BE40" s="50">
        <f t="shared" si="41"/>
        <v>2.25</v>
      </c>
      <c r="BF40" s="50">
        <f t="shared" si="41"/>
        <v>2.7500000000000004</v>
      </c>
      <c r="BG40" s="50">
        <f t="shared" si="41"/>
        <v>1.2</v>
      </c>
      <c r="BH40" s="50">
        <f t="shared" si="41"/>
        <v>1.0900000000000001</v>
      </c>
      <c r="BI40" s="50">
        <f t="shared" si="41"/>
        <v>1.5500000000000003</v>
      </c>
      <c r="BJ40" s="50">
        <f t="shared" si="41"/>
        <v>1.05</v>
      </c>
      <c r="BK40" s="50">
        <f t="shared" si="41"/>
        <v>1.1000000000000001</v>
      </c>
      <c r="BL40" s="50">
        <f t="shared" si="41"/>
        <v>1</v>
      </c>
      <c r="BM40" s="50">
        <f t="shared" si="41"/>
        <v>1.02</v>
      </c>
      <c r="BN40" s="50">
        <f t="shared" ref="BN40:CE40" si="42">SUM(BN2:BN13)</f>
        <v>1.02</v>
      </c>
      <c r="BO40" s="50">
        <f t="shared" si="42"/>
        <v>1.03</v>
      </c>
      <c r="BP40" s="50">
        <f t="shared" si="42"/>
        <v>1.03</v>
      </c>
      <c r="BQ40" s="50">
        <f t="shared" si="42"/>
        <v>1</v>
      </c>
      <c r="BR40" s="50">
        <f t="shared" si="42"/>
        <v>1.1300000000000001</v>
      </c>
      <c r="BS40" s="50">
        <f t="shared" si="42"/>
        <v>1.05</v>
      </c>
      <c r="BT40" s="50">
        <f t="shared" si="42"/>
        <v>1.2200000000000002</v>
      </c>
      <c r="BU40" s="50">
        <f t="shared" si="42"/>
        <v>1.07</v>
      </c>
      <c r="BV40" s="50">
        <f t="shared" si="42"/>
        <v>1.03</v>
      </c>
      <c r="BW40" s="50">
        <f t="shared" si="42"/>
        <v>1</v>
      </c>
      <c r="BX40" s="50">
        <f t="shared" si="42"/>
        <v>2.2000000000000002</v>
      </c>
      <c r="BY40" s="50">
        <f t="shared" si="42"/>
        <v>1.4500000000000004</v>
      </c>
      <c r="BZ40" s="50">
        <f t="shared" si="42"/>
        <v>1.4000000000000001</v>
      </c>
      <c r="CA40" s="50">
        <f t="shared" si="42"/>
        <v>1.4000000000000001</v>
      </c>
      <c r="CB40" s="50">
        <f t="shared" si="42"/>
        <v>1.5</v>
      </c>
      <c r="CC40" s="50">
        <f t="shared" si="42"/>
        <v>1.2</v>
      </c>
      <c r="CD40" s="50">
        <f t="shared" si="42"/>
        <v>1.1000000000000001</v>
      </c>
      <c r="CE40" s="50">
        <f t="shared" si="42"/>
        <v>1.5</v>
      </c>
      <c r="CQ40" t="s">
        <v>303</v>
      </c>
      <c r="CR40" t="s">
        <v>304</v>
      </c>
      <c r="CS40" t="s">
        <v>305</v>
      </c>
      <c r="CU40">
        <v>0.15</v>
      </c>
      <c r="CV40">
        <v>9.6969999999999992</v>
      </c>
      <c r="CW40">
        <f>CV40/CV41</f>
        <v>0.71427519151443719</v>
      </c>
      <c r="CX40" s="50">
        <f t="shared" si="21"/>
        <v>0.29643599999999998</v>
      </c>
      <c r="CY40">
        <v>39</v>
      </c>
      <c r="CZ40">
        <v>148218</v>
      </c>
      <c r="DA40" s="58">
        <f t="shared" si="22"/>
        <v>3800</v>
      </c>
      <c r="DB40" s="50">
        <f t="shared" si="23"/>
        <v>0.76847060775428522</v>
      </c>
    </row>
    <row r="41" spans="1:106">
      <c r="A41" s="46">
        <v>1872</v>
      </c>
      <c r="B41" s="50">
        <f t="shared" ref="B41:AG41" si="43">SUM(B2:B14)</f>
        <v>0.54</v>
      </c>
      <c r="C41" s="50">
        <f t="shared" si="43"/>
        <v>0.10000000000000003</v>
      </c>
      <c r="D41" s="50">
        <f t="shared" si="43"/>
        <v>0.5</v>
      </c>
      <c r="E41" s="50">
        <f t="shared" si="43"/>
        <v>1</v>
      </c>
      <c r="F41" s="50">
        <f t="shared" si="43"/>
        <v>1.25</v>
      </c>
      <c r="G41" s="50">
        <f t="shared" si="43"/>
        <v>2.65</v>
      </c>
      <c r="H41" s="50">
        <f t="shared" si="43"/>
        <v>2.7700000000000005</v>
      </c>
      <c r="I41" s="52">
        <f t="shared" si="43"/>
        <v>1</v>
      </c>
      <c r="J41" s="52">
        <f t="shared" si="43"/>
        <v>1</v>
      </c>
      <c r="K41" s="50">
        <f t="shared" si="43"/>
        <v>0.91999999999999993</v>
      </c>
      <c r="L41" s="50">
        <f t="shared" si="43"/>
        <v>1.1700000000000002</v>
      </c>
      <c r="M41" s="50">
        <f t="shared" si="43"/>
        <v>1.75</v>
      </c>
      <c r="N41" s="50">
        <f t="shared" si="43"/>
        <v>0.71</v>
      </c>
      <c r="O41" s="52">
        <f t="shared" si="43"/>
        <v>7.000000000000001E-4</v>
      </c>
      <c r="P41" s="50">
        <f t="shared" si="43"/>
        <v>0.7</v>
      </c>
      <c r="Q41" s="50">
        <f t="shared" si="43"/>
        <v>3.25</v>
      </c>
      <c r="R41" s="56">
        <f t="shared" si="43"/>
        <v>4</v>
      </c>
      <c r="S41" s="56">
        <f t="shared" si="43"/>
        <v>147</v>
      </c>
      <c r="T41" s="50">
        <f t="shared" si="43"/>
        <v>1</v>
      </c>
      <c r="U41" s="54">
        <f t="shared" si="43"/>
        <v>0.996</v>
      </c>
      <c r="V41" s="50">
        <f t="shared" si="43"/>
        <v>1.7</v>
      </c>
      <c r="W41" s="50">
        <f t="shared" si="43"/>
        <v>1.7</v>
      </c>
      <c r="X41" s="50">
        <f t="shared" si="43"/>
        <v>1.5999999999999999</v>
      </c>
      <c r="Y41" s="50">
        <f t="shared" si="43"/>
        <v>4.5</v>
      </c>
      <c r="Z41" s="50">
        <f t="shared" si="43"/>
        <v>2.5</v>
      </c>
      <c r="AA41" s="50">
        <f t="shared" si="43"/>
        <v>1.85</v>
      </c>
      <c r="AB41" s="50">
        <f t="shared" si="43"/>
        <v>2.5</v>
      </c>
      <c r="AC41" s="50">
        <f t="shared" si="43"/>
        <v>1.05</v>
      </c>
      <c r="AD41" s="50">
        <f t="shared" si="43"/>
        <v>3.4</v>
      </c>
      <c r="AE41" s="50">
        <f t="shared" si="43"/>
        <v>2.5</v>
      </c>
      <c r="AF41" s="50">
        <f t="shared" si="43"/>
        <v>1.6</v>
      </c>
      <c r="AG41" s="50">
        <f t="shared" si="43"/>
        <v>1.1000000000000001</v>
      </c>
      <c r="AH41" s="50">
        <f t="shared" ref="AH41:BM41" si="44">SUM(AH2:AH14)</f>
        <v>2.95</v>
      </c>
      <c r="AI41" s="50">
        <f t="shared" si="44"/>
        <v>2</v>
      </c>
      <c r="AJ41" s="50">
        <f t="shared" si="44"/>
        <v>1.1000000000000001</v>
      </c>
      <c r="AK41" s="50">
        <f t="shared" si="44"/>
        <v>1.4</v>
      </c>
      <c r="AL41" s="50">
        <f t="shared" si="44"/>
        <v>1.25</v>
      </c>
      <c r="AM41" s="50">
        <f t="shared" si="44"/>
        <v>1.02</v>
      </c>
      <c r="AN41" s="50">
        <f t="shared" si="44"/>
        <v>1.1000000000000001</v>
      </c>
      <c r="AO41" s="50">
        <f t="shared" si="44"/>
        <v>1.1000000000000001</v>
      </c>
      <c r="AP41" s="50">
        <f t="shared" si="44"/>
        <v>1.3</v>
      </c>
      <c r="AQ41" s="50">
        <f t="shared" si="44"/>
        <v>1.1000000000000001</v>
      </c>
      <c r="AR41" s="50">
        <f t="shared" si="44"/>
        <v>1.1500000000000001</v>
      </c>
      <c r="AS41" s="50">
        <f t="shared" si="44"/>
        <v>1.3</v>
      </c>
      <c r="AT41" s="50">
        <f t="shared" si="44"/>
        <v>1.05</v>
      </c>
      <c r="AU41" s="50">
        <f t="shared" si="44"/>
        <v>1</v>
      </c>
      <c r="AV41" s="50">
        <f t="shared" si="44"/>
        <v>1.05</v>
      </c>
      <c r="AW41" s="50">
        <f t="shared" si="44"/>
        <v>1</v>
      </c>
      <c r="AX41" s="50">
        <f t="shared" si="44"/>
        <v>1.01</v>
      </c>
      <c r="AY41" s="50">
        <f t="shared" si="44"/>
        <v>1.9</v>
      </c>
      <c r="AZ41" s="50">
        <f t="shared" si="44"/>
        <v>1.75</v>
      </c>
      <c r="BA41" s="50">
        <f t="shared" si="44"/>
        <v>1.45</v>
      </c>
      <c r="BB41" s="50">
        <f t="shared" si="44"/>
        <v>1.35</v>
      </c>
      <c r="BC41" s="50">
        <f t="shared" si="44"/>
        <v>1.1000000000000001</v>
      </c>
      <c r="BD41" s="50">
        <f t="shared" si="44"/>
        <v>2.5000000000000004</v>
      </c>
      <c r="BE41" s="50">
        <f t="shared" si="44"/>
        <v>2.25</v>
      </c>
      <c r="BF41" s="50">
        <f t="shared" si="44"/>
        <v>2.7500000000000004</v>
      </c>
      <c r="BG41" s="50">
        <f t="shared" si="44"/>
        <v>1.2</v>
      </c>
      <c r="BH41" s="50">
        <f t="shared" si="44"/>
        <v>1.0900000000000001</v>
      </c>
      <c r="BI41" s="50">
        <f t="shared" si="44"/>
        <v>1.5500000000000003</v>
      </c>
      <c r="BJ41" s="50">
        <f t="shared" si="44"/>
        <v>1.05</v>
      </c>
      <c r="BK41" s="50">
        <f t="shared" si="44"/>
        <v>1.1000000000000001</v>
      </c>
      <c r="BL41" s="50">
        <f t="shared" si="44"/>
        <v>1</v>
      </c>
      <c r="BM41" s="50">
        <f t="shared" si="44"/>
        <v>1.02</v>
      </c>
      <c r="BN41" s="50">
        <f t="shared" ref="BN41:CE41" si="45">SUM(BN2:BN14)</f>
        <v>1.02</v>
      </c>
      <c r="BO41" s="50">
        <f t="shared" si="45"/>
        <v>1.03</v>
      </c>
      <c r="BP41" s="50">
        <f t="shared" si="45"/>
        <v>1.03</v>
      </c>
      <c r="BQ41" s="50">
        <f t="shared" si="45"/>
        <v>1</v>
      </c>
      <c r="BR41" s="50">
        <f t="shared" si="45"/>
        <v>1.1300000000000001</v>
      </c>
      <c r="BS41" s="50">
        <f t="shared" si="45"/>
        <v>1.05</v>
      </c>
      <c r="BT41" s="50">
        <f t="shared" si="45"/>
        <v>1.2200000000000002</v>
      </c>
      <c r="BU41" s="50">
        <f t="shared" si="45"/>
        <v>1.07</v>
      </c>
      <c r="BV41" s="50">
        <f t="shared" si="45"/>
        <v>1.03</v>
      </c>
      <c r="BW41" s="50">
        <f t="shared" si="45"/>
        <v>1</v>
      </c>
      <c r="BX41" s="50">
        <f t="shared" si="45"/>
        <v>2.2000000000000002</v>
      </c>
      <c r="BY41" s="50">
        <f t="shared" si="45"/>
        <v>1.4500000000000004</v>
      </c>
      <c r="BZ41" s="50">
        <f t="shared" si="45"/>
        <v>1.4000000000000001</v>
      </c>
      <c r="CA41" s="50">
        <f t="shared" si="45"/>
        <v>1.4000000000000001</v>
      </c>
      <c r="CB41" s="50">
        <f t="shared" si="45"/>
        <v>1.5</v>
      </c>
      <c r="CC41" s="50">
        <f t="shared" si="45"/>
        <v>1.2</v>
      </c>
      <c r="CD41" s="50">
        <f t="shared" si="45"/>
        <v>1.1000000000000001</v>
      </c>
      <c r="CE41" s="50">
        <f t="shared" si="45"/>
        <v>1.5</v>
      </c>
      <c r="CP41">
        <v>56000</v>
      </c>
      <c r="CQ41">
        <v>35.799999999999997</v>
      </c>
      <c r="CR41" s="50">
        <v>0.35</v>
      </c>
      <c r="CS41">
        <f>CQ41*CR41</f>
        <v>12.529999999999998</v>
      </c>
      <c r="CU41">
        <v>0.35</v>
      </c>
      <c r="CV41">
        <v>13.576000000000001</v>
      </c>
      <c r="CW41">
        <f>CV41/CV40</f>
        <v>1.4000206249355474</v>
      </c>
      <c r="CX41" s="50">
        <f t="shared" si="21"/>
        <v>0.30403799999999997</v>
      </c>
      <c r="CY41">
        <v>40</v>
      </c>
      <c r="CZ41">
        <v>152019</v>
      </c>
      <c r="DA41" s="58">
        <f t="shared" si="22"/>
        <v>3801</v>
      </c>
      <c r="DB41" s="50">
        <f t="shared" si="23"/>
        <v>0.78817777409085721</v>
      </c>
    </row>
    <row r="42" spans="1:106">
      <c r="A42" s="46">
        <v>1875</v>
      </c>
      <c r="B42" s="50">
        <f t="shared" ref="B42:AG42" si="46">SUM(B2:B15)</f>
        <v>0.54</v>
      </c>
      <c r="C42" s="50">
        <f t="shared" si="46"/>
        <v>0.10000000000000003</v>
      </c>
      <c r="D42" s="50">
        <f t="shared" si="46"/>
        <v>0.5</v>
      </c>
      <c r="E42" s="50">
        <f t="shared" si="46"/>
        <v>1</v>
      </c>
      <c r="F42" s="50">
        <f t="shared" si="46"/>
        <v>1.25</v>
      </c>
      <c r="G42" s="50">
        <f t="shared" si="46"/>
        <v>2.65</v>
      </c>
      <c r="H42" s="50">
        <f t="shared" si="46"/>
        <v>2.7700000000000005</v>
      </c>
      <c r="I42" s="52">
        <f t="shared" si="46"/>
        <v>1</v>
      </c>
      <c r="J42" s="52">
        <f t="shared" si="46"/>
        <v>1</v>
      </c>
      <c r="K42" s="50">
        <f t="shared" si="46"/>
        <v>0.91999999999999993</v>
      </c>
      <c r="L42" s="50">
        <f t="shared" si="46"/>
        <v>1.1700000000000002</v>
      </c>
      <c r="M42" s="50">
        <f t="shared" si="46"/>
        <v>1.75</v>
      </c>
      <c r="N42" s="50">
        <f t="shared" si="46"/>
        <v>0.71</v>
      </c>
      <c r="O42" s="52">
        <f t="shared" si="46"/>
        <v>7.000000000000001E-4</v>
      </c>
      <c r="P42" s="50">
        <f t="shared" si="46"/>
        <v>0.7</v>
      </c>
      <c r="Q42" s="50">
        <f t="shared" si="46"/>
        <v>3.25</v>
      </c>
      <c r="R42" s="56">
        <f t="shared" si="46"/>
        <v>4</v>
      </c>
      <c r="S42" s="56">
        <f t="shared" si="46"/>
        <v>147</v>
      </c>
      <c r="T42" s="50">
        <f t="shared" si="46"/>
        <v>1</v>
      </c>
      <c r="U42" s="54">
        <f t="shared" si="46"/>
        <v>0.996</v>
      </c>
      <c r="V42" s="50">
        <f t="shared" si="46"/>
        <v>1.7</v>
      </c>
      <c r="W42" s="50">
        <f t="shared" si="46"/>
        <v>1.7</v>
      </c>
      <c r="X42" s="50">
        <f t="shared" si="46"/>
        <v>1.5999999999999999</v>
      </c>
      <c r="Y42" s="50">
        <f t="shared" si="46"/>
        <v>4.5</v>
      </c>
      <c r="Z42" s="50">
        <f t="shared" si="46"/>
        <v>2.5</v>
      </c>
      <c r="AA42" s="50">
        <f t="shared" si="46"/>
        <v>1.85</v>
      </c>
      <c r="AB42" s="50">
        <f t="shared" si="46"/>
        <v>2.5</v>
      </c>
      <c r="AC42" s="50">
        <f t="shared" si="46"/>
        <v>1.05</v>
      </c>
      <c r="AD42" s="50">
        <f t="shared" si="46"/>
        <v>3.4</v>
      </c>
      <c r="AE42" s="50">
        <f t="shared" si="46"/>
        <v>2.5</v>
      </c>
      <c r="AF42" s="50">
        <f t="shared" si="46"/>
        <v>1.6</v>
      </c>
      <c r="AG42" s="50">
        <f t="shared" si="46"/>
        <v>1.1000000000000001</v>
      </c>
      <c r="AH42" s="50">
        <f t="shared" ref="AH42:BM42" si="47">SUM(AH2:AH15)</f>
        <v>2.95</v>
      </c>
      <c r="AI42" s="50">
        <f t="shared" si="47"/>
        <v>2</v>
      </c>
      <c r="AJ42" s="50">
        <f t="shared" si="47"/>
        <v>1.1000000000000001</v>
      </c>
      <c r="AK42" s="50">
        <f t="shared" si="47"/>
        <v>1.4</v>
      </c>
      <c r="AL42" s="50">
        <f t="shared" si="47"/>
        <v>1.25</v>
      </c>
      <c r="AM42" s="50">
        <f t="shared" si="47"/>
        <v>1.02</v>
      </c>
      <c r="AN42" s="50">
        <f t="shared" si="47"/>
        <v>1.1000000000000001</v>
      </c>
      <c r="AO42" s="50">
        <f t="shared" si="47"/>
        <v>1.1000000000000001</v>
      </c>
      <c r="AP42" s="50">
        <f t="shared" si="47"/>
        <v>1.3</v>
      </c>
      <c r="AQ42" s="50">
        <f t="shared" si="47"/>
        <v>1.1000000000000001</v>
      </c>
      <c r="AR42" s="50">
        <f t="shared" si="47"/>
        <v>1.1500000000000001</v>
      </c>
      <c r="AS42" s="50">
        <f t="shared" si="47"/>
        <v>1.3</v>
      </c>
      <c r="AT42" s="50">
        <f t="shared" si="47"/>
        <v>1.05</v>
      </c>
      <c r="AU42" s="50">
        <f t="shared" si="47"/>
        <v>1</v>
      </c>
      <c r="AV42" s="50">
        <f t="shared" si="47"/>
        <v>1.05</v>
      </c>
      <c r="AW42" s="50">
        <f t="shared" si="47"/>
        <v>1</v>
      </c>
      <c r="AX42" s="50">
        <f t="shared" si="47"/>
        <v>1.01</v>
      </c>
      <c r="AY42" s="50">
        <f t="shared" si="47"/>
        <v>1.9</v>
      </c>
      <c r="AZ42" s="50">
        <f t="shared" si="47"/>
        <v>1.75</v>
      </c>
      <c r="BA42" s="50">
        <f t="shared" si="47"/>
        <v>1.45</v>
      </c>
      <c r="BB42" s="50">
        <f t="shared" si="47"/>
        <v>1.35</v>
      </c>
      <c r="BC42" s="50">
        <f t="shared" si="47"/>
        <v>1.1000000000000001</v>
      </c>
      <c r="BD42" s="50">
        <f t="shared" si="47"/>
        <v>2.5000000000000004</v>
      </c>
      <c r="BE42" s="50">
        <f t="shared" si="47"/>
        <v>2.25</v>
      </c>
      <c r="BF42" s="50">
        <f t="shared" si="47"/>
        <v>2.7500000000000004</v>
      </c>
      <c r="BG42" s="50">
        <f t="shared" si="47"/>
        <v>1.2</v>
      </c>
      <c r="BH42" s="50">
        <f t="shared" si="47"/>
        <v>1.0900000000000001</v>
      </c>
      <c r="BI42" s="50">
        <f t="shared" si="47"/>
        <v>1.5500000000000003</v>
      </c>
      <c r="BJ42" s="50">
        <f t="shared" si="47"/>
        <v>1.05</v>
      </c>
      <c r="BK42" s="50">
        <f t="shared" si="47"/>
        <v>1.1000000000000001</v>
      </c>
      <c r="BL42" s="50">
        <f t="shared" si="47"/>
        <v>1</v>
      </c>
      <c r="BM42" s="50">
        <f t="shared" si="47"/>
        <v>1.02</v>
      </c>
      <c r="BN42" s="50">
        <f t="shared" ref="BN42:CE42" si="48">SUM(BN2:BN15)</f>
        <v>1.02</v>
      </c>
      <c r="BO42" s="50">
        <f t="shared" si="48"/>
        <v>1.03</v>
      </c>
      <c r="BP42" s="50">
        <f t="shared" si="48"/>
        <v>1.03</v>
      </c>
      <c r="BQ42" s="50">
        <f t="shared" si="48"/>
        <v>1</v>
      </c>
      <c r="BR42" s="50">
        <f t="shared" si="48"/>
        <v>1.1300000000000001</v>
      </c>
      <c r="BS42" s="50">
        <f t="shared" si="48"/>
        <v>1.05</v>
      </c>
      <c r="BT42" s="50">
        <f t="shared" si="48"/>
        <v>1.2200000000000002</v>
      </c>
      <c r="BU42" s="50">
        <f t="shared" si="48"/>
        <v>1.07</v>
      </c>
      <c r="BV42" s="50">
        <f t="shared" si="48"/>
        <v>1.03</v>
      </c>
      <c r="BW42" s="50">
        <f t="shared" si="48"/>
        <v>1</v>
      </c>
      <c r="BX42" s="50">
        <f t="shared" si="48"/>
        <v>2.2000000000000002</v>
      </c>
      <c r="BY42" s="50">
        <f t="shared" si="48"/>
        <v>1.4500000000000004</v>
      </c>
      <c r="BZ42" s="50">
        <f t="shared" si="48"/>
        <v>1.4000000000000001</v>
      </c>
      <c r="CA42" s="50">
        <f t="shared" si="48"/>
        <v>1.4000000000000001</v>
      </c>
      <c r="CB42" s="50">
        <f t="shared" si="48"/>
        <v>1.5</v>
      </c>
      <c r="CC42" s="50">
        <f t="shared" si="48"/>
        <v>1.2</v>
      </c>
      <c r="CD42" s="50">
        <f t="shared" si="48"/>
        <v>1.1000000000000001</v>
      </c>
      <c r="CE42" s="50">
        <f t="shared" si="48"/>
        <v>1.5</v>
      </c>
      <c r="CP42" s="62">
        <f>CQ41/CP41</f>
        <v>6.392857142857142E-4</v>
      </c>
      <c r="CU42">
        <v>1</v>
      </c>
      <c r="CV42">
        <f>CV40/0.15</f>
        <v>64.646666666666661</v>
      </c>
      <c r="CX42" s="50">
        <f t="shared" si="21"/>
        <v>0.31163800000000003</v>
      </c>
      <c r="CY42">
        <v>41</v>
      </c>
      <c r="CZ42">
        <v>155819</v>
      </c>
      <c r="DA42" s="58">
        <f t="shared" si="22"/>
        <v>3800</v>
      </c>
      <c r="DB42" s="50">
        <f t="shared" si="23"/>
        <v>0.80787975569542814</v>
      </c>
    </row>
    <row r="43" spans="1:106">
      <c r="A43" s="46">
        <v>1880</v>
      </c>
      <c r="B43" s="50">
        <f t="shared" ref="B43:AG43" si="49">SUM(B2:B16)</f>
        <v>0.54</v>
      </c>
      <c r="C43" s="50">
        <f t="shared" si="49"/>
        <v>0.10000000000000003</v>
      </c>
      <c r="D43" s="50">
        <f t="shared" si="49"/>
        <v>0.5</v>
      </c>
      <c r="E43" s="50">
        <f t="shared" si="49"/>
        <v>1</v>
      </c>
      <c r="F43" s="50">
        <f t="shared" si="49"/>
        <v>1.25</v>
      </c>
      <c r="G43" s="50">
        <f t="shared" si="49"/>
        <v>2.8</v>
      </c>
      <c r="H43" s="50">
        <f t="shared" si="49"/>
        <v>3.2200000000000006</v>
      </c>
      <c r="I43" s="52">
        <f t="shared" si="49"/>
        <v>1</v>
      </c>
      <c r="J43" s="52">
        <f t="shared" si="49"/>
        <v>1</v>
      </c>
      <c r="K43" s="50">
        <f t="shared" si="49"/>
        <v>0.91999999999999993</v>
      </c>
      <c r="L43" s="50">
        <f t="shared" si="49"/>
        <v>1.1700000000000002</v>
      </c>
      <c r="M43" s="50">
        <f t="shared" si="49"/>
        <v>1.75</v>
      </c>
      <c r="N43" s="50">
        <f t="shared" si="49"/>
        <v>0.71</v>
      </c>
      <c r="O43" s="52">
        <f t="shared" si="49"/>
        <v>7.000000000000001E-4</v>
      </c>
      <c r="P43" s="50">
        <f t="shared" si="49"/>
        <v>0.7</v>
      </c>
      <c r="Q43" s="50">
        <f t="shared" si="49"/>
        <v>3.3</v>
      </c>
      <c r="R43" s="56">
        <f t="shared" si="49"/>
        <v>4</v>
      </c>
      <c r="S43" s="56">
        <f t="shared" si="49"/>
        <v>147</v>
      </c>
      <c r="T43" s="50">
        <f t="shared" si="49"/>
        <v>1</v>
      </c>
      <c r="U43" s="54">
        <f t="shared" si="49"/>
        <v>0.996</v>
      </c>
      <c r="V43" s="50">
        <f t="shared" si="49"/>
        <v>1.7</v>
      </c>
      <c r="W43" s="50">
        <f t="shared" si="49"/>
        <v>1.7</v>
      </c>
      <c r="X43" s="50">
        <f t="shared" si="49"/>
        <v>1.5999999999999999</v>
      </c>
      <c r="Y43" s="50">
        <f t="shared" si="49"/>
        <v>4.5</v>
      </c>
      <c r="Z43" s="50">
        <f t="shared" si="49"/>
        <v>2.5</v>
      </c>
      <c r="AA43" s="50">
        <f t="shared" si="49"/>
        <v>1.85</v>
      </c>
      <c r="AB43" s="50">
        <f t="shared" si="49"/>
        <v>2.5</v>
      </c>
      <c r="AC43" s="50">
        <f t="shared" si="49"/>
        <v>1.05</v>
      </c>
      <c r="AD43" s="50">
        <f t="shared" si="49"/>
        <v>3.4</v>
      </c>
      <c r="AE43" s="50">
        <f t="shared" si="49"/>
        <v>2.5</v>
      </c>
      <c r="AF43" s="50">
        <f t="shared" si="49"/>
        <v>1.75</v>
      </c>
      <c r="AG43" s="50">
        <f t="shared" si="49"/>
        <v>1.1000000000000001</v>
      </c>
      <c r="AH43" s="50">
        <f t="shared" ref="AH43:BM43" si="50">SUM(AH2:AH16)</f>
        <v>3.25</v>
      </c>
      <c r="AI43" s="50">
        <f t="shared" si="50"/>
        <v>2</v>
      </c>
      <c r="AJ43" s="50">
        <f t="shared" si="50"/>
        <v>1.1000000000000001</v>
      </c>
      <c r="AK43" s="50">
        <f t="shared" si="50"/>
        <v>1.4</v>
      </c>
      <c r="AL43" s="50">
        <f t="shared" si="50"/>
        <v>1.4</v>
      </c>
      <c r="AM43" s="50">
        <f t="shared" si="50"/>
        <v>1.05</v>
      </c>
      <c r="AN43" s="50">
        <f t="shared" si="50"/>
        <v>1.1000000000000001</v>
      </c>
      <c r="AO43" s="50">
        <f t="shared" si="50"/>
        <v>1.1000000000000001</v>
      </c>
      <c r="AP43" s="50">
        <f t="shared" si="50"/>
        <v>1.3</v>
      </c>
      <c r="AQ43" s="50">
        <f t="shared" si="50"/>
        <v>1.1000000000000001</v>
      </c>
      <c r="AR43" s="50">
        <f t="shared" si="50"/>
        <v>1.1500000000000001</v>
      </c>
      <c r="AS43" s="50">
        <f t="shared" si="50"/>
        <v>1.3</v>
      </c>
      <c r="AT43" s="50">
        <f t="shared" si="50"/>
        <v>1.05</v>
      </c>
      <c r="AU43" s="50">
        <f t="shared" si="50"/>
        <v>1</v>
      </c>
      <c r="AV43" s="50">
        <f t="shared" si="50"/>
        <v>1.05</v>
      </c>
      <c r="AW43" s="50">
        <f t="shared" si="50"/>
        <v>1</v>
      </c>
      <c r="AX43" s="50">
        <f t="shared" si="50"/>
        <v>1.01</v>
      </c>
      <c r="AY43" s="50">
        <f t="shared" si="50"/>
        <v>2.1</v>
      </c>
      <c r="AZ43" s="50">
        <f t="shared" si="50"/>
        <v>1.75</v>
      </c>
      <c r="BA43" s="50">
        <f t="shared" si="50"/>
        <v>1.45</v>
      </c>
      <c r="BB43" s="50">
        <f t="shared" si="50"/>
        <v>1.35</v>
      </c>
      <c r="BC43" s="50">
        <f t="shared" si="50"/>
        <v>1.1000000000000001</v>
      </c>
      <c r="BD43" s="50">
        <f t="shared" si="50"/>
        <v>2.5000000000000004</v>
      </c>
      <c r="BE43" s="50">
        <f t="shared" si="50"/>
        <v>2.25</v>
      </c>
      <c r="BF43" s="50">
        <f t="shared" si="50"/>
        <v>3.0500000000000003</v>
      </c>
      <c r="BG43" s="50">
        <f t="shared" si="50"/>
        <v>1.2</v>
      </c>
      <c r="BH43" s="50">
        <f t="shared" si="50"/>
        <v>1.0900000000000001</v>
      </c>
      <c r="BI43" s="50">
        <f t="shared" si="50"/>
        <v>1.5500000000000003</v>
      </c>
      <c r="BJ43" s="50">
        <f t="shared" si="50"/>
        <v>1.05</v>
      </c>
      <c r="BK43" s="50">
        <f t="shared" si="50"/>
        <v>1.1000000000000001</v>
      </c>
      <c r="BL43" s="50">
        <f t="shared" si="50"/>
        <v>1</v>
      </c>
      <c r="BM43" s="50">
        <f t="shared" si="50"/>
        <v>1.02</v>
      </c>
      <c r="BN43" s="50">
        <f t="shared" ref="BN43:CE43" si="51">SUM(BN2:BN16)</f>
        <v>1.02</v>
      </c>
      <c r="BO43" s="50">
        <f t="shared" si="51"/>
        <v>1.03</v>
      </c>
      <c r="BP43" s="50">
        <f t="shared" si="51"/>
        <v>1.03</v>
      </c>
      <c r="BQ43" s="50">
        <f t="shared" si="51"/>
        <v>1</v>
      </c>
      <c r="BR43" s="50">
        <f t="shared" si="51"/>
        <v>1.2300000000000002</v>
      </c>
      <c r="BS43" s="50">
        <f t="shared" si="51"/>
        <v>1.05</v>
      </c>
      <c r="BT43" s="50">
        <f t="shared" si="51"/>
        <v>1.2200000000000002</v>
      </c>
      <c r="BU43" s="50">
        <f t="shared" si="51"/>
        <v>1.07</v>
      </c>
      <c r="BV43" s="50">
        <f t="shared" si="51"/>
        <v>1.03</v>
      </c>
      <c r="BW43" s="50">
        <f t="shared" si="51"/>
        <v>1</v>
      </c>
      <c r="BX43" s="50">
        <f t="shared" si="51"/>
        <v>2.2000000000000002</v>
      </c>
      <c r="BY43" s="50">
        <f t="shared" si="51"/>
        <v>1.4500000000000004</v>
      </c>
      <c r="BZ43" s="50">
        <f t="shared" si="51"/>
        <v>1.4000000000000001</v>
      </c>
      <c r="CA43" s="50">
        <f t="shared" si="51"/>
        <v>1.4000000000000001</v>
      </c>
      <c r="CB43" s="50">
        <f t="shared" si="51"/>
        <v>1.5</v>
      </c>
      <c r="CC43" s="50">
        <f t="shared" si="51"/>
        <v>1.2</v>
      </c>
      <c r="CD43" s="50">
        <f t="shared" si="51"/>
        <v>1.1000000000000001</v>
      </c>
      <c r="CE43" s="50">
        <f t="shared" si="51"/>
        <v>1.5</v>
      </c>
      <c r="CX43" s="50">
        <f t="shared" si="21"/>
        <v>0.31924000000000002</v>
      </c>
      <c r="CY43">
        <v>42</v>
      </c>
      <c r="CZ43">
        <v>159620</v>
      </c>
      <c r="DA43" s="58">
        <f t="shared" si="22"/>
        <v>3801</v>
      </c>
      <c r="DB43" s="50">
        <f t="shared" si="23"/>
        <v>0.82758692203200013</v>
      </c>
    </row>
    <row r="44" spans="1:106">
      <c r="A44" s="46">
        <v>1890</v>
      </c>
      <c r="B44" s="50">
        <f t="shared" ref="B44:AG44" si="52">SUM(B2:B17)</f>
        <v>0.54</v>
      </c>
      <c r="C44" s="50">
        <f t="shared" si="52"/>
        <v>0.10000000000000003</v>
      </c>
      <c r="D44" s="50">
        <f t="shared" si="52"/>
        <v>0.5</v>
      </c>
      <c r="E44" s="50">
        <f t="shared" si="52"/>
        <v>1</v>
      </c>
      <c r="F44" s="50">
        <f t="shared" si="52"/>
        <v>1.25</v>
      </c>
      <c r="G44" s="50">
        <f t="shared" si="52"/>
        <v>2.8</v>
      </c>
      <c r="H44" s="50">
        <f t="shared" si="52"/>
        <v>3.2200000000000006</v>
      </c>
      <c r="I44" s="52">
        <f t="shared" si="52"/>
        <v>1</v>
      </c>
      <c r="J44" s="52">
        <f t="shared" si="52"/>
        <v>1</v>
      </c>
      <c r="K44" s="50">
        <f t="shared" si="52"/>
        <v>0.91999999999999993</v>
      </c>
      <c r="L44" s="50">
        <f t="shared" si="52"/>
        <v>1.1700000000000002</v>
      </c>
      <c r="M44" s="50">
        <f t="shared" si="52"/>
        <v>1.75</v>
      </c>
      <c r="N44" s="50">
        <f t="shared" si="52"/>
        <v>0.71</v>
      </c>
      <c r="O44" s="52">
        <f t="shared" si="52"/>
        <v>7.000000000000001E-4</v>
      </c>
      <c r="P44" s="50">
        <f t="shared" si="52"/>
        <v>0.7</v>
      </c>
      <c r="Q44" s="50">
        <f t="shared" si="52"/>
        <v>3.3</v>
      </c>
      <c r="R44" s="56">
        <f t="shared" si="52"/>
        <v>4</v>
      </c>
      <c r="S44" s="56">
        <f t="shared" si="52"/>
        <v>147</v>
      </c>
      <c r="T44" s="50">
        <f t="shared" si="52"/>
        <v>1</v>
      </c>
      <c r="U44" s="54">
        <f t="shared" si="52"/>
        <v>0.996</v>
      </c>
      <c r="V44" s="50">
        <f t="shared" si="52"/>
        <v>1.7</v>
      </c>
      <c r="W44" s="50">
        <f t="shared" si="52"/>
        <v>1.7</v>
      </c>
      <c r="X44" s="50">
        <f t="shared" si="52"/>
        <v>1.5999999999999999</v>
      </c>
      <c r="Y44" s="50">
        <f t="shared" si="52"/>
        <v>4.8499999999999996</v>
      </c>
      <c r="Z44" s="50">
        <f t="shared" si="52"/>
        <v>2.5</v>
      </c>
      <c r="AA44" s="50">
        <f t="shared" si="52"/>
        <v>2.0500000000000003</v>
      </c>
      <c r="AB44" s="50">
        <f t="shared" si="52"/>
        <v>2.5</v>
      </c>
      <c r="AC44" s="50">
        <f t="shared" si="52"/>
        <v>1.05</v>
      </c>
      <c r="AD44" s="50">
        <f t="shared" si="52"/>
        <v>3.6</v>
      </c>
      <c r="AE44" s="50">
        <f t="shared" si="52"/>
        <v>2.5</v>
      </c>
      <c r="AF44" s="50">
        <f t="shared" si="52"/>
        <v>1.75</v>
      </c>
      <c r="AG44" s="50">
        <f t="shared" si="52"/>
        <v>1.1000000000000001</v>
      </c>
      <c r="AH44" s="50">
        <f t="shared" ref="AH44:BM44" si="53">SUM(AH2:AH17)</f>
        <v>3.25</v>
      </c>
      <c r="AI44" s="50">
        <f t="shared" si="53"/>
        <v>2</v>
      </c>
      <c r="AJ44" s="50">
        <f t="shared" si="53"/>
        <v>1.1000000000000001</v>
      </c>
      <c r="AK44" s="50">
        <f t="shared" si="53"/>
        <v>1.44</v>
      </c>
      <c r="AL44" s="50">
        <f t="shared" si="53"/>
        <v>1.4</v>
      </c>
      <c r="AM44" s="50">
        <f t="shared" si="53"/>
        <v>1.05</v>
      </c>
      <c r="AN44" s="50">
        <f t="shared" si="53"/>
        <v>1.1000000000000001</v>
      </c>
      <c r="AO44" s="50">
        <f t="shared" si="53"/>
        <v>1.1000000000000001</v>
      </c>
      <c r="AP44" s="50">
        <f t="shared" si="53"/>
        <v>1.3</v>
      </c>
      <c r="AQ44" s="50">
        <f t="shared" si="53"/>
        <v>1.1000000000000001</v>
      </c>
      <c r="AR44" s="50">
        <f t="shared" si="53"/>
        <v>1.1500000000000001</v>
      </c>
      <c r="AS44" s="50">
        <f t="shared" si="53"/>
        <v>1.3</v>
      </c>
      <c r="AT44" s="50">
        <f t="shared" si="53"/>
        <v>1.05</v>
      </c>
      <c r="AU44" s="50">
        <f t="shared" si="53"/>
        <v>1</v>
      </c>
      <c r="AV44" s="50">
        <f t="shared" si="53"/>
        <v>1.05</v>
      </c>
      <c r="AW44" s="50">
        <f t="shared" si="53"/>
        <v>1</v>
      </c>
      <c r="AX44" s="50">
        <f t="shared" si="53"/>
        <v>1.01</v>
      </c>
      <c r="AY44" s="50">
        <f t="shared" si="53"/>
        <v>2.1</v>
      </c>
      <c r="AZ44" s="50">
        <f t="shared" si="53"/>
        <v>1.75</v>
      </c>
      <c r="BA44" s="50">
        <f t="shared" si="53"/>
        <v>1.45</v>
      </c>
      <c r="BB44" s="50">
        <f t="shared" si="53"/>
        <v>1.35</v>
      </c>
      <c r="BC44" s="50">
        <f t="shared" si="53"/>
        <v>1.1000000000000001</v>
      </c>
      <c r="BD44" s="50">
        <f t="shared" si="53"/>
        <v>2.7500000000000004</v>
      </c>
      <c r="BE44" s="50">
        <f t="shared" si="53"/>
        <v>2.25</v>
      </c>
      <c r="BF44" s="50">
        <f t="shared" si="53"/>
        <v>3.0500000000000003</v>
      </c>
      <c r="BG44" s="50">
        <f t="shared" si="53"/>
        <v>1.2</v>
      </c>
      <c r="BH44" s="50">
        <f t="shared" si="53"/>
        <v>1.0900000000000001</v>
      </c>
      <c r="BI44" s="50">
        <f t="shared" si="53"/>
        <v>1.5500000000000003</v>
      </c>
      <c r="BJ44" s="50">
        <f t="shared" si="53"/>
        <v>1.05</v>
      </c>
      <c r="BK44" s="50">
        <f t="shared" si="53"/>
        <v>1.1000000000000001</v>
      </c>
      <c r="BL44" s="50">
        <f t="shared" si="53"/>
        <v>1</v>
      </c>
      <c r="BM44" s="50">
        <f t="shared" si="53"/>
        <v>1.02</v>
      </c>
      <c r="BN44" s="50">
        <f t="shared" ref="BN44:CE44" si="54">SUM(BN2:BN17)</f>
        <v>1.02</v>
      </c>
      <c r="BO44" s="50">
        <f t="shared" si="54"/>
        <v>1.03</v>
      </c>
      <c r="BP44" s="50">
        <f t="shared" si="54"/>
        <v>1.03</v>
      </c>
      <c r="BQ44" s="50">
        <f t="shared" si="54"/>
        <v>1</v>
      </c>
      <c r="BR44" s="50">
        <f t="shared" si="54"/>
        <v>1.2300000000000002</v>
      </c>
      <c r="BS44" s="50">
        <f t="shared" si="54"/>
        <v>1.05</v>
      </c>
      <c r="BT44" s="50">
        <f t="shared" si="54"/>
        <v>1.2200000000000002</v>
      </c>
      <c r="BU44" s="50">
        <f t="shared" si="54"/>
        <v>1.07</v>
      </c>
      <c r="BV44" s="50">
        <f t="shared" si="54"/>
        <v>1.03</v>
      </c>
      <c r="BW44" s="50">
        <f t="shared" si="54"/>
        <v>1</v>
      </c>
      <c r="BX44" s="50">
        <f t="shared" si="54"/>
        <v>2.2000000000000002</v>
      </c>
      <c r="BY44" s="50">
        <f t="shared" si="54"/>
        <v>1.4500000000000004</v>
      </c>
      <c r="BZ44" s="50">
        <f t="shared" si="54"/>
        <v>1.4500000000000002</v>
      </c>
      <c r="CA44" s="50">
        <f t="shared" si="54"/>
        <v>1.4500000000000002</v>
      </c>
      <c r="CB44" s="50">
        <f t="shared" si="54"/>
        <v>1.5</v>
      </c>
      <c r="CC44" s="50">
        <f t="shared" si="54"/>
        <v>1.2</v>
      </c>
      <c r="CD44" s="50">
        <f t="shared" si="54"/>
        <v>1.1000000000000001</v>
      </c>
      <c r="CE44" s="50">
        <f t="shared" si="54"/>
        <v>1.5</v>
      </c>
      <c r="CP44">
        <v>502530</v>
      </c>
      <c r="CQ44">
        <v>0.6</v>
      </c>
      <c r="CR44">
        <v>193.54300000000001</v>
      </c>
      <c r="CX44" s="50">
        <f t="shared" si="21"/>
        <v>0.32684000000000002</v>
      </c>
      <c r="CY44">
        <v>43</v>
      </c>
      <c r="CZ44">
        <v>163420</v>
      </c>
      <c r="DA44" s="58">
        <f t="shared" si="22"/>
        <v>3800</v>
      </c>
      <c r="DB44" s="50">
        <f t="shared" si="23"/>
        <v>0.84728890363657106</v>
      </c>
    </row>
    <row r="45" spans="1:106">
      <c r="A45" s="46">
        <v>1895</v>
      </c>
      <c r="B45" s="50">
        <f t="shared" ref="B45:AG45" si="55">SUM(B2:B18)</f>
        <v>0.54</v>
      </c>
      <c r="C45" s="50">
        <f t="shared" si="55"/>
        <v>0.10000000000000003</v>
      </c>
      <c r="D45" s="50">
        <f t="shared" si="55"/>
        <v>0.5</v>
      </c>
      <c r="E45" s="50">
        <f t="shared" si="55"/>
        <v>1</v>
      </c>
      <c r="F45" s="50">
        <f t="shared" si="55"/>
        <v>1.25</v>
      </c>
      <c r="G45" s="50">
        <f t="shared" si="55"/>
        <v>2.8</v>
      </c>
      <c r="H45" s="50">
        <f t="shared" si="55"/>
        <v>3.2200000000000006</v>
      </c>
      <c r="I45" s="52">
        <f t="shared" si="55"/>
        <v>1</v>
      </c>
      <c r="J45" s="52">
        <f t="shared" si="55"/>
        <v>1</v>
      </c>
      <c r="K45" s="50">
        <f t="shared" si="55"/>
        <v>0.91999999999999993</v>
      </c>
      <c r="L45" s="50">
        <f t="shared" si="55"/>
        <v>1.1700000000000002</v>
      </c>
      <c r="M45" s="50">
        <f t="shared" si="55"/>
        <v>1.75</v>
      </c>
      <c r="N45" s="50">
        <f t="shared" si="55"/>
        <v>0.71</v>
      </c>
      <c r="O45" s="52">
        <f t="shared" si="55"/>
        <v>7.000000000000001E-4</v>
      </c>
      <c r="P45" s="50">
        <f t="shared" si="55"/>
        <v>0.7</v>
      </c>
      <c r="Q45" s="50">
        <f t="shared" si="55"/>
        <v>3.3</v>
      </c>
      <c r="R45" s="56">
        <f t="shared" si="55"/>
        <v>4</v>
      </c>
      <c r="S45" s="56">
        <f t="shared" si="55"/>
        <v>147</v>
      </c>
      <c r="T45" s="50">
        <f t="shared" si="55"/>
        <v>1</v>
      </c>
      <c r="U45" s="54">
        <f t="shared" si="55"/>
        <v>0.996</v>
      </c>
      <c r="V45" s="50">
        <f t="shared" si="55"/>
        <v>1.7</v>
      </c>
      <c r="W45" s="50">
        <f t="shared" si="55"/>
        <v>1.7</v>
      </c>
      <c r="X45" s="50">
        <f t="shared" si="55"/>
        <v>1.5999999999999999</v>
      </c>
      <c r="Y45" s="50">
        <f t="shared" si="55"/>
        <v>4.8499999999999996</v>
      </c>
      <c r="Z45" s="50">
        <f t="shared" si="55"/>
        <v>2.5</v>
      </c>
      <c r="AA45" s="50">
        <f t="shared" si="55"/>
        <v>2.0500000000000003</v>
      </c>
      <c r="AB45" s="50">
        <f t="shared" si="55"/>
        <v>2.5</v>
      </c>
      <c r="AC45" s="50">
        <f t="shared" si="55"/>
        <v>1.05</v>
      </c>
      <c r="AD45" s="50">
        <f t="shared" si="55"/>
        <v>3.6</v>
      </c>
      <c r="AE45" s="50">
        <f t="shared" si="55"/>
        <v>2.5</v>
      </c>
      <c r="AF45" s="50">
        <f t="shared" si="55"/>
        <v>1.75</v>
      </c>
      <c r="AG45" s="50">
        <f t="shared" si="55"/>
        <v>1.1000000000000001</v>
      </c>
      <c r="AH45" s="50">
        <f t="shared" ref="AH45:BM45" si="56">SUM(AH2:AH18)</f>
        <v>3.25</v>
      </c>
      <c r="AI45" s="50">
        <f t="shared" si="56"/>
        <v>2</v>
      </c>
      <c r="AJ45" s="50">
        <f t="shared" si="56"/>
        <v>1.1000000000000001</v>
      </c>
      <c r="AK45" s="50">
        <f t="shared" si="56"/>
        <v>1.44</v>
      </c>
      <c r="AL45" s="50">
        <f t="shared" si="56"/>
        <v>1.4</v>
      </c>
      <c r="AM45" s="50">
        <f t="shared" si="56"/>
        <v>1.05</v>
      </c>
      <c r="AN45" s="50">
        <f t="shared" si="56"/>
        <v>1.1000000000000001</v>
      </c>
      <c r="AO45" s="50">
        <f t="shared" si="56"/>
        <v>1.1000000000000001</v>
      </c>
      <c r="AP45" s="50">
        <f t="shared" si="56"/>
        <v>1.3</v>
      </c>
      <c r="AQ45" s="50">
        <f t="shared" si="56"/>
        <v>1.1000000000000001</v>
      </c>
      <c r="AR45" s="50">
        <f t="shared" si="56"/>
        <v>1.1500000000000001</v>
      </c>
      <c r="AS45" s="50">
        <f t="shared" si="56"/>
        <v>1.3</v>
      </c>
      <c r="AT45" s="50">
        <f t="shared" si="56"/>
        <v>1.05</v>
      </c>
      <c r="AU45" s="50">
        <f t="shared" si="56"/>
        <v>1</v>
      </c>
      <c r="AV45" s="50">
        <f t="shared" si="56"/>
        <v>1.05</v>
      </c>
      <c r="AW45" s="50">
        <f t="shared" si="56"/>
        <v>1</v>
      </c>
      <c r="AX45" s="50">
        <f t="shared" si="56"/>
        <v>1.01</v>
      </c>
      <c r="AY45" s="50">
        <f t="shared" si="56"/>
        <v>2.1</v>
      </c>
      <c r="AZ45" s="50">
        <f t="shared" si="56"/>
        <v>1.75</v>
      </c>
      <c r="BA45" s="50">
        <f t="shared" si="56"/>
        <v>1.45</v>
      </c>
      <c r="BB45" s="50">
        <f t="shared" si="56"/>
        <v>1.35</v>
      </c>
      <c r="BC45" s="50">
        <f t="shared" si="56"/>
        <v>1.1000000000000001</v>
      </c>
      <c r="BD45" s="50">
        <f t="shared" si="56"/>
        <v>2.7500000000000004</v>
      </c>
      <c r="BE45" s="50">
        <f t="shared" si="56"/>
        <v>2.25</v>
      </c>
      <c r="BF45" s="50">
        <f t="shared" si="56"/>
        <v>3.0500000000000003</v>
      </c>
      <c r="BG45" s="50">
        <f t="shared" si="56"/>
        <v>1.2</v>
      </c>
      <c r="BH45" s="50">
        <f t="shared" si="56"/>
        <v>1.0900000000000001</v>
      </c>
      <c r="BI45" s="50">
        <f t="shared" si="56"/>
        <v>1.5500000000000003</v>
      </c>
      <c r="BJ45" s="50">
        <f t="shared" si="56"/>
        <v>1.05</v>
      </c>
      <c r="BK45" s="50">
        <f t="shared" si="56"/>
        <v>1.1000000000000001</v>
      </c>
      <c r="BL45" s="50">
        <f t="shared" si="56"/>
        <v>1</v>
      </c>
      <c r="BM45" s="50">
        <f t="shared" si="56"/>
        <v>1.02</v>
      </c>
      <c r="BN45" s="50">
        <f t="shared" ref="BN45:CE45" si="57">SUM(BN2:BN18)</f>
        <v>1.02</v>
      </c>
      <c r="BO45" s="50">
        <f t="shared" si="57"/>
        <v>1.03</v>
      </c>
      <c r="BP45" s="50">
        <f t="shared" si="57"/>
        <v>1.03</v>
      </c>
      <c r="BQ45" s="50">
        <f t="shared" si="57"/>
        <v>1</v>
      </c>
      <c r="BR45" s="50">
        <f t="shared" si="57"/>
        <v>1.2300000000000002</v>
      </c>
      <c r="BS45" s="50">
        <f t="shared" si="57"/>
        <v>1.05</v>
      </c>
      <c r="BT45" s="50">
        <f t="shared" si="57"/>
        <v>1.2200000000000002</v>
      </c>
      <c r="BU45" s="50">
        <f t="shared" si="57"/>
        <v>1.07</v>
      </c>
      <c r="BV45" s="50">
        <f t="shared" si="57"/>
        <v>1.03</v>
      </c>
      <c r="BW45" s="50">
        <f t="shared" si="57"/>
        <v>1</v>
      </c>
      <c r="BX45" s="50">
        <f t="shared" si="57"/>
        <v>2.2000000000000002</v>
      </c>
      <c r="BY45" s="50">
        <f t="shared" si="57"/>
        <v>1.4500000000000004</v>
      </c>
      <c r="BZ45" s="50">
        <f t="shared" si="57"/>
        <v>1.4500000000000002</v>
      </c>
      <c r="CA45" s="50">
        <f t="shared" si="57"/>
        <v>1.4500000000000002</v>
      </c>
      <c r="CB45" s="50">
        <f t="shared" si="57"/>
        <v>1.5</v>
      </c>
      <c r="CC45" s="50">
        <f t="shared" si="57"/>
        <v>1.2</v>
      </c>
      <c r="CD45" s="50">
        <f t="shared" si="57"/>
        <v>1.1000000000000001</v>
      </c>
      <c r="CE45" s="50">
        <f t="shared" si="57"/>
        <v>1.5</v>
      </c>
      <c r="CP45">
        <v>502530</v>
      </c>
      <c r="CQ45">
        <v>0.5</v>
      </c>
      <c r="CR45">
        <v>161.28399999999999</v>
      </c>
      <c r="CX45" s="50">
        <f t="shared" si="21"/>
        <v>0.33444200000000002</v>
      </c>
      <c r="CY45">
        <v>44</v>
      </c>
      <c r="CZ45">
        <v>167221</v>
      </c>
      <c r="DA45" s="58">
        <f t="shared" si="22"/>
        <v>3801</v>
      </c>
      <c r="DB45" s="50">
        <f t="shared" si="23"/>
        <v>0.86699606997314305</v>
      </c>
    </row>
    <row r="46" spans="1:106">
      <c r="A46" s="46">
        <v>1898</v>
      </c>
      <c r="B46" s="50">
        <f t="shared" ref="B46:AG46" si="58">SUM(B2:B19)</f>
        <v>0.54</v>
      </c>
      <c r="C46" s="50">
        <f t="shared" si="58"/>
        <v>0.10000000000000003</v>
      </c>
      <c r="D46" s="50">
        <f t="shared" si="58"/>
        <v>0.5</v>
      </c>
      <c r="E46" s="50">
        <f t="shared" si="58"/>
        <v>1</v>
      </c>
      <c r="F46" s="50">
        <f t="shared" si="58"/>
        <v>1.25</v>
      </c>
      <c r="G46" s="50">
        <f t="shared" si="58"/>
        <v>2.8</v>
      </c>
      <c r="H46" s="50">
        <f t="shared" si="58"/>
        <v>3.2200000000000006</v>
      </c>
      <c r="I46" s="52">
        <f t="shared" si="58"/>
        <v>1</v>
      </c>
      <c r="J46" s="52">
        <f t="shared" si="58"/>
        <v>1</v>
      </c>
      <c r="K46" s="50">
        <f t="shared" si="58"/>
        <v>0.91999999999999993</v>
      </c>
      <c r="L46" s="50">
        <f t="shared" si="58"/>
        <v>1.1700000000000002</v>
      </c>
      <c r="M46" s="50">
        <f t="shared" si="58"/>
        <v>1.75</v>
      </c>
      <c r="N46" s="50">
        <f t="shared" si="58"/>
        <v>0.71</v>
      </c>
      <c r="O46" s="52">
        <f t="shared" si="58"/>
        <v>7.000000000000001E-4</v>
      </c>
      <c r="P46" s="50">
        <f t="shared" si="58"/>
        <v>0.7</v>
      </c>
      <c r="Q46" s="50">
        <f t="shared" si="58"/>
        <v>3.3</v>
      </c>
      <c r="R46" s="56">
        <f t="shared" si="58"/>
        <v>5</v>
      </c>
      <c r="S46" s="56">
        <f t="shared" si="58"/>
        <v>147</v>
      </c>
      <c r="T46" s="50">
        <f t="shared" si="58"/>
        <v>1</v>
      </c>
      <c r="U46" s="54">
        <f t="shared" si="58"/>
        <v>0.996</v>
      </c>
      <c r="V46" s="50">
        <f t="shared" si="58"/>
        <v>1.7</v>
      </c>
      <c r="W46" s="50">
        <f t="shared" si="58"/>
        <v>1.7</v>
      </c>
      <c r="X46" s="50">
        <f t="shared" si="58"/>
        <v>1.5999999999999999</v>
      </c>
      <c r="Y46" s="50">
        <f t="shared" si="58"/>
        <v>4.8499999999999996</v>
      </c>
      <c r="Z46" s="50">
        <f t="shared" si="58"/>
        <v>2.5</v>
      </c>
      <c r="AA46" s="50">
        <f t="shared" si="58"/>
        <v>2.0500000000000003</v>
      </c>
      <c r="AB46" s="50">
        <f t="shared" si="58"/>
        <v>2.5</v>
      </c>
      <c r="AC46" s="50">
        <f t="shared" si="58"/>
        <v>1.05</v>
      </c>
      <c r="AD46" s="50">
        <f t="shared" si="58"/>
        <v>3.6</v>
      </c>
      <c r="AE46" s="50">
        <f t="shared" si="58"/>
        <v>2.5</v>
      </c>
      <c r="AF46" s="50">
        <f t="shared" si="58"/>
        <v>1.9</v>
      </c>
      <c r="AG46" s="50">
        <f t="shared" si="58"/>
        <v>1.1000000000000001</v>
      </c>
      <c r="AH46" s="50">
        <f t="shared" ref="AH46:BM46" si="59">SUM(AH2:AH19)</f>
        <v>3.25</v>
      </c>
      <c r="AI46" s="50">
        <f t="shared" si="59"/>
        <v>2</v>
      </c>
      <c r="AJ46" s="50">
        <f t="shared" si="59"/>
        <v>1.1000000000000001</v>
      </c>
      <c r="AK46" s="50">
        <f t="shared" si="59"/>
        <v>1.44</v>
      </c>
      <c r="AL46" s="50">
        <f t="shared" si="59"/>
        <v>1.4</v>
      </c>
      <c r="AM46" s="50">
        <f t="shared" si="59"/>
        <v>1.05</v>
      </c>
      <c r="AN46" s="50">
        <f t="shared" si="59"/>
        <v>1.1000000000000001</v>
      </c>
      <c r="AO46" s="50">
        <f t="shared" si="59"/>
        <v>1.1000000000000001</v>
      </c>
      <c r="AP46" s="50">
        <f t="shared" si="59"/>
        <v>1.3</v>
      </c>
      <c r="AQ46" s="50">
        <f t="shared" si="59"/>
        <v>1.1000000000000001</v>
      </c>
      <c r="AR46" s="50">
        <f t="shared" si="59"/>
        <v>1.1500000000000001</v>
      </c>
      <c r="AS46" s="50">
        <f t="shared" si="59"/>
        <v>1.3</v>
      </c>
      <c r="AT46" s="50">
        <f t="shared" si="59"/>
        <v>1.05</v>
      </c>
      <c r="AU46" s="50">
        <f t="shared" si="59"/>
        <v>1</v>
      </c>
      <c r="AV46" s="50">
        <f t="shared" si="59"/>
        <v>1.05</v>
      </c>
      <c r="AW46" s="50">
        <f t="shared" si="59"/>
        <v>1</v>
      </c>
      <c r="AX46" s="50">
        <f t="shared" si="59"/>
        <v>1.01</v>
      </c>
      <c r="AY46" s="50">
        <f t="shared" si="59"/>
        <v>2.1</v>
      </c>
      <c r="AZ46" s="50">
        <f t="shared" si="59"/>
        <v>1.75</v>
      </c>
      <c r="BA46" s="50">
        <f t="shared" si="59"/>
        <v>1.45</v>
      </c>
      <c r="BB46" s="50">
        <f t="shared" si="59"/>
        <v>1.35</v>
      </c>
      <c r="BC46" s="50">
        <f t="shared" si="59"/>
        <v>1.1000000000000001</v>
      </c>
      <c r="BD46" s="50">
        <f t="shared" si="59"/>
        <v>2.7500000000000004</v>
      </c>
      <c r="BE46" s="50">
        <f t="shared" si="59"/>
        <v>2.25</v>
      </c>
      <c r="BF46" s="50">
        <f t="shared" si="59"/>
        <v>3.0500000000000003</v>
      </c>
      <c r="BG46" s="50">
        <f t="shared" si="59"/>
        <v>1.2</v>
      </c>
      <c r="BH46" s="50">
        <f t="shared" si="59"/>
        <v>1.0900000000000001</v>
      </c>
      <c r="BI46" s="50">
        <f t="shared" si="59"/>
        <v>1.5500000000000003</v>
      </c>
      <c r="BJ46" s="50">
        <f t="shared" si="59"/>
        <v>1.05</v>
      </c>
      <c r="BK46" s="50">
        <f t="shared" si="59"/>
        <v>1.1000000000000001</v>
      </c>
      <c r="BL46" s="50">
        <f t="shared" si="59"/>
        <v>1</v>
      </c>
      <c r="BM46" s="50">
        <f t="shared" si="59"/>
        <v>1.02</v>
      </c>
      <c r="BN46" s="50">
        <f t="shared" ref="BN46:CE46" si="60">SUM(BN2:BN19)</f>
        <v>1.02</v>
      </c>
      <c r="BO46" s="50">
        <f t="shared" si="60"/>
        <v>1.03</v>
      </c>
      <c r="BP46" s="50">
        <f t="shared" si="60"/>
        <v>1.03</v>
      </c>
      <c r="BQ46" s="50">
        <f t="shared" si="60"/>
        <v>1</v>
      </c>
      <c r="BR46" s="50">
        <f t="shared" si="60"/>
        <v>1.2300000000000002</v>
      </c>
      <c r="BS46" s="50">
        <f t="shared" si="60"/>
        <v>1.05</v>
      </c>
      <c r="BT46" s="50">
        <f t="shared" si="60"/>
        <v>1.2200000000000002</v>
      </c>
      <c r="BU46" s="50">
        <f t="shared" si="60"/>
        <v>1.07</v>
      </c>
      <c r="BV46" s="50">
        <f t="shared" si="60"/>
        <v>1.03</v>
      </c>
      <c r="BW46" s="50">
        <f t="shared" si="60"/>
        <v>1</v>
      </c>
      <c r="BX46" s="50">
        <f t="shared" si="60"/>
        <v>2.2000000000000002</v>
      </c>
      <c r="BY46" s="50">
        <f t="shared" si="60"/>
        <v>1.4500000000000004</v>
      </c>
      <c r="BZ46" s="50">
        <f t="shared" si="60"/>
        <v>1.4500000000000002</v>
      </c>
      <c r="CA46" s="50">
        <f t="shared" si="60"/>
        <v>1.4500000000000002</v>
      </c>
      <c r="CB46" s="50">
        <f t="shared" si="60"/>
        <v>1.5</v>
      </c>
      <c r="CC46" s="50">
        <f t="shared" si="60"/>
        <v>1.2</v>
      </c>
      <c r="CD46" s="50">
        <f t="shared" si="60"/>
        <v>1.1000000000000001</v>
      </c>
      <c r="CE46" s="50">
        <f t="shared" si="60"/>
        <v>1.5</v>
      </c>
      <c r="CP46">
        <v>502530</v>
      </c>
      <c r="CQ46">
        <v>1</v>
      </c>
      <c r="CR46">
        <f>CR45*2</f>
        <v>322.56799999999998</v>
      </c>
      <c r="CX46" s="50">
        <f t="shared" si="21"/>
        <v>0.34204200000000001</v>
      </c>
      <c r="CY46">
        <v>45</v>
      </c>
      <c r="CZ46">
        <v>171021</v>
      </c>
      <c r="DA46" s="58">
        <f t="shared" si="22"/>
        <v>3800</v>
      </c>
      <c r="DB46" s="50">
        <f t="shared" si="23"/>
        <v>0.88669805157771397</v>
      </c>
    </row>
    <row r="47" spans="1:106">
      <c r="A47" s="46">
        <v>1900</v>
      </c>
      <c r="B47" s="50">
        <f t="shared" ref="B47:AG47" si="61">SUM(B2:B20)</f>
        <v>0.59000000000000008</v>
      </c>
      <c r="C47" s="50">
        <f t="shared" si="61"/>
        <v>0.10000000000000003</v>
      </c>
      <c r="D47" s="50">
        <f t="shared" si="61"/>
        <v>0.6</v>
      </c>
      <c r="E47" s="50">
        <f t="shared" si="61"/>
        <v>1.1499999999999999</v>
      </c>
      <c r="F47" s="50">
        <f t="shared" si="61"/>
        <v>1.25</v>
      </c>
      <c r="G47" s="50">
        <f t="shared" si="61"/>
        <v>3.4499999999999997</v>
      </c>
      <c r="H47" s="50">
        <f t="shared" si="61"/>
        <v>3.3700000000000006</v>
      </c>
      <c r="I47" s="52">
        <f t="shared" si="61"/>
        <v>1</v>
      </c>
      <c r="J47" s="52">
        <f t="shared" si="61"/>
        <v>1</v>
      </c>
      <c r="K47" s="50">
        <f t="shared" si="61"/>
        <v>0.90999999999999992</v>
      </c>
      <c r="L47" s="50">
        <f t="shared" si="61"/>
        <v>1.2000000000000002</v>
      </c>
      <c r="M47" s="50">
        <f t="shared" si="61"/>
        <v>2.04</v>
      </c>
      <c r="N47" s="50">
        <f t="shared" si="61"/>
        <v>0.79999999999999993</v>
      </c>
      <c r="O47" s="52">
        <f t="shared" si="61"/>
        <v>7.000000000000001E-4</v>
      </c>
      <c r="P47" s="50">
        <f t="shared" si="61"/>
        <v>0.7</v>
      </c>
      <c r="Q47" s="50">
        <f t="shared" si="61"/>
        <v>4.1499999999999995</v>
      </c>
      <c r="R47" s="56">
        <f t="shared" si="61"/>
        <v>5</v>
      </c>
      <c r="S47" s="56">
        <f t="shared" si="61"/>
        <v>147</v>
      </c>
      <c r="T47" s="50">
        <f t="shared" si="61"/>
        <v>1</v>
      </c>
      <c r="U47" s="54">
        <f t="shared" si="61"/>
        <v>0.98099999999999998</v>
      </c>
      <c r="V47" s="50">
        <f t="shared" si="61"/>
        <v>1.7</v>
      </c>
      <c r="W47" s="50">
        <f t="shared" si="61"/>
        <v>1.7</v>
      </c>
      <c r="X47" s="50">
        <f t="shared" si="61"/>
        <v>1.5999999999999999</v>
      </c>
      <c r="Y47" s="50">
        <f t="shared" si="61"/>
        <v>4.8499999999999996</v>
      </c>
      <c r="Z47" s="50">
        <f t="shared" si="61"/>
        <v>2.5</v>
      </c>
      <c r="AA47" s="50">
        <f t="shared" si="61"/>
        <v>2.0500000000000003</v>
      </c>
      <c r="AB47" s="50">
        <f t="shared" si="61"/>
        <v>2.5</v>
      </c>
      <c r="AC47" s="50">
        <f t="shared" si="61"/>
        <v>1.05</v>
      </c>
      <c r="AD47" s="50">
        <f t="shared" si="61"/>
        <v>3.6</v>
      </c>
      <c r="AE47" s="50">
        <f t="shared" si="61"/>
        <v>2.5</v>
      </c>
      <c r="AF47" s="50">
        <f t="shared" si="61"/>
        <v>2.0499999999999998</v>
      </c>
      <c r="AG47" s="50">
        <f t="shared" si="61"/>
        <v>1.1000000000000001</v>
      </c>
      <c r="AH47" s="50">
        <f t="shared" ref="AH47:BM47" si="62">SUM(AH2:AH20)</f>
        <v>3.75</v>
      </c>
      <c r="AI47" s="50">
        <f t="shared" si="62"/>
        <v>2</v>
      </c>
      <c r="AJ47" s="50">
        <f t="shared" si="62"/>
        <v>1.1000000000000001</v>
      </c>
      <c r="AK47" s="50">
        <f t="shared" si="62"/>
        <v>1.44</v>
      </c>
      <c r="AL47" s="50">
        <f t="shared" si="62"/>
        <v>1.4</v>
      </c>
      <c r="AM47" s="50">
        <f t="shared" si="62"/>
        <v>1.05</v>
      </c>
      <c r="AN47" s="50">
        <f t="shared" si="62"/>
        <v>1.1500000000000001</v>
      </c>
      <c r="AO47" s="50">
        <f t="shared" si="62"/>
        <v>1.1000000000000001</v>
      </c>
      <c r="AP47" s="50">
        <f t="shared" si="62"/>
        <v>1.3</v>
      </c>
      <c r="AQ47" s="50">
        <f t="shared" si="62"/>
        <v>1.2000000000000002</v>
      </c>
      <c r="AR47" s="50">
        <f t="shared" si="62"/>
        <v>1.1500000000000001</v>
      </c>
      <c r="AS47" s="50">
        <f t="shared" si="62"/>
        <v>1.4000000000000001</v>
      </c>
      <c r="AT47" s="50">
        <f t="shared" si="62"/>
        <v>1.05</v>
      </c>
      <c r="AU47" s="50">
        <f t="shared" si="62"/>
        <v>1</v>
      </c>
      <c r="AV47" s="50">
        <f t="shared" si="62"/>
        <v>1.05</v>
      </c>
      <c r="AW47" s="50">
        <f t="shared" si="62"/>
        <v>1.03</v>
      </c>
      <c r="AX47" s="50">
        <f t="shared" si="62"/>
        <v>1.01</v>
      </c>
      <c r="AY47" s="50">
        <f t="shared" si="62"/>
        <v>2.1</v>
      </c>
      <c r="AZ47" s="50">
        <f t="shared" si="62"/>
        <v>2.0499999999999998</v>
      </c>
      <c r="BA47" s="50">
        <f t="shared" si="62"/>
        <v>1.45</v>
      </c>
      <c r="BB47" s="50">
        <f t="shared" si="62"/>
        <v>1.35</v>
      </c>
      <c r="BC47" s="50">
        <f t="shared" si="62"/>
        <v>1.1000000000000001</v>
      </c>
      <c r="BD47" s="50">
        <f t="shared" si="62"/>
        <v>3.1000000000000005</v>
      </c>
      <c r="BE47" s="50">
        <f t="shared" si="62"/>
        <v>2.85</v>
      </c>
      <c r="BF47" s="50">
        <f t="shared" si="62"/>
        <v>3.45</v>
      </c>
      <c r="BG47" s="50">
        <f t="shared" si="62"/>
        <v>1.2</v>
      </c>
      <c r="BH47" s="50">
        <f t="shared" si="62"/>
        <v>1.0900000000000001</v>
      </c>
      <c r="BI47" s="50">
        <f t="shared" si="62"/>
        <v>1.5500000000000003</v>
      </c>
      <c r="BJ47" s="50">
        <f t="shared" si="62"/>
        <v>1.05</v>
      </c>
      <c r="BK47" s="50">
        <f t="shared" si="62"/>
        <v>1.1000000000000001</v>
      </c>
      <c r="BL47" s="50">
        <f t="shared" si="62"/>
        <v>2</v>
      </c>
      <c r="BM47" s="50">
        <f t="shared" si="62"/>
        <v>1.02</v>
      </c>
      <c r="BN47" s="50">
        <f t="shared" ref="BN47:CE47" si="63">SUM(BN2:BN20)</f>
        <v>1.02</v>
      </c>
      <c r="BO47" s="50">
        <f t="shared" si="63"/>
        <v>1.06</v>
      </c>
      <c r="BP47" s="50">
        <f t="shared" si="63"/>
        <v>1.03</v>
      </c>
      <c r="BQ47" s="50">
        <f t="shared" si="63"/>
        <v>1.03</v>
      </c>
      <c r="BR47" s="50">
        <f t="shared" si="63"/>
        <v>1.2300000000000002</v>
      </c>
      <c r="BS47" s="50">
        <f t="shared" si="63"/>
        <v>1.05</v>
      </c>
      <c r="BT47" s="50">
        <f t="shared" si="63"/>
        <v>1.2200000000000002</v>
      </c>
      <c r="BU47" s="50">
        <f t="shared" si="63"/>
        <v>1.07</v>
      </c>
      <c r="BV47" s="50">
        <f t="shared" si="63"/>
        <v>1.03</v>
      </c>
      <c r="BW47" s="50">
        <f t="shared" si="63"/>
        <v>1</v>
      </c>
      <c r="BX47" s="50">
        <f t="shared" si="63"/>
        <v>2.6</v>
      </c>
      <c r="BY47" s="50">
        <f t="shared" si="63"/>
        <v>1.5500000000000005</v>
      </c>
      <c r="BZ47" s="50">
        <f t="shared" si="63"/>
        <v>1.4500000000000002</v>
      </c>
      <c r="CA47" s="50">
        <f t="shared" si="63"/>
        <v>1.4500000000000002</v>
      </c>
      <c r="CB47" s="50">
        <f t="shared" si="63"/>
        <v>1.8</v>
      </c>
      <c r="CC47" s="50">
        <f t="shared" si="63"/>
        <v>1.2</v>
      </c>
      <c r="CD47" s="50">
        <f t="shared" si="63"/>
        <v>1.1000000000000001</v>
      </c>
      <c r="CE47" s="50">
        <f t="shared" si="63"/>
        <v>1.5</v>
      </c>
      <c r="CR47">
        <f>CR46/CP46</f>
        <v>6.418880464847869E-4</v>
      </c>
      <c r="CX47" s="50">
        <f t="shared" si="21"/>
        <v>0.34964400000000001</v>
      </c>
      <c r="CY47">
        <v>46</v>
      </c>
      <c r="CZ47">
        <v>174822</v>
      </c>
      <c r="DA47" s="58">
        <f t="shared" si="22"/>
        <v>3801</v>
      </c>
      <c r="DB47" s="50">
        <f t="shared" si="23"/>
        <v>0.90640521791428597</v>
      </c>
    </row>
    <row r="48" spans="1:106">
      <c r="A48" s="46">
        <v>1905</v>
      </c>
      <c r="B48" s="50">
        <f t="shared" ref="B48:AG48" si="64">SUM(B2:B21)</f>
        <v>0.59000000000000008</v>
      </c>
      <c r="C48" s="50">
        <f t="shared" si="64"/>
        <v>0.10000000000000003</v>
      </c>
      <c r="D48" s="50">
        <f t="shared" si="64"/>
        <v>0.6</v>
      </c>
      <c r="E48" s="50">
        <f t="shared" si="64"/>
        <v>1.1499999999999999</v>
      </c>
      <c r="F48" s="50">
        <f t="shared" si="64"/>
        <v>1.25</v>
      </c>
      <c r="G48" s="50">
        <f t="shared" si="64"/>
        <v>3.4499999999999997</v>
      </c>
      <c r="H48" s="50">
        <f t="shared" si="64"/>
        <v>3.3700000000000006</v>
      </c>
      <c r="I48" s="52">
        <f t="shared" si="64"/>
        <v>1</v>
      </c>
      <c r="J48" s="52">
        <f t="shared" si="64"/>
        <v>1</v>
      </c>
      <c r="K48" s="50">
        <f t="shared" si="64"/>
        <v>0.90999999999999992</v>
      </c>
      <c r="L48" s="50">
        <f t="shared" si="64"/>
        <v>1.2000000000000002</v>
      </c>
      <c r="M48" s="50">
        <f t="shared" si="64"/>
        <v>2.04</v>
      </c>
      <c r="N48" s="50">
        <f t="shared" si="64"/>
        <v>0.79999999999999993</v>
      </c>
      <c r="O48" s="52">
        <f t="shared" si="64"/>
        <v>8.0000000000000015E-4</v>
      </c>
      <c r="P48" s="50">
        <f t="shared" si="64"/>
        <v>0.7</v>
      </c>
      <c r="Q48" s="50">
        <f t="shared" si="64"/>
        <v>4.1499999999999995</v>
      </c>
      <c r="R48" s="56">
        <f t="shared" si="64"/>
        <v>5</v>
      </c>
      <c r="S48" s="56">
        <f t="shared" si="64"/>
        <v>147</v>
      </c>
      <c r="T48" s="50">
        <f t="shared" si="64"/>
        <v>1</v>
      </c>
      <c r="U48" s="54">
        <f t="shared" si="64"/>
        <v>0.98099999999999998</v>
      </c>
      <c r="V48" s="50">
        <f t="shared" si="64"/>
        <v>1.7</v>
      </c>
      <c r="W48" s="50">
        <f t="shared" si="64"/>
        <v>1.7</v>
      </c>
      <c r="X48" s="50">
        <f t="shared" si="64"/>
        <v>1.5999999999999999</v>
      </c>
      <c r="Y48" s="50">
        <f t="shared" si="64"/>
        <v>6.1499999999999995</v>
      </c>
      <c r="Z48" s="50">
        <f t="shared" si="64"/>
        <v>2.5</v>
      </c>
      <c r="AA48" s="50">
        <f t="shared" si="64"/>
        <v>2.6000000000000005</v>
      </c>
      <c r="AB48" s="50">
        <f t="shared" si="64"/>
        <v>2.5</v>
      </c>
      <c r="AC48" s="50">
        <f t="shared" si="64"/>
        <v>1.05</v>
      </c>
      <c r="AD48" s="50">
        <f t="shared" si="64"/>
        <v>4.6500000000000004</v>
      </c>
      <c r="AE48" s="50">
        <f t="shared" si="64"/>
        <v>2.5</v>
      </c>
      <c r="AF48" s="50">
        <f t="shared" si="64"/>
        <v>2.0499999999999998</v>
      </c>
      <c r="AG48" s="50">
        <f t="shared" si="64"/>
        <v>1.1000000000000001</v>
      </c>
      <c r="AH48" s="50">
        <f t="shared" ref="AH48:BM48" si="65">SUM(AH2:AH21)</f>
        <v>3.75</v>
      </c>
      <c r="AI48" s="50">
        <f t="shared" si="65"/>
        <v>2</v>
      </c>
      <c r="AJ48" s="50">
        <f t="shared" si="65"/>
        <v>1.1000000000000001</v>
      </c>
      <c r="AK48" s="50">
        <f t="shared" si="65"/>
        <v>1.49</v>
      </c>
      <c r="AL48" s="50">
        <f t="shared" si="65"/>
        <v>1.4</v>
      </c>
      <c r="AM48" s="50">
        <f t="shared" si="65"/>
        <v>1.05</v>
      </c>
      <c r="AN48" s="50">
        <f t="shared" si="65"/>
        <v>1.1500000000000001</v>
      </c>
      <c r="AO48" s="50">
        <f t="shared" si="65"/>
        <v>1.1000000000000001</v>
      </c>
      <c r="AP48" s="50">
        <f t="shared" si="65"/>
        <v>1.3</v>
      </c>
      <c r="AQ48" s="50">
        <f t="shared" si="65"/>
        <v>1.2000000000000002</v>
      </c>
      <c r="AR48" s="50">
        <f t="shared" si="65"/>
        <v>1.1500000000000001</v>
      </c>
      <c r="AS48" s="50">
        <f t="shared" si="65"/>
        <v>1.4000000000000001</v>
      </c>
      <c r="AT48" s="50">
        <f t="shared" si="65"/>
        <v>1.05</v>
      </c>
      <c r="AU48" s="50">
        <f t="shared" si="65"/>
        <v>1</v>
      </c>
      <c r="AV48" s="50">
        <f t="shared" si="65"/>
        <v>1.05</v>
      </c>
      <c r="AW48" s="50">
        <f t="shared" si="65"/>
        <v>1.03</v>
      </c>
      <c r="AX48" s="50">
        <f t="shared" si="65"/>
        <v>1.01</v>
      </c>
      <c r="AY48" s="50">
        <f t="shared" si="65"/>
        <v>2.1</v>
      </c>
      <c r="AZ48" s="50">
        <f t="shared" si="65"/>
        <v>2.0499999999999998</v>
      </c>
      <c r="BA48" s="50">
        <f t="shared" si="65"/>
        <v>1.45</v>
      </c>
      <c r="BB48" s="50">
        <f t="shared" si="65"/>
        <v>1.35</v>
      </c>
      <c r="BC48" s="50">
        <f t="shared" si="65"/>
        <v>1.1000000000000001</v>
      </c>
      <c r="BD48" s="50">
        <f t="shared" si="65"/>
        <v>3.1000000000000005</v>
      </c>
      <c r="BE48" s="50">
        <f t="shared" si="65"/>
        <v>2.85</v>
      </c>
      <c r="BF48" s="50">
        <f t="shared" si="65"/>
        <v>3.45</v>
      </c>
      <c r="BG48" s="50">
        <f t="shared" si="65"/>
        <v>1.2</v>
      </c>
      <c r="BH48" s="50">
        <f t="shared" si="65"/>
        <v>1.0900000000000001</v>
      </c>
      <c r="BI48" s="50">
        <f t="shared" si="65"/>
        <v>1.5500000000000003</v>
      </c>
      <c r="BJ48" s="50">
        <f t="shared" si="65"/>
        <v>1.05</v>
      </c>
      <c r="BK48" s="50">
        <f t="shared" si="65"/>
        <v>1.1000000000000001</v>
      </c>
      <c r="BL48" s="50">
        <f t="shared" si="65"/>
        <v>2</v>
      </c>
      <c r="BM48" s="50">
        <f t="shared" si="65"/>
        <v>1.02</v>
      </c>
      <c r="BN48" s="50">
        <f t="shared" ref="BN48:CE48" si="66">SUM(BN2:BN21)</f>
        <v>1.02</v>
      </c>
      <c r="BO48" s="50">
        <f t="shared" si="66"/>
        <v>1.06</v>
      </c>
      <c r="BP48" s="50">
        <f t="shared" si="66"/>
        <v>1.03</v>
      </c>
      <c r="BQ48" s="50">
        <f t="shared" si="66"/>
        <v>1.03</v>
      </c>
      <c r="BR48" s="50">
        <f t="shared" si="66"/>
        <v>1.2300000000000002</v>
      </c>
      <c r="BS48" s="50">
        <f t="shared" si="66"/>
        <v>1.05</v>
      </c>
      <c r="BT48" s="50">
        <f t="shared" si="66"/>
        <v>1.2200000000000002</v>
      </c>
      <c r="BU48" s="50">
        <f t="shared" si="66"/>
        <v>1.07</v>
      </c>
      <c r="BV48" s="50">
        <f t="shared" si="66"/>
        <v>1.03</v>
      </c>
      <c r="BW48" s="50">
        <f t="shared" si="66"/>
        <v>1</v>
      </c>
      <c r="BX48" s="50">
        <f t="shared" si="66"/>
        <v>2.6</v>
      </c>
      <c r="BY48" s="50">
        <f t="shared" si="66"/>
        <v>1.5500000000000005</v>
      </c>
      <c r="BZ48" s="50">
        <f t="shared" si="66"/>
        <v>1.4500000000000002</v>
      </c>
      <c r="CA48" s="50">
        <f t="shared" si="66"/>
        <v>1.4500000000000002</v>
      </c>
      <c r="CB48" s="50">
        <f t="shared" si="66"/>
        <v>1.8</v>
      </c>
      <c r="CC48" s="50">
        <f t="shared" si="66"/>
        <v>1.2</v>
      </c>
      <c r="CD48" s="50">
        <f t="shared" si="66"/>
        <v>1.1000000000000001</v>
      </c>
      <c r="CE48" s="50">
        <f t="shared" si="66"/>
        <v>1.5</v>
      </c>
      <c r="CX48" s="50">
        <f t="shared" si="21"/>
        <v>0.35724400000000001</v>
      </c>
      <c r="CY48">
        <v>47</v>
      </c>
      <c r="CZ48">
        <v>178622</v>
      </c>
      <c r="DA48" s="58">
        <f t="shared" si="22"/>
        <v>3800</v>
      </c>
      <c r="DB48" s="50">
        <f t="shared" si="23"/>
        <v>0.92610719951885689</v>
      </c>
    </row>
    <row r="49" spans="1:106">
      <c r="A49" s="46">
        <v>1910</v>
      </c>
      <c r="B49" s="50">
        <f t="shared" ref="B49:AG49" si="67">SUM(B2:B22)</f>
        <v>0.59000000000000008</v>
      </c>
      <c r="C49" s="50">
        <f t="shared" si="67"/>
        <v>0.10000000000000003</v>
      </c>
      <c r="D49" s="50">
        <f t="shared" si="67"/>
        <v>0.6</v>
      </c>
      <c r="E49" s="50">
        <f t="shared" si="67"/>
        <v>1.1499999999999999</v>
      </c>
      <c r="F49" s="50">
        <f t="shared" si="67"/>
        <v>1.25</v>
      </c>
      <c r="G49" s="50">
        <f t="shared" si="67"/>
        <v>3.4499999999999997</v>
      </c>
      <c r="H49" s="50">
        <f t="shared" si="67"/>
        <v>3.3700000000000006</v>
      </c>
      <c r="I49" s="52">
        <f t="shared" si="67"/>
        <v>1</v>
      </c>
      <c r="J49" s="52">
        <f t="shared" si="67"/>
        <v>1</v>
      </c>
      <c r="K49" s="50">
        <f t="shared" si="67"/>
        <v>0.90999999999999992</v>
      </c>
      <c r="L49" s="50">
        <f t="shared" si="67"/>
        <v>1.2000000000000002</v>
      </c>
      <c r="M49" s="50">
        <f t="shared" si="67"/>
        <v>2.04</v>
      </c>
      <c r="N49" s="50">
        <f t="shared" si="67"/>
        <v>0.79999999999999993</v>
      </c>
      <c r="O49" s="52">
        <f t="shared" si="67"/>
        <v>9.0000000000000019E-4</v>
      </c>
      <c r="P49" s="50">
        <f t="shared" si="67"/>
        <v>0.7</v>
      </c>
      <c r="Q49" s="50">
        <f t="shared" si="67"/>
        <v>4.1499999999999995</v>
      </c>
      <c r="R49" s="56">
        <f t="shared" si="67"/>
        <v>5</v>
      </c>
      <c r="S49" s="56">
        <f t="shared" si="67"/>
        <v>147</v>
      </c>
      <c r="T49" s="50">
        <f t="shared" si="67"/>
        <v>1</v>
      </c>
      <c r="U49" s="54">
        <f t="shared" si="67"/>
        <v>0.98099999999999998</v>
      </c>
      <c r="V49" s="50">
        <f t="shared" si="67"/>
        <v>1.7</v>
      </c>
      <c r="W49" s="50">
        <f t="shared" si="67"/>
        <v>1.7</v>
      </c>
      <c r="X49" s="50">
        <f t="shared" si="67"/>
        <v>1.5999999999999999</v>
      </c>
      <c r="Y49" s="50">
        <f t="shared" si="67"/>
        <v>6.1499999999999995</v>
      </c>
      <c r="Z49" s="50">
        <f t="shared" si="67"/>
        <v>2.5</v>
      </c>
      <c r="AA49" s="50">
        <f t="shared" si="67"/>
        <v>2.6000000000000005</v>
      </c>
      <c r="AB49" s="50">
        <f t="shared" si="67"/>
        <v>2.5</v>
      </c>
      <c r="AC49" s="50">
        <f t="shared" si="67"/>
        <v>1.05</v>
      </c>
      <c r="AD49" s="50">
        <f t="shared" si="67"/>
        <v>4.6500000000000004</v>
      </c>
      <c r="AE49" s="50">
        <f t="shared" si="67"/>
        <v>2.5</v>
      </c>
      <c r="AF49" s="50">
        <f t="shared" si="67"/>
        <v>2.0499999999999998</v>
      </c>
      <c r="AG49" s="50">
        <f t="shared" si="67"/>
        <v>1.1000000000000001</v>
      </c>
      <c r="AH49" s="50">
        <f t="shared" ref="AH49:BM49" si="68">SUM(AH2:AH22)</f>
        <v>3.75</v>
      </c>
      <c r="AI49" s="50">
        <f t="shared" si="68"/>
        <v>2</v>
      </c>
      <c r="AJ49" s="50">
        <f t="shared" si="68"/>
        <v>1.1000000000000001</v>
      </c>
      <c r="AK49" s="50">
        <f t="shared" si="68"/>
        <v>1.49</v>
      </c>
      <c r="AL49" s="50">
        <f t="shared" si="68"/>
        <v>1.4</v>
      </c>
      <c r="AM49" s="50">
        <f t="shared" si="68"/>
        <v>1.05</v>
      </c>
      <c r="AN49" s="50">
        <f t="shared" si="68"/>
        <v>1.1500000000000001</v>
      </c>
      <c r="AO49" s="50">
        <f t="shared" si="68"/>
        <v>1.1000000000000001</v>
      </c>
      <c r="AP49" s="50">
        <f t="shared" si="68"/>
        <v>1.3</v>
      </c>
      <c r="AQ49" s="50">
        <f t="shared" si="68"/>
        <v>1.2000000000000002</v>
      </c>
      <c r="AR49" s="50">
        <f t="shared" si="68"/>
        <v>1.1500000000000001</v>
      </c>
      <c r="AS49" s="50">
        <f t="shared" si="68"/>
        <v>1.4000000000000001</v>
      </c>
      <c r="AT49" s="50">
        <f t="shared" si="68"/>
        <v>1.05</v>
      </c>
      <c r="AU49" s="50">
        <f t="shared" si="68"/>
        <v>1</v>
      </c>
      <c r="AV49" s="50">
        <f t="shared" si="68"/>
        <v>1.05</v>
      </c>
      <c r="AW49" s="50">
        <f t="shared" si="68"/>
        <v>1.03</v>
      </c>
      <c r="AX49" s="50">
        <f t="shared" si="68"/>
        <v>1.01</v>
      </c>
      <c r="AY49" s="50">
        <f t="shared" si="68"/>
        <v>2.1</v>
      </c>
      <c r="AZ49" s="50">
        <f t="shared" si="68"/>
        <v>2.0499999999999998</v>
      </c>
      <c r="BA49" s="50">
        <f t="shared" si="68"/>
        <v>1.45</v>
      </c>
      <c r="BB49" s="50">
        <f t="shared" si="68"/>
        <v>1.35</v>
      </c>
      <c r="BC49" s="50">
        <f t="shared" si="68"/>
        <v>1.1000000000000001</v>
      </c>
      <c r="BD49" s="50">
        <f t="shared" si="68"/>
        <v>3.1000000000000005</v>
      </c>
      <c r="BE49" s="50">
        <f t="shared" si="68"/>
        <v>2.85</v>
      </c>
      <c r="BF49" s="50">
        <f t="shared" si="68"/>
        <v>3.45</v>
      </c>
      <c r="BG49" s="50">
        <f t="shared" si="68"/>
        <v>1.2</v>
      </c>
      <c r="BH49" s="50">
        <f t="shared" si="68"/>
        <v>1.0900000000000001</v>
      </c>
      <c r="BI49" s="50">
        <f t="shared" si="68"/>
        <v>1.5500000000000003</v>
      </c>
      <c r="BJ49" s="50">
        <f t="shared" si="68"/>
        <v>1.05</v>
      </c>
      <c r="BK49" s="50">
        <f t="shared" si="68"/>
        <v>1.1000000000000001</v>
      </c>
      <c r="BL49" s="50">
        <f t="shared" si="68"/>
        <v>2</v>
      </c>
      <c r="BM49" s="50">
        <f t="shared" si="68"/>
        <v>1.02</v>
      </c>
      <c r="BN49" s="50">
        <f t="shared" ref="BN49:CE49" si="69">SUM(BN2:BN22)</f>
        <v>1.02</v>
      </c>
      <c r="BO49" s="50">
        <f t="shared" si="69"/>
        <v>1.06</v>
      </c>
      <c r="BP49" s="50">
        <f t="shared" si="69"/>
        <v>1.03</v>
      </c>
      <c r="BQ49" s="50">
        <f t="shared" si="69"/>
        <v>1.03</v>
      </c>
      <c r="BR49" s="50">
        <f t="shared" si="69"/>
        <v>1.2300000000000002</v>
      </c>
      <c r="BS49" s="50">
        <f t="shared" si="69"/>
        <v>1.05</v>
      </c>
      <c r="BT49" s="50">
        <f t="shared" si="69"/>
        <v>1.2200000000000002</v>
      </c>
      <c r="BU49" s="50">
        <f t="shared" si="69"/>
        <v>1.07</v>
      </c>
      <c r="BV49" s="50">
        <f t="shared" si="69"/>
        <v>1.03</v>
      </c>
      <c r="BW49" s="50">
        <f t="shared" si="69"/>
        <v>1</v>
      </c>
      <c r="BX49" s="50">
        <f t="shared" si="69"/>
        <v>2.6</v>
      </c>
      <c r="BY49" s="50">
        <f t="shared" si="69"/>
        <v>1.5500000000000005</v>
      </c>
      <c r="BZ49" s="50">
        <f t="shared" si="69"/>
        <v>1.4500000000000002</v>
      </c>
      <c r="CA49" s="50">
        <f t="shared" si="69"/>
        <v>1.4500000000000002</v>
      </c>
      <c r="CB49" s="50">
        <f t="shared" si="69"/>
        <v>1.8</v>
      </c>
      <c r="CC49" s="50">
        <f t="shared" si="69"/>
        <v>1.2</v>
      </c>
      <c r="CD49" s="50">
        <f t="shared" si="69"/>
        <v>1.1000000000000001</v>
      </c>
      <c r="CE49" s="50">
        <f t="shared" si="69"/>
        <v>1.5</v>
      </c>
      <c r="CO49">
        <f>CU40*CV41</f>
        <v>2.0364</v>
      </c>
      <c r="CX49" s="50">
        <f t="shared" si="21"/>
        <v>0.364846</v>
      </c>
      <c r="CY49">
        <v>48</v>
      </c>
      <c r="CZ49">
        <v>182423</v>
      </c>
      <c r="DA49" s="58">
        <f t="shared" si="22"/>
        <v>3801</v>
      </c>
      <c r="DB49" s="50">
        <f t="shared" si="23"/>
        <v>0.94581436585542888</v>
      </c>
    </row>
    <row r="50" spans="1:106">
      <c r="A50" s="46">
        <v>1914</v>
      </c>
      <c r="B50" s="50">
        <f t="shared" ref="B50:AG50" si="70">SUM(B2:B23)</f>
        <v>0.59000000000000008</v>
      </c>
      <c r="C50" s="50">
        <f t="shared" si="70"/>
        <v>0.10000000000000003</v>
      </c>
      <c r="D50" s="50">
        <f t="shared" si="70"/>
        <v>0.6</v>
      </c>
      <c r="E50" s="50">
        <f t="shared" si="70"/>
        <v>1.1499999999999999</v>
      </c>
      <c r="F50" s="50">
        <f t="shared" si="70"/>
        <v>1.25</v>
      </c>
      <c r="G50" s="50">
        <f t="shared" si="70"/>
        <v>3.4499999999999997</v>
      </c>
      <c r="H50" s="50">
        <f t="shared" si="70"/>
        <v>3.3700000000000006</v>
      </c>
      <c r="I50" s="52">
        <f t="shared" si="70"/>
        <v>1</v>
      </c>
      <c r="J50" s="52">
        <f t="shared" si="70"/>
        <v>1</v>
      </c>
      <c r="K50" s="50">
        <f t="shared" si="70"/>
        <v>0.90999999999999992</v>
      </c>
      <c r="L50" s="50">
        <f t="shared" si="70"/>
        <v>1.2000000000000002</v>
      </c>
      <c r="M50" s="50">
        <f t="shared" si="70"/>
        <v>2.04</v>
      </c>
      <c r="N50" s="50">
        <f t="shared" si="70"/>
        <v>0.79999999999999993</v>
      </c>
      <c r="O50" s="52">
        <f t="shared" si="70"/>
        <v>9.0000000000000019E-4</v>
      </c>
      <c r="P50" s="50">
        <f t="shared" si="70"/>
        <v>0.7</v>
      </c>
      <c r="Q50" s="50">
        <f t="shared" si="70"/>
        <v>4.3499999999999996</v>
      </c>
      <c r="R50" s="56">
        <f t="shared" si="70"/>
        <v>5</v>
      </c>
      <c r="S50" s="56">
        <f t="shared" si="70"/>
        <v>147</v>
      </c>
      <c r="T50" s="50">
        <f t="shared" si="70"/>
        <v>1</v>
      </c>
      <c r="U50" s="54">
        <f t="shared" si="70"/>
        <v>0.98099999999999998</v>
      </c>
      <c r="V50" s="50">
        <f t="shared" si="70"/>
        <v>1.7</v>
      </c>
      <c r="W50" s="50">
        <f t="shared" si="70"/>
        <v>1.7</v>
      </c>
      <c r="X50" s="50">
        <f t="shared" si="70"/>
        <v>1.5999999999999999</v>
      </c>
      <c r="Y50" s="50">
        <f t="shared" si="70"/>
        <v>6.1499999999999995</v>
      </c>
      <c r="Z50" s="50">
        <f t="shared" si="70"/>
        <v>2.5</v>
      </c>
      <c r="AA50" s="50">
        <f t="shared" si="70"/>
        <v>2.6000000000000005</v>
      </c>
      <c r="AB50" s="50">
        <f t="shared" si="70"/>
        <v>2.5</v>
      </c>
      <c r="AC50" s="50">
        <f t="shared" si="70"/>
        <v>1.05</v>
      </c>
      <c r="AD50" s="50">
        <f t="shared" si="70"/>
        <v>4.6500000000000004</v>
      </c>
      <c r="AE50" s="50">
        <f t="shared" si="70"/>
        <v>2.5</v>
      </c>
      <c r="AF50" s="50">
        <f t="shared" si="70"/>
        <v>2.0499999999999998</v>
      </c>
      <c r="AG50" s="50">
        <f t="shared" si="70"/>
        <v>1.1000000000000001</v>
      </c>
      <c r="AH50" s="50">
        <f t="shared" ref="AH50:BM50" si="71">SUM(AH2:AH23)</f>
        <v>3.75</v>
      </c>
      <c r="AI50" s="50">
        <f t="shared" si="71"/>
        <v>2</v>
      </c>
      <c r="AJ50" s="50">
        <f t="shared" si="71"/>
        <v>1.1000000000000001</v>
      </c>
      <c r="AK50" s="50">
        <f t="shared" si="71"/>
        <v>1.49</v>
      </c>
      <c r="AL50" s="50">
        <f t="shared" si="71"/>
        <v>1.4</v>
      </c>
      <c r="AM50" s="50">
        <f t="shared" si="71"/>
        <v>1.05</v>
      </c>
      <c r="AN50" s="50">
        <f t="shared" si="71"/>
        <v>1.1500000000000001</v>
      </c>
      <c r="AO50" s="50">
        <f t="shared" si="71"/>
        <v>1.1000000000000001</v>
      </c>
      <c r="AP50" s="50">
        <f t="shared" si="71"/>
        <v>1.3</v>
      </c>
      <c r="AQ50" s="50">
        <f t="shared" si="71"/>
        <v>1.2000000000000002</v>
      </c>
      <c r="AR50" s="50">
        <f t="shared" si="71"/>
        <v>1.1500000000000001</v>
      </c>
      <c r="AS50" s="50">
        <f t="shared" si="71"/>
        <v>1.4000000000000001</v>
      </c>
      <c r="AT50" s="50">
        <f t="shared" si="71"/>
        <v>1.05</v>
      </c>
      <c r="AU50" s="50">
        <f t="shared" si="71"/>
        <v>1</v>
      </c>
      <c r="AV50" s="50">
        <f t="shared" si="71"/>
        <v>1.05</v>
      </c>
      <c r="AW50" s="50">
        <f t="shared" si="71"/>
        <v>1.03</v>
      </c>
      <c r="AX50" s="50">
        <f t="shared" si="71"/>
        <v>1.01</v>
      </c>
      <c r="AY50" s="50">
        <f t="shared" si="71"/>
        <v>2.1</v>
      </c>
      <c r="AZ50" s="50">
        <f t="shared" si="71"/>
        <v>2.0499999999999998</v>
      </c>
      <c r="BA50" s="50">
        <f t="shared" si="71"/>
        <v>1.45</v>
      </c>
      <c r="BB50" s="50">
        <f t="shared" si="71"/>
        <v>1.35</v>
      </c>
      <c r="BC50" s="50">
        <f t="shared" si="71"/>
        <v>1.1000000000000001</v>
      </c>
      <c r="BD50" s="50">
        <f t="shared" si="71"/>
        <v>3.1000000000000005</v>
      </c>
      <c r="BE50" s="50">
        <f t="shared" si="71"/>
        <v>2.85</v>
      </c>
      <c r="BF50" s="50">
        <f t="shared" si="71"/>
        <v>3.45</v>
      </c>
      <c r="BG50" s="50">
        <f t="shared" si="71"/>
        <v>1.2</v>
      </c>
      <c r="BH50" s="50">
        <f t="shared" si="71"/>
        <v>1.0900000000000001</v>
      </c>
      <c r="BI50" s="50">
        <f t="shared" si="71"/>
        <v>1.5500000000000003</v>
      </c>
      <c r="BJ50" s="50">
        <f t="shared" si="71"/>
        <v>1.05</v>
      </c>
      <c r="BK50" s="50">
        <f t="shared" si="71"/>
        <v>1.1000000000000001</v>
      </c>
      <c r="BL50" s="50">
        <f t="shared" si="71"/>
        <v>2</v>
      </c>
      <c r="BM50" s="50">
        <f t="shared" si="71"/>
        <v>1.02</v>
      </c>
      <c r="BN50" s="50">
        <f t="shared" ref="BN50:CE50" si="72">SUM(BN2:BN23)</f>
        <v>1.02</v>
      </c>
      <c r="BO50" s="50">
        <f t="shared" si="72"/>
        <v>1.06</v>
      </c>
      <c r="BP50" s="50">
        <f t="shared" si="72"/>
        <v>1.03</v>
      </c>
      <c r="BQ50" s="50">
        <f t="shared" si="72"/>
        <v>1.03</v>
      </c>
      <c r="BR50" s="50">
        <f t="shared" si="72"/>
        <v>1.2300000000000002</v>
      </c>
      <c r="BS50" s="50">
        <f t="shared" si="72"/>
        <v>1.05</v>
      </c>
      <c r="BT50" s="50">
        <f t="shared" si="72"/>
        <v>1.2200000000000002</v>
      </c>
      <c r="BU50" s="50">
        <f t="shared" si="72"/>
        <v>1.07</v>
      </c>
      <c r="BV50" s="50">
        <f t="shared" si="72"/>
        <v>1.03</v>
      </c>
      <c r="BW50" s="50">
        <f t="shared" si="72"/>
        <v>1</v>
      </c>
      <c r="BX50" s="50">
        <f t="shared" si="72"/>
        <v>2.6</v>
      </c>
      <c r="BY50" s="50">
        <f t="shared" si="72"/>
        <v>1.5500000000000005</v>
      </c>
      <c r="BZ50" s="50">
        <f t="shared" si="72"/>
        <v>1.4500000000000002</v>
      </c>
      <c r="CA50" s="50">
        <f t="shared" si="72"/>
        <v>1.4500000000000002</v>
      </c>
      <c r="CB50" s="50">
        <f t="shared" si="72"/>
        <v>1.8</v>
      </c>
      <c r="CC50" s="50">
        <f t="shared" si="72"/>
        <v>1.2</v>
      </c>
      <c r="CD50" s="50">
        <f t="shared" si="72"/>
        <v>1.1000000000000001</v>
      </c>
      <c r="CE50" s="50">
        <f t="shared" si="72"/>
        <v>1.5</v>
      </c>
      <c r="CO50">
        <f>CV40*CU41</f>
        <v>3.3939499999999994</v>
      </c>
      <c r="CT50">
        <v>13.576000000000001</v>
      </c>
      <c r="CX50" s="50">
        <f t="shared" si="21"/>
        <v>0.372446</v>
      </c>
      <c r="CY50">
        <v>49</v>
      </c>
      <c r="CZ50">
        <v>186223</v>
      </c>
      <c r="DA50" s="58">
        <f t="shared" si="22"/>
        <v>3800</v>
      </c>
      <c r="DB50" s="50">
        <f t="shared" si="23"/>
        <v>0.96551634745999981</v>
      </c>
    </row>
    <row r="51" spans="1:106">
      <c r="A51" s="46">
        <v>1915</v>
      </c>
      <c r="B51" s="50">
        <f t="shared" ref="B51:AG51" si="73">SUM(B2:B24)</f>
        <v>0.59000000000000008</v>
      </c>
      <c r="C51" s="50">
        <f t="shared" si="73"/>
        <v>0.10000000000000003</v>
      </c>
      <c r="D51" s="50">
        <f t="shared" si="73"/>
        <v>0.6</v>
      </c>
      <c r="E51" s="50">
        <f t="shared" si="73"/>
        <v>1.1499999999999999</v>
      </c>
      <c r="F51" s="50">
        <f t="shared" si="73"/>
        <v>1.25</v>
      </c>
      <c r="G51" s="50">
        <f t="shared" si="73"/>
        <v>3.4499999999999997</v>
      </c>
      <c r="H51" s="50">
        <f t="shared" si="73"/>
        <v>3.3700000000000006</v>
      </c>
      <c r="I51" s="52">
        <f t="shared" si="73"/>
        <v>1</v>
      </c>
      <c r="J51" s="52">
        <f t="shared" si="73"/>
        <v>1</v>
      </c>
      <c r="K51" s="50">
        <f t="shared" si="73"/>
        <v>0.90999999999999992</v>
      </c>
      <c r="L51" s="50">
        <f t="shared" si="73"/>
        <v>1.2000000000000002</v>
      </c>
      <c r="M51" s="50">
        <f t="shared" si="73"/>
        <v>2.04</v>
      </c>
      <c r="N51" s="50">
        <f t="shared" si="73"/>
        <v>0.79999999999999993</v>
      </c>
      <c r="O51" s="52">
        <f t="shared" si="73"/>
        <v>9.0000000000000019E-4</v>
      </c>
      <c r="P51" s="50">
        <f t="shared" si="73"/>
        <v>0.7</v>
      </c>
      <c r="Q51" s="50">
        <f t="shared" si="73"/>
        <v>4.3499999999999996</v>
      </c>
      <c r="R51" s="56">
        <f t="shared" si="73"/>
        <v>6</v>
      </c>
      <c r="S51" s="56">
        <f t="shared" si="73"/>
        <v>147</v>
      </c>
      <c r="T51" s="50">
        <f t="shared" si="73"/>
        <v>1</v>
      </c>
      <c r="U51" s="54">
        <f t="shared" si="73"/>
        <v>0.98099999999999998</v>
      </c>
      <c r="V51" s="50">
        <f t="shared" si="73"/>
        <v>1.7</v>
      </c>
      <c r="W51" s="50">
        <f t="shared" si="73"/>
        <v>1.7</v>
      </c>
      <c r="X51" s="50">
        <f t="shared" si="73"/>
        <v>1.5999999999999999</v>
      </c>
      <c r="Y51" s="50">
        <f t="shared" si="73"/>
        <v>6.1499999999999995</v>
      </c>
      <c r="Z51" s="50">
        <f t="shared" si="73"/>
        <v>2.5</v>
      </c>
      <c r="AA51" s="50">
        <f t="shared" si="73"/>
        <v>2.6000000000000005</v>
      </c>
      <c r="AB51" s="50">
        <f t="shared" si="73"/>
        <v>2.5</v>
      </c>
      <c r="AC51" s="50">
        <f t="shared" si="73"/>
        <v>1.05</v>
      </c>
      <c r="AD51" s="50">
        <f t="shared" si="73"/>
        <v>4.6500000000000004</v>
      </c>
      <c r="AE51" s="50">
        <f t="shared" si="73"/>
        <v>2.5</v>
      </c>
      <c r="AF51" s="50">
        <f t="shared" si="73"/>
        <v>2.0499999999999998</v>
      </c>
      <c r="AG51" s="50">
        <f t="shared" si="73"/>
        <v>1.1000000000000001</v>
      </c>
      <c r="AH51" s="50">
        <f t="shared" ref="AH51:BM51" si="74">SUM(AH2:AH24)</f>
        <v>3.75</v>
      </c>
      <c r="AI51" s="50">
        <f t="shared" si="74"/>
        <v>2</v>
      </c>
      <c r="AJ51" s="50">
        <f t="shared" si="74"/>
        <v>1.1000000000000001</v>
      </c>
      <c r="AK51" s="50">
        <f t="shared" si="74"/>
        <v>1.49</v>
      </c>
      <c r="AL51" s="50">
        <f t="shared" si="74"/>
        <v>1.4</v>
      </c>
      <c r="AM51" s="50">
        <f t="shared" si="74"/>
        <v>1.05</v>
      </c>
      <c r="AN51" s="50">
        <f t="shared" si="74"/>
        <v>1.1500000000000001</v>
      </c>
      <c r="AO51" s="50">
        <f t="shared" si="74"/>
        <v>1.1000000000000001</v>
      </c>
      <c r="AP51" s="50">
        <f t="shared" si="74"/>
        <v>1.3</v>
      </c>
      <c r="AQ51" s="50">
        <f t="shared" si="74"/>
        <v>1.2000000000000002</v>
      </c>
      <c r="AR51" s="50">
        <f t="shared" si="74"/>
        <v>1.1500000000000001</v>
      </c>
      <c r="AS51" s="50">
        <f t="shared" si="74"/>
        <v>1.4000000000000001</v>
      </c>
      <c r="AT51" s="50">
        <f t="shared" si="74"/>
        <v>1.05</v>
      </c>
      <c r="AU51" s="50">
        <f t="shared" si="74"/>
        <v>1</v>
      </c>
      <c r="AV51" s="50">
        <f t="shared" si="74"/>
        <v>1.05</v>
      </c>
      <c r="AW51" s="50">
        <f t="shared" si="74"/>
        <v>1.03</v>
      </c>
      <c r="AX51" s="50">
        <f t="shared" si="74"/>
        <v>1.01</v>
      </c>
      <c r="AY51" s="50">
        <f t="shared" si="74"/>
        <v>2.1</v>
      </c>
      <c r="AZ51" s="50">
        <f t="shared" si="74"/>
        <v>2.0499999999999998</v>
      </c>
      <c r="BA51" s="50">
        <f t="shared" si="74"/>
        <v>1.45</v>
      </c>
      <c r="BB51" s="50">
        <f t="shared" si="74"/>
        <v>1.35</v>
      </c>
      <c r="BC51" s="50">
        <f t="shared" si="74"/>
        <v>1.1000000000000001</v>
      </c>
      <c r="BD51" s="50">
        <f t="shared" si="74"/>
        <v>3.1000000000000005</v>
      </c>
      <c r="BE51" s="50">
        <f t="shared" si="74"/>
        <v>2.85</v>
      </c>
      <c r="BF51" s="50">
        <f t="shared" si="74"/>
        <v>3.45</v>
      </c>
      <c r="BG51" s="50">
        <f t="shared" si="74"/>
        <v>1.2</v>
      </c>
      <c r="BH51" s="50">
        <f t="shared" si="74"/>
        <v>1.0900000000000001</v>
      </c>
      <c r="BI51" s="50">
        <f t="shared" si="74"/>
        <v>1.5500000000000003</v>
      </c>
      <c r="BJ51" s="50">
        <f t="shared" si="74"/>
        <v>1.05</v>
      </c>
      <c r="BK51" s="50">
        <f t="shared" si="74"/>
        <v>1.1000000000000001</v>
      </c>
      <c r="BL51" s="50">
        <f t="shared" si="74"/>
        <v>2</v>
      </c>
      <c r="BM51" s="50">
        <f t="shared" si="74"/>
        <v>1.02</v>
      </c>
      <c r="BN51" s="50">
        <f t="shared" ref="BN51:CE51" si="75">SUM(BN2:BN24)</f>
        <v>1.02</v>
      </c>
      <c r="BO51" s="50">
        <f t="shared" si="75"/>
        <v>1.06</v>
      </c>
      <c r="BP51" s="50">
        <f t="shared" si="75"/>
        <v>1.03</v>
      </c>
      <c r="BQ51" s="50">
        <f t="shared" si="75"/>
        <v>1.03</v>
      </c>
      <c r="BR51" s="50">
        <f t="shared" si="75"/>
        <v>1.2300000000000002</v>
      </c>
      <c r="BS51" s="50">
        <f t="shared" si="75"/>
        <v>1.05</v>
      </c>
      <c r="BT51" s="50">
        <f t="shared" si="75"/>
        <v>1.2200000000000002</v>
      </c>
      <c r="BU51" s="50">
        <f t="shared" si="75"/>
        <v>1.07</v>
      </c>
      <c r="BV51" s="50">
        <f t="shared" si="75"/>
        <v>1.03</v>
      </c>
      <c r="BW51" s="50">
        <f t="shared" si="75"/>
        <v>1</v>
      </c>
      <c r="BX51" s="50">
        <f t="shared" si="75"/>
        <v>2.6</v>
      </c>
      <c r="BY51" s="50">
        <f t="shared" si="75"/>
        <v>1.5500000000000005</v>
      </c>
      <c r="BZ51" s="50">
        <f t="shared" si="75"/>
        <v>1.4500000000000002</v>
      </c>
      <c r="CA51" s="50">
        <f t="shared" si="75"/>
        <v>1.4500000000000002</v>
      </c>
      <c r="CB51" s="50">
        <f t="shared" si="75"/>
        <v>1.8</v>
      </c>
      <c r="CC51" s="50">
        <f t="shared" si="75"/>
        <v>1.2</v>
      </c>
      <c r="CD51" s="50">
        <f t="shared" si="75"/>
        <v>1.1000000000000001</v>
      </c>
      <c r="CE51" s="50">
        <f t="shared" si="75"/>
        <v>1.5</v>
      </c>
      <c r="CT51">
        <v>9.6969999999999992</v>
      </c>
      <c r="CU51">
        <f>CT51*CT52</f>
        <v>1.4545499999999998</v>
      </c>
      <c r="CX51" s="50">
        <f t="shared" si="21"/>
        <v>0.380048</v>
      </c>
      <c r="CY51">
        <v>50</v>
      </c>
      <c r="CZ51">
        <v>190024</v>
      </c>
      <c r="DA51" s="58">
        <f t="shared" si="22"/>
        <v>3801</v>
      </c>
      <c r="DB51" s="50">
        <f t="shared" si="23"/>
        <v>0.9852235137965718</v>
      </c>
    </row>
    <row r="52" spans="1:106">
      <c r="A52" s="46">
        <v>1919</v>
      </c>
      <c r="B52" s="50">
        <f t="shared" ref="B52:AG52" si="76">SUM(B2:B25)</f>
        <v>0.64000000000000012</v>
      </c>
      <c r="C52" s="50">
        <f t="shared" si="76"/>
        <v>0.10000000000000003</v>
      </c>
      <c r="D52" s="50">
        <f t="shared" si="76"/>
        <v>0.6</v>
      </c>
      <c r="E52" s="50">
        <f t="shared" si="76"/>
        <v>1.1499999999999999</v>
      </c>
      <c r="F52" s="50">
        <f t="shared" si="76"/>
        <v>1.25</v>
      </c>
      <c r="G52" s="50">
        <f t="shared" si="76"/>
        <v>3.4499999999999997</v>
      </c>
      <c r="H52" s="50">
        <f t="shared" si="76"/>
        <v>3.3700000000000006</v>
      </c>
      <c r="I52" s="52">
        <f t="shared" si="76"/>
        <v>1</v>
      </c>
      <c r="J52" s="52">
        <f t="shared" si="76"/>
        <v>1</v>
      </c>
      <c r="K52" s="50">
        <f t="shared" si="76"/>
        <v>0.90999999999999992</v>
      </c>
      <c r="L52" s="50">
        <f t="shared" si="76"/>
        <v>1.2000000000000002</v>
      </c>
      <c r="M52" s="50">
        <f t="shared" si="76"/>
        <v>2.04</v>
      </c>
      <c r="N52" s="50">
        <f t="shared" si="76"/>
        <v>0.78999999999999992</v>
      </c>
      <c r="O52" s="52">
        <f t="shared" si="76"/>
        <v>9.0000000000000019E-4</v>
      </c>
      <c r="P52" s="50">
        <f t="shared" si="76"/>
        <v>0.7</v>
      </c>
      <c r="Q52" s="50">
        <f t="shared" si="76"/>
        <v>4.1499999999999995</v>
      </c>
      <c r="R52" s="56">
        <f t="shared" si="76"/>
        <v>6</v>
      </c>
      <c r="S52" s="56">
        <f t="shared" si="76"/>
        <v>147</v>
      </c>
      <c r="T52" s="50">
        <f t="shared" si="76"/>
        <v>1</v>
      </c>
      <c r="U52" s="54">
        <f t="shared" si="76"/>
        <v>0.98099999999999998</v>
      </c>
      <c r="V52" s="50">
        <f t="shared" si="76"/>
        <v>1.7</v>
      </c>
      <c r="W52" s="50">
        <f t="shared" si="76"/>
        <v>1.7</v>
      </c>
      <c r="X52" s="50">
        <f t="shared" si="76"/>
        <v>1.5999999999999999</v>
      </c>
      <c r="Y52" s="50">
        <f t="shared" si="76"/>
        <v>6.1499999999999995</v>
      </c>
      <c r="Z52" s="50">
        <f t="shared" si="76"/>
        <v>2.5</v>
      </c>
      <c r="AA52" s="50">
        <f t="shared" si="76"/>
        <v>2.6000000000000005</v>
      </c>
      <c r="AB52" s="50">
        <f t="shared" si="76"/>
        <v>2.5</v>
      </c>
      <c r="AC52" s="50">
        <f t="shared" si="76"/>
        <v>1.05</v>
      </c>
      <c r="AD52" s="50">
        <f t="shared" si="76"/>
        <v>4.6500000000000004</v>
      </c>
      <c r="AE52" s="50">
        <f t="shared" si="76"/>
        <v>2.5</v>
      </c>
      <c r="AF52" s="50">
        <f t="shared" si="76"/>
        <v>2.0499999999999998</v>
      </c>
      <c r="AG52" s="50">
        <f t="shared" si="76"/>
        <v>1.1000000000000001</v>
      </c>
      <c r="AH52" s="50">
        <f t="shared" ref="AH52:BM52" si="77">SUM(AH2:AH25)</f>
        <v>3.75</v>
      </c>
      <c r="AI52" s="50">
        <f t="shared" si="77"/>
        <v>2</v>
      </c>
      <c r="AJ52" s="50">
        <f t="shared" si="77"/>
        <v>1.1000000000000001</v>
      </c>
      <c r="AK52" s="50">
        <f t="shared" si="77"/>
        <v>1.49</v>
      </c>
      <c r="AL52" s="50">
        <f t="shared" si="77"/>
        <v>1.4</v>
      </c>
      <c r="AM52" s="50">
        <f t="shared" si="77"/>
        <v>1.05</v>
      </c>
      <c r="AN52" s="50">
        <f t="shared" si="77"/>
        <v>1.1500000000000001</v>
      </c>
      <c r="AO52" s="50">
        <f t="shared" si="77"/>
        <v>1.1000000000000001</v>
      </c>
      <c r="AP52" s="50">
        <f t="shared" si="77"/>
        <v>1.3</v>
      </c>
      <c r="AQ52" s="50">
        <f t="shared" si="77"/>
        <v>1.2000000000000002</v>
      </c>
      <c r="AR52" s="50">
        <f t="shared" si="77"/>
        <v>1.1500000000000001</v>
      </c>
      <c r="AS52" s="50">
        <f t="shared" si="77"/>
        <v>1.4000000000000001</v>
      </c>
      <c r="AT52" s="50">
        <f t="shared" si="77"/>
        <v>1.05</v>
      </c>
      <c r="AU52" s="50">
        <f t="shared" si="77"/>
        <v>1</v>
      </c>
      <c r="AV52" s="50">
        <f t="shared" si="77"/>
        <v>1.05</v>
      </c>
      <c r="AW52" s="50">
        <f t="shared" si="77"/>
        <v>1.03</v>
      </c>
      <c r="AX52" s="50">
        <f t="shared" si="77"/>
        <v>1.01</v>
      </c>
      <c r="AY52" s="50">
        <f t="shared" si="77"/>
        <v>2.1</v>
      </c>
      <c r="AZ52" s="50">
        <f t="shared" si="77"/>
        <v>2.0499999999999998</v>
      </c>
      <c r="BA52" s="50">
        <f t="shared" si="77"/>
        <v>1.45</v>
      </c>
      <c r="BB52" s="50">
        <f t="shared" si="77"/>
        <v>1.35</v>
      </c>
      <c r="BC52" s="50">
        <f t="shared" si="77"/>
        <v>1.1000000000000001</v>
      </c>
      <c r="BD52" s="50">
        <f t="shared" si="77"/>
        <v>3.1000000000000005</v>
      </c>
      <c r="BE52" s="50">
        <f t="shared" si="77"/>
        <v>2.85</v>
      </c>
      <c r="BF52" s="50">
        <f t="shared" si="77"/>
        <v>3.45</v>
      </c>
      <c r="BG52" s="50">
        <f t="shared" si="77"/>
        <v>1.2</v>
      </c>
      <c r="BH52" s="50">
        <f t="shared" si="77"/>
        <v>1.0900000000000001</v>
      </c>
      <c r="BI52" s="50">
        <f t="shared" si="77"/>
        <v>1.5500000000000003</v>
      </c>
      <c r="BJ52" s="50">
        <f t="shared" si="77"/>
        <v>1.05</v>
      </c>
      <c r="BK52" s="50">
        <f t="shared" si="77"/>
        <v>1.1000000000000001</v>
      </c>
      <c r="BL52" s="50">
        <f t="shared" si="77"/>
        <v>2</v>
      </c>
      <c r="BM52" s="50">
        <f t="shared" si="77"/>
        <v>1.02</v>
      </c>
      <c r="BN52" s="50">
        <f t="shared" ref="BN52:CE52" si="78">SUM(BN2:BN25)</f>
        <v>1.02</v>
      </c>
      <c r="BO52" s="50">
        <f t="shared" si="78"/>
        <v>1.06</v>
      </c>
      <c r="BP52" s="50">
        <f t="shared" si="78"/>
        <v>1.03</v>
      </c>
      <c r="BQ52" s="50">
        <f t="shared" si="78"/>
        <v>1.03</v>
      </c>
      <c r="BR52" s="50">
        <f t="shared" si="78"/>
        <v>1.2300000000000002</v>
      </c>
      <c r="BS52" s="50">
        <f t="shared" si="78"/>
        <v>1.05</v>
      </c>
      <c r="BT52" s="50">
        <f t="shared" si="78"/>
        <v>1.2200000000000002</v>
      </c>
      <c r="BU52" s="50">
        <f t="shared" si="78"/>
        <v>1.07</v>
      </c>
      <c r="BV52" s="50">
        <f t="shared" si="78"/>
        <v>1.03</v>
      </c>
      <c r="BW52" s="50">
        <f t="shared" si="78"/>
        <v>1</v>
      </c>
      <c r="BX52" s="50">
        <f t="shared" si="78"/>
        <v>2.6</v>
      </c>
      <c r="BY52" s="50">
        <f t="shared" si="78"/>
        <v>1.5500000000000005</v>
      </c>
      <c r="BZ52" s="50">
        <f t="shared" si="78"/>
        <v>1.4500000000000002</v>
      </c>
      <c r="CA52" s="50">
        <f t="shared" si="78"/>
        <v>1.4500000000000002</v>
      </c>
      <c r="CB52" s="50">
        <f t="shared" si="78"/>
        <v>1.8</v>
      </c>
      <c r="CC52" s="50">
        <f t="shared" si="78"/>
        <v>1.2</v>
      </c>
      <c r="CD52" s="50">
        <f t="shared" si="78"/>
        <v>1.1000000000000001</v>
      </c>
      <c r="CE52" s="50">
        <f t="shared" si="78"/>
        <v>1.5</v>
      </c>
      <c r="CO52">
        <f>CO49/CO50</f>
        <v>0.60000883925809168</v>
      </c>
      <c r="CT52">
        <v>0.15</v>
      </c>
      <c r="CX52" s="52">
        <f t="shared" si="21"/>
        <v>0.38574799999999998</v>
      </c>
      <c r="CY52">
        <v>51</v>
      </c>
      <c r="CZ52">
        <v>192874</v>
      </c>
      <c r="DA52" s="58">
        <f t="shared" si="22"/>
        <v>2850</v>
      </c>
      <c r="DB52" s="50">
        <f t="shared" si="23"/>
        <v>1</v>
      </c>
    </row>
    <row r="54" spans="1:106">
      <c r="CP54" t="s">
        <v>303</v>
      </c>
      <c r="CQ54" t="s">
        <v>304</v>
      </c>
      <c r="CR54" t="s">
        <v>305</v>
      </c>
      <c r="CX54" s="50">
        <f>CZ54/CZ52</f>
        <v>1.0833601211153396</v>
      </c>
      <c r="CZ54">
        <v>208952</v>
      </c>
    </row>
    <row r="55" spans="1:106">
      <c r="A55" s="46" t="s">
        <v>0</v>
      </c>
      <c r="B55" s="44" t="s">
        <v>306</v>
      </c>
      <c r="C55" s="46" t="s">
        <v>70</v>
      </c>
      <c r="D55" s="46" t="s">
        <v>307</v>
      </c>
      <c r="E55" s="46" t="s">
        <v>308</v>
      </c>
      <c r="F55" s="46" t="s">
        <v>309</v>
      </c>
      <c r="G55" s="46" t="s">
        <v>310</v>
      </c>
      <c r="H55" s="44" t="s">
        <v>216</v>
      </c>
      <c r="I55" s="44" t="s">
        <v>217</v>
      </c>
      <c r="J55" s="61" t="s">
        <v>311</v>
      </c>
      <c r="K55" s="46" t="s">
        <v>85</v>
      </c>
      <c r="L55" s="61" t="s">
        <v>224</v>
      </c>
      <c r="CP55">
        <v>16258</v>
      </c>
      <c r="CQ55">
        <v>0.3</v>
      </c>
      <c r="CR55">
        <v>4.7510000000000003</v>
      </c>
      <c r="CS55">
        <f>CR55/CQ55</f>
        <v>15.836666666666668</v>
      </c>
    </row>
    <row r="56" spans="1:106">
      <c r="A56" s="46" t="s">
        <v>293</v>
      </c>
      <c r="B56" s="46" t="s">
        <v>163</v>
      </c>
      <c r="C56" s="63">
        <v>100000</v>
      </c>
      <c r="D56" s="44" t="s">
        <v>58</v>
      </c>
      <c r="E56" s="46" t="s">
        <v>58</v>
      </c>
      <c r="F56" s="46" t="s">
        <v>58</v>
      </c>
      <c r="G56" s="46" t="s">
        <v>58</v>
      </c>
      <c r="H56" s="61">
        <f>VLOOKUP($A$56,$A$28:$CE$52,5,0)+INDEX($A$28:$CE$52, MATCH(A56, $A$28:$A$52, 0), MATCH(B56 &amp; " Output", $A$28:$CE$28, 0))+IF(VLOOKUP(B56,B65:C92,2,0)="Mine",VLOOKUP(A56,$A$28:$CE$52,7,0),VLOOKUP(A56,$A$28:$CE$52,8,0))-3</f>
        <v>0.84999999999999964</v>
      </c>
      <c r="I56" s="44">
        <f>VLOOKUP(A56,$A$28:$CE$52,6,0)-1</f>
        <v>0.25</v>
      </c>
      <c r="J56" s="44">
        <f>VLOOKUP($A$56,$A$28:$CE$52,5,0)+INDEX($A$28:$CE$52, MATCH(A56, $A$28:$A$52, 0), MATCH(B56 &amp; " Size", $A$28:$CE$28, 0))</f>
        <v>2</v>
      </c>
      <c r="K56" s="64">
        <f>VLOOKUP(A56,$A$28:$CE$52,15,0)</f>
        <v>5.0000000000000001E-4</v>
      </c>
      <c r="L56" s="44">
        <f>VLOOKUP(A56,$A$28:$CE$52,16,0)-1</f>
        <v>-9.9999999999999978E-2</v>
      </c>
      <c r="CQ56">
        <f>CP55/CQ55</f>
        <v>54193.333333333336</v>
      </c>
      <c r="CR56" s="65">
        <f>CR55/CQ56</f>
        <v>8.7667609792102351E-5</v>
      </c>
    </row>
    <row r="58" spans="1:106">
      <c r="CQ58" s="58"/>
    </row>
    <row r="59" spans="1:106">
      <c r="CP59" t="s">
        <v>303</v>
      </c>
      <c r="CQ59" t="s">
        <v>304</v>
      </c>
      <c r="CR59" t="s">
        <v>305</v>
      </c>
    </row>
    <row r="60" spans="1:106">
      <c r="CP60">
        <v>98168</v>
      </c>
      <c r="CQ60">
        <v>0.5</v>
      </c>
      <c r="CR60">
        <f>CP60*CQ60/1000</f>
        <v>49.084000000000003</v>
      </c>
    </row>
    <row r="64" spans="1:106">
      <c r="B64" s="66" t="s">
        <v>306</v>
      </c>
      <c r="C64" s="67" t="s">
        <v>312</v>
      </c>
    </row>
    <row r="65" spans="2:3">
      <c r="B65" s="68" t="s">
        <v>148</v>
      </c>
      <c r="C65" s="44" t="s">
        <v>313</v>
      </c>
    </row>
    <row r="66" spans="2:3">
      <c r="B66" s="68" t="s">
        <v>150</v>
      </c>
      <c r="C66" s="44" t="s">
        <v>313</v>
      </c>
    </row>
    <row r="67" spans="2:3">
      <c r="B67" s="68" t="s">
        <v>152</v>
      </c>
      <c r="C67" s="44" t="s">
        <v>313</v>
      </c>
    </row>
    <row r="68" spans="2:3">
      <c r="B68" s="68" t="s">
        <v>153</v>
      </c>
      <c r="C68" s="44" t="s">
        <v>313</v>
      </c>
    </row>
    <row r="69" spans="2:3">
      <c r="B69" s="68" t="s">
        <v>154</v>
      </c>
      <c r="C69" s="44" t="s">
        <v>313</v>
      </c>
    </row>
    <row r="70" spans="2:3">
      <c r="B70" s="68" t="s">
        <v>155</v>
      </c>
      <c r="C70" s="44" t="s">
        <v>313</v>
      </c>
    </row>
    <row r="71" spans="2:3">
      <c r="B71" s="68" t="s">
        <v>156</v>
      </c>
      <c r="C71" s="44" t="s">
        <v>314</v>
      </c>
    </row>
    <row r="72" spans="2:3">
      <c r="B72" s="68" t="s">
        <v>157</v>
      </c>
      <c r="C72" s="44" t="s">
        <v>314</v>
      </c>
    </row>
    <row r="73" spans="2:3">
      <c r="B73" s="68" t="s">
        <v>158</v>
      </c>
      <c r="C73" s="44" t="s">
        <v>313</v>
      </c>
    </row>
    <row r="74" spans="2:3">
      <c r="B74" s="68" t="s">
        <v>315</v>
      </c>
      <c r="C74" s="44" t="s">
        <v>313</v>
      </c>
    </row>
    <row r="75" spans="2:3">
      <c r="B75" s="68" t="s">
        <v>160</v>
      </c>
      <c r="C75" s="44" t="s">
        <v>313</v>
      </c>
    </row>
    <row r="76" spans="2:3">
      <c r="B76" s="68" t="s">
        <v>161</v>
      </c>
      <c r="C76" s="44" t="s">
        <v>313</v>
      </c>
    </row>
    <row r="77" spans="2:3">
      <c r="B77" s="68" t="s">
        <v>162</v>
      </c>
      <c r="C77" s="44" t="s">
        <v>313</v>
      </c>
    </row>
    <row r="78" spans="2:3">
      <c r="B78" s="68" t="s">
        <v>163</v>
      </c>
      <c r="C78" s="44" t="s">
        <v>313</v>
      </c>
    </row>
    <row r="79" spans="2:3">
      <c r="B79" s="68" t="s">
        <v>164</v>
      </c>
      <c r="C79" s="44" t="s">
        <v>313</v>
      </c>
    </row>
    <row r="80" spans="2:3">
      <c r="B80" s="68" t="s">
        <v>165</v>
      </c>
      <c r="C80" s="44" t="s">
        <v>314</v>
      </c>
    </row>
    <row r="81" spans="2:3">
      <c r="B81" s="68" t="s">
        <v>166</v>
      </c>
      <c r="C81" s="44" t="s">
        <v>314</v>
      </c>
    </row>
    <row r="82" spans="2:3">
      <c r="B82" s="68" t="s">
        <v>167</v>
      </c>
      <c r="C82" s="44" t="s">
        <v>314</v>
      </c>
    </row>
    <row r="83" spans="2:3">
      <c r="B83" s="68" t="s">
        <v>168</v>
      </c>
      <c r="C83" s="44" t="s">
        <v>314</v>
      </c>
    </row>
    <row r="84" spans="2:3">
      <c r="B84" s="68" t="s">
        <v>169</v>
      </c>
      <c r="C84" s="44" t="s">
        <v>314</v>
      </c>
    </row>
    <row r="85" spans="2:3">
      <c r="B85" s="68" t="s">
        <v>170</v>
      </c>
      <c r="C85" s="44" t="s">
        <v>314</v>
      </c>
    </row>
    <row r="86" spans="2:3">
      <c r="B86" s="68" t="s">
        <v>171</v>
      </c>
      <c r="C86" s="44" t="s">
        <v>314</v>
      </c>
    </row>
    <row r="87" spans="2:3">
      <c r="B87" s="68" t="s">
        <v>172</v>
      </c>
      <c r="C87" s="44" t="s">
        <v>314</v>
      </c>
    </row>
    <row r="88" spans="2:3">
      <c r="B88" s="68" t="s">
        <v>173</v>
      </c>
      <c r="C88" s="44" t="s">
        <v>314</v>
      </c>
    </row>
    <row r="89" spans="2:3">
      <c r="B89" s="68" t="s">
        <v>174</v>
      </c>
      <c r="C89" s="44" t="s">
        <v>314</v>
      </c>
    </row>
    <row r="90" spans="2:3">
      <c r="B90" s="68" t="s">
        <v>175</v>
      </c>
      <c r="C90" s="44" t="s">
        <v>314</v>
      </c>
    </row>
    <row r="91" spans="2:3">
      <c r="B91" s="68" t="s">
        <v>176</v>
      </c>
      <c r="C91" s="44" t="s">
        <v>314</v>
      </c>
    </row>
    <row r="92" spans="2:3">
      <c r="B92" s="68" t="s">
        <v>177</v>
      </c>
      <c r="C92" s="44" t="s">
        <v>314</v>
      </c>
    </row>
  </sheetData>
  <dataValidations count="3">
    <dataValidation type="list" operator="equal" showErrorMessage="1" sqref="D56:G56" xr:uid="{00000000-0002-0000-0900-000000000000}">
      <formula1>"No,Yes"</formula1>
      <formula2>0</formula2>
    </dataValidation>
    <dataValidation type="list" operator="equal" showErrorMessage="1" sqref="B56" xr:uid="{00000000-0002-0000-0900-000001000000}">
      <formula1>"Cotton,Dye,Wool,Silk,Coal,Sulfur,Iron,Wood,Tropical Wood,Sugar,Rubber,Oil,Livestock,Fish,Fruit,Grain,Tobacco,Tea,Coffee,Opium"</formula1>
      <formula2>0</formula2>
    </dataValidation>
    <dataValidation type="list" operator="equal" showErrorMessage="1" sqref="A56" xr:uid="{00000000-0002-0000-0900-000002000000}">
      <formula1>"Base Values,No Reforms,Unciv Reforms,Base Techs,1830 2 row,1830 all,1840,1848,1850,1855,1860,1870,1875,1880,1890,1895,1898,1900,1905,1910,1914,1915,1919"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9"/>
  <sheetViews>
    <sheetView zoomScale="120" zoomScaleNormal="120" workbookViewId="0">
      <selection activeCell="I24" sqref="I24"/>
    </sheetView>
  </sheetViews>
  <sheetFormatPr defaultColWidth="13.42578125" defaultRowHeight="15"/>
  <cols>
    <col min="7" max="7" width="4.7109375" customWidth="1"/>
    <col min="8" max="8" width="13.5703125" customWidth="1"/>
    <col min="9" max="9" width="15" customWidth="1"/>
    <col min="10" max="10" width="6" customWidth="1"/>
  </cols>
  <sheetData>
    <row r="1" spans="1:13">
      <c r="A1" s="69" t="s">
        <v>316</v>
      </c>
      <c r="B1" s="69" t="s">
        <v>317</v>
      </c>
      <c r="C1" s="69" t="s">
        <v>318</v>
      </c>
      <c r="D1" s="69" t="s">
        <v>306</v>
      </c>
      <c r="E1" s="69" t="s">
        <v>319</v>
      </c>
      <c r="G1" t="s">
        <v>320</v>
      </c>
      <c r="H1" t="s">
        <v>306</v>
      </c>
      <c r="I1" t="s">
        <v>321</v>
      </c>
      <c r="J1" t="s">
        <v>138</v>
      </c>
      <c r="K1" t="s">
        <v>322</v>
      </c>
      <c r="L1" t="s">
        <v>323</v>
      </c>
      <c r="M1" t="s">
        <v>324</v>
      </c>
    </row>
    <row r="2" spans="1:13">
      <c r="A2" s="70" t="s">
        <v>325</v>
      </c>
      <c r="B2" s="71">
        <f>SUM(B3:B11)</f>
        <v>515190</v>
      </c>
      <c r="C2" s="72">
        <f>SUM(C3:C11)</f>
        <v>1</v>
      </c>
      <c r="D2" s="70"/>
      <c r="E2" s="73">
        <f>SUM(E3:E11)</f>
        <v>46.769615000000002</v>
      </c>
      <c r="H2" t="s">
        <v>169</v>
      </c>
      <c r="I2">
        <f t="shared" ref="I2:I29" si="0">J2*K2</f>
        <v>3.4</v>
      </c>
      <c r="J2">
        <v>1.7</v>
      </c>
      <c r="K2">
        <v>2</v>
      </c>
      <c r="L2">
        <f t="shared" ref="L2:L29" si="1">K2*0.5</f>
        <v>1</v>
      </c>
      <c r="M2">
        <f t="shared" ref="M2:M29" si="2">K2*1.5</f>
        <v>3</v>
      </c>
    </row>
    <row r="3" spans="1:13">
      <c r="A3" s="74" t="s">
        <v>326</v>
      </c>
      <c r="B3" s="75">
        <v>43950</v>
      </c>
      <c r="C3" s="76">
        <f t="shared" ref="C3:C11" si="3">B3/$B$2</f>
        <v>8.5308332848075472E-2</v>
      </c>
      <c r="D3" s="77" t="s">
        <v>171</v>
      </c>
      <c r="E3" s="78">
        <f t="shared" ref="E3:E11" si="4">B3/40000*VLOOKUP(D3,$H$2:$I$29,2,0)</f>
        <v>3.516</v>
      </c>
      <c r="H3" t="s">
        <v>163</v>
      </c>
      <c r="I3">
        <f t="shared" si="0"/>
        <v>5.52</v>
      </c>
      <c r="J3">
        <v>2.4</v>
      </c>
      <c r="K3">
        <v>2.2999999999999998</v>
      </c>
      <c r="L3">
        <f t="shared" si="1"/>
        <v>1.1499999999999999</v>
      </c>
      <c r="M3">
        <f t="shared" si="2"/>
        <v>3.4499999999999997</v>
      </c>
    </row>
    <row r="4" spans="1:13">
      <c r="A4" s="74" t="s">
        <v>327</v>
      </c>
      <c r="B4" s="75">
        <v>83630</v>
      </c>
      <c r="C4" s="76">
        <f t="shared" si="3"/>
        <v>0.16232846134435838</v>
      </c>
      <c r="D4" s="77" t="s">
        <v>168</v>
      </c>
      <c r="E4" s="78">
        <f t="shared" si="4"/>
        <v>7.5266999999999999</v>
      </c>
      <c r="H4" t="s">
        <v>173</v>
      </c>
      <c r="I4">
        <f t="shared" si="0"/>
        <v>3.1500000000000004</v>
      </c>
      <c r="J4">
        <v>1.5</v>
      </c>
      <c r="K4">
        <v>2.1</v>
      </c>
      <c r="L4">
        <f t="shared" si="1"/>
        <v>1.05</v>
      </c>
      <c r="M4">
        <f t="shared" si="2"/>
        <v>3.1500000000000004</v>
      </c>
    </row>
    <row r="5" spans="1:13">
      <c r="A5" s="74" t="s">
        <v>328</v>
      </c>
      <c r="B5" s="75">
        <v>48300</v>
      </c>
      <c r="C5" s="76">
        <f t="shared" si="3"/>
        <v>9.3751819716997614E-2</v>
      </c>
      <c r="D5" s="77" t="s">
        <v>168</v>
      </c>
      <c r="E5" s="78">
        <f t="shared" si="4"/>
        <v>4.3470000000000004</v>
      </c>
      <c r="H5" t="s">
        <v>168</v>
      </c>
      <c r="I5">
        <f t="shared" si="0"/>
        <v>3.6</v>
      </c>
      <c r="J5">
        <v>1.8</v>
      </c>
      <c r="K5">
        <v>2</v>
      </c>
      <c r="L5">
        <f t="shared" si="1"/>
        <v>1</v>
      </c>
      <c r="M5">
        <f t="shared" si="2"/>
        <v>3</v>
      </c>
    </row>
    <row r="6" spans="1:13">
      <c r="A6" s="74" t="s">
        <v>329</v>
      </c>
      <c r="B6" s="75">
        <v>37120</v>
      </c>
      <c r="C6" s="76">
        <f t="shared" si="3"/>
        <v>7.2051087948135639E-2</v>
      </c>
      <c r="D6" s="77" t="s">
        <v>167</v>
      </c>
      <c r="E6" s="78">
        <f t="shared" si="4"/>
        <v>3.4707200000000005</v>
      </c>
      <c r="H6" t="s">
        <v>171</v>
      </c>
      <c r="I6">
        <f t="shared" si="0"/>
        <v>3.2</v>
      </c>
      <c r="J6">
        <v>1</v>
      </c>
      <c r="K6">
        <v>3.2</v>
      </c>
      <c r="L6">
        <f t="shared" si="1"/>
        <v>1.6</v>
      </c>
      <c r="M6">
        <f t="shared" si="2"/>
        <v>4.8000000000000007</v>
      </c>
    </row>
    <row r="7" spans="1:13">
      <c r="A7" s="74" t="s">
        <v>330</v>
      </c>
      <c r="B7" s="75">
        <v>73880</v>
      </c>
      <c r="C7" s="76">
        <f t="shared" si="3"/>
        <v>0.14340340456918807</v>
      </c>
      <c r="D7" s="77" t="s">
        <v>168</v>
      </c>
      <c r="E7" s="78">
        <f t="shared" si="4"/>
        <v>6.6492000000000004</v>
      </c>
      <c r="H7" t="s">
        <v>175</v>
      </c>
      <c r="I7">
        <f t="shared" si="0"/>
        <v>2.64</v>
      </c>
      <c r="J7">
        <v>0.22</v>
      </c>
      <c r="K7">
        <v>12</v>
      </c>
      <c r="L7">
        <f t="shared" si="1"/>
        <v>6</v>
      </c>
      <c r="M7">
        <f t="shared" si="2"/>
        <v>18</v>
      </c>
    </row>
    <row r="8" spans="1:13">
      <c r="A8" s="74" t="s">
        <v>331</v>
      </c>
      <c r="B8" s="75">
        <v>99070</v>
      </c>
      <c r="C8" s="76">
        <f t="shared" si="3"/>
        <v>0.19229798715037172</v>
      </c>
      <c r="D8" s="77" t="s">
        <v>167</v>
      </c>
      <c r="E8" s="78">
        <f t="shared" si="4"/>
        <v>9.263045</v>
      </c>
      <c r="H8" t="s">
        <v>172</v>
      </c>
      <c r="I8">
        <f t="shared" si="0"/>
        <v>3.1500000000000004</v>
      </c>
      <c r="J8">
        <v>2.1</v>
      </c>
      <c r="K8">
        <v>1.5</v>
      </c>
      <c r="L8">
        <f t="shared" si="1"/>
        <v>0.75</v>
      </c>
      <c r="M8">
        <f t="shared" si="2"/>
        <v>2.25</v>
      </c>
    </row>
    <row r="9" spans="1:13">
      <c r="A9" s="74" t="s">
        <v>332</v>
      </c>
      <c r="B9" s="75">
        <v>71540</v>
      </c>
      <c r="C9" s="76">
        <f t="shared" si="3"/>
        <v>0.1388613909431472</v>
      </c>
      <c r="D9" s="77" t="s">
        <v>169</v>
      </c>
      <c r="E9" s="78">
        <f t="shared" si="4"/>
        <v>6.0808999999999997</v>
      </c>
      <c r="H9" t="s">
        <v>167</v>
      </c>
      <c r="I9">
        <f t="shared" si="0"/>
        <v>3.74</v>
      </c>
      <c r="J9">
        <v>1.7</v>
      </c>
      <c r="K9">
        <v>2.2000000000000002</v>
      </c>
      <c r="L9">
        <f t="shared" si="1"/>
        <v>1.1000000000000001</v>
      </c>
      <c r="M9">
        <f t="shared" si="2"/>
        <v>3.3000000000000003</v>
      </c>
    </row>
    <row r="10" spans="1:13">
      <c r="A10" s="74" t="s">
        <v>333</v>
      </c>
      <c r="B10" s="75">
        <v>45950</v>
      </c>
      <c r="C10" s="76">
        <f t="shared" si="3"/>
        <v>8.9190395776315531E-2</v>
      </c>
      <c r="D10" s="77" t="s">
        <v>170</v>
      </c>
      <c r="E10" s="78">
        <f t="shared" si="4"/>
        <v>3.8597999999999995</v>
      </c>
      <c r="H10" t="s">
        <v>162</v>
      </c>
      <c r="I10">
        <f t="shared" si="0"/>
        <v>7</v>
      </c>
      <c r="J10">
        <v>2</v>
      </c>
      <c r="K10">
        <v>3.5</v>
      </c>
      <c r="L10">
        <f t="shared" si="1"/>
        <v>1.75</v>
      </c>
      <c r="M10">
        <f t="shared" si="2"/>
        <v>5.25</v>
      </c>
    </row>
    <row r="11" spans="1:13">
      <c r="A11" s="74" t="s">
        <v>334</v>
      </c>
      <c r="B11" s="75">
        <v>11750</v>
      </c>
      <c r="C11" s="76">
        <f t="shared" si="3"/>
        <v>2.2807119703410393E-2</v>
      </c>
      <c r="D11" s="77" t="s">
        <v>162</v>
      </c>
      <c r="E11" s="78">
        <f t="shared" si="4"/>
        <v>2.0562499999999999</v>
      </c>
      <c r="H11" t="s">
        <v>160</v>
      </c>
      <c r="I11">
        <f t="shared" si="0"/>
        <v>12</v>
      </c>
      <c r="J11">
        <v>1</v>
      </c>
      <c r="K11">
        <v>12</v>
      </c>
      <c r="L11">
        <f t="shared" si="1"/>
        <v>6</v>
      </c>
      <c r="M11">
        <f t="shared" si="2"/>
        <v>18</v>
      </c>
    </row>
    <row r="12" spans="1:13">
      <c r="H12" t="s">
        <v>177</v>
      </c>
      <c r="I12">
        <f t="shared" si="0"/>
        <v>2.2399999999999998</v>
      </c>
      <c r="J12">
        <v>0.7</v>
      </c>
      <c r="K12">
        <v>3.2</v>
      </c>
      <c r="L12">
        <f t="shared" si="1"/>
        <v>1.6</v>
      </c>
      <c r="M12">
        <f t="shared" si="2"/>
        <v>4.8000000000000007</v>
      </c>
    </row>
    <row r="13" spans="1:13">
      <c r="A13" t="s">
        <v>335</v>
      </c>
      <c r="B13">
        <f>32200*(1-0.1+0.031)</f>
        <v>29978.2</v>
      </c>
      <c r="D13" t="s">
        <v>169</v>
      </c>
      <c r="E13" s="79">
        <f>B13/40000*VLOOKUP(D13,$H$2:$I$29,2,0)</f>
        <v>2.5481469999999997</v>
      </c>
      <c r="H13" t="s">
        <v>165</v>
      </c>
      <c r="I13">
        <f t="shared" si="0"/>
        <v>4.8600000000000003</v>
      </c>
      <c r="J13">
        <v>2.7</v>
      </c>
      <c r="K13">
        <v>1.8</v>
      </c>
      <c r="L13">
        <f t="shared" si="1"/>
        <v>0.9</v>
      </c>
      <c r="M13">
        <f t="shared" si="2"/>
        <v>2.7</v>
      </c>
    </row>
    <row r="14" spans="1:13">
      <c r="H14" t="s">
        <v>336</v>
      </c>
      <c r="I14">
        <f t="shared" si="0"/>
        <v>45</v>
      </c>
      <c r="J14">
        <v>2.25</v>
      </c>
      <c r="K14">
        <v>20</v>
      </c>
      <c r="L14">
        <f t="shared" si="1"/>
        <v>10</v>
      </c>
      <c r="M14">
        <f t="shared" si="2"/>
        <v>30</v>
      </c>
    </row>
    <row r="15" spans="1:13">
      <c r="H15" t="s">
        <v>148</v>
      </c>
      <c r="I15">
        <f t="shared" si="0"/>
        <v>60</v>
      </c>
      <c r="J15">
        <v>3</v>
      </c>
      <c r="K15">
        <v>20</v>
      </c>
      <c r="L15">
        <f t="shared" si="1"/>
        <v>10</v>
      </c>
      <c r="M15">
        <f t="shared" si="2"/>
        <v>30</v>
      </c>
    </row>
    <row r="16" spans="1:13">
      <c r="H16" t="s">
        <v>150</v>
      </c>
      <c r="I16">
        <f t="shared" si="0"/>
        <v>54</v>
      </c>
      <c r="J16">
        <v>3</v>
      </c>
      <c r="K16">
        <v>18</v>
      </c>
      <c r="L16">
        <f t="shared" si="1"/>
        <v>9</v>
      </c>
      <c r="M16">
        <f t="shared" si="2"/>
        <v>27</v>
      </c>
    </row>
    <row r="17" spans="8:13">
      <c r="H17" t="s">
        <v>152</v>
      </c>
      <c r="I17">
        <f t="shared" si="0"/>
        <v>54</v>
      </c>
      <c r="J17">
        <v>3</v>
      </c>
      <c r="K17">
        <v>18</v>
      </c>
      <c r="L17">
        <f t="shared" si="1"/>
        <v>9</v>
      </c>
      <c r="M17">
        <f t="shared" si="2"/>
        <v>27</v>
      </c>
    </row>
    <row r="18" spans="8:13">
      <c r="H18" t="s">
        <v>153</v>
      </c>
      <c r="I18">
        <f t="shared" si="0"/>
        <v>54</v>
      </c>
      <c r="J18">
        <v>3</v>
      </c>
      <c r="K18">
        <v>18</v>
      </c>
      <c r="L18">
        <f t="shared" si="1"/>
        <v>9</v>
      </c>
      <c r="M18">
        <f t="shared" si="2"/>
        <v>27</v>
      </c>
    </row>
    <row r="19" spans="8:13">
      <c r="H19" t="s">
        <v>157</v>
      </c>
      <c r="I19">
        <f t="shared" si="0"/>
        <v>30</v>
      </c>
      <c r="J19">
        <v>3</v>
      </c>
      <c r="K19">
        <v>10</v>
      </c>
      <c r="L19">
        <f t="shared" si="1"/>
        <v>5</v>
      </c>
      <c r="M19">
        <f t="shared" si="2"/>
        <v>15</v>
      </c>
    </row>
    <row r="20" spans="8:13">
      <c r="H20" t="s">
        <v>156</v>
      </c>
      <c r="I20">
        <f t="shared" si="0"/>
        <v>39</v>
      </c>
      <c r="J20">
        <v>3</v>
      </c>
      <c r="K20">
        <v>13</v>
      </c>
      <c r="L20">
        <f t="shared" si="1"/>
        <v>6.5</v>
      </c>
      <c r="M20">
        <f t="shared" si="2"/>
        <v>19.5</v>
      </c>
    </row>
    <row r="21" spans="8:13">
      <c r="H21" t="s">
        <v>154</v>
      </c>
      <c r="I21">
        <f t="shared" si="0"/>
        <v>54</v>
      </c>
      <c r="J21">
        <v>3</v>
      </c>
      <c r="K21">
        <v>18</v>
      </c>
      <c r="L21">
        <f t="shared" si="1"/>
        <v>9</v>
      </c>
      <c r="M21">
        <f t="shared" si="2"/>
        <v>27</v>
      </c>
    </row>
    <row r="22" spans="8:13">
      <c r="H22" t="s">
        <v>164</v>
      </c>
      <c r="I22">
        <f t="shared" si="0"/>
        <v>5.25</v>
      </c>
      <c r="J22">
        <v>0.75</v>
      </c>
      <c r="K22">
        <v>7</v>
      </c>
      <c r="L22">
        <f t="shared" si="1"/>
        <v>3.5</v>
      </c>
      <c r="M22">
        <f t="shared" si="2"/>
        <v>10.5</v>
      </c>
    </row>
    <row r="23" spans="8:13">
      <c r="H23" t="s">
        <v>170</v>
      </c>
      <c r="I23">
        <f t="shared" si="0"/>
        <v>3.36</v>
      </c>
      <c r="J23">
        <v>4.8</v>
      </c>
      <c r="K23">
        <v>0.7</v>
      </c>
      <c r="L23">
        <f t="shared" si="1"/>
        <v>0.35</v>
      </c>
      <c r="M23">
        <f t="shared" si="2"/>
        <v>1.0499999999999998</v>
      </c>
    </row>
    <row r="24" spans="8:13">
      <c r="H24" t="s">
        <v>176</v>
      </c>
      <c r="I24">
        <f t="shared" si="0"/>
        <v>2.5</v>
      </c>
      <c r="J24">
        <v>0.25</v>
      </c>
      <c r="K24">
        <v>10</v>
      </c>
      <c r="L24">
        <f t="shared" si="1"/>
        <v>5</v>
      </c>
      <c r="M24">
        <f t="shared" si="2"/>
        <v>15</v>
      </c>
    </row>
    <row r="25" spans="8:13">
      <c r="H25" t="s">
        <v>159</v>
      </c>
      <c r="I25">
        <f t="shared" si="0"/>
        <v>18</v>
      </c>
      <c r="J25">
        <v>3</v>
      </c>
      <c r="K25">
        <v>6</v>
      </c>
      <c r="L25">
        <f t="shared" si="1"/>
        <v>3</v>
      </c>
      <c r="M25">
        <f t="shared" si="2"/>
        <v>9</v>
      </c>
    </row>
    <row r="26" spans="8:13">
      <c r="H26" t="s">
        <v>166</v>
      </c>
      <c r="I26">
        <f t="shared" si="0"/>
        <v>4.55</v>
      </c>
      <c r="J26">
        <v>1.75</v>
      </c>
      <c r="K26">
        <v>2.6</v>
      </c>
      <c r="L26">
        <f t="shared" si="1"/>
        <v>1.3</v>
      </c>
      <c r="M26">
        <f t="shared" si="2"/>
        <v>3.9000000000000004</v>
      </c>
    </row>
    <row r="27" spans="8:13">
      <c r="H27" t="s">
        <v>337</v>
      </c>
      <c r="I27">
        <f t="shared" si="0"/>
        <v>8</v>
      </c>
      <c r="J27">
        <v>8</v>
      </c>
      <c r="K27">
        <v>1</v>
      </c>
      <c r="L27">
        <f t="shared" si="1"/>
        <v>0.5</v>
      </c>
      <c r="M27">
        <f t="shared" si="2"/>
        <v>1.5</v>
      </c>
    </row>
    <row r="28" spans="8:13">
      <c r="H28" t="s">
        <v>174</v>
      </c>
      <c r="I28">
        <f t="shared" si="0"/>
        <v>2.75</v>
      </c>
      <c r="J28">
        <v>2.5</v>
      </c>
      <c r="K28">
        <v>1.1000000000000001</v>
      </c>
      <c r="L28">
        <f t="shared" si="1"/>
        <v>0.55000000000000004</v>
      </c>
      <c r="M28">
        <f t="shared" si="2"/>
        <v>1.6500000000000001</v>
      </c>
    </row>
    <row r="29" spans="8:13">
      <c r="H29" t="s">
        <v>158</v>
      </c>
      <c r="I29">
        <f t="shared" si="0"/>
        <v>21.6</v>
      </c>
      <c r="J29">
        <v>4</v>
      </c>
      <c r="K29">
        <v>5.4</v>
      </c>
      <c r="L29">
        <f t="shared" si="1"/>
        <v>2.7</v>
      </c>
      <c r="M29">
        <f t="shared" si="2"/>
        <v>8.1000000000000014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Tech Graph</vt:lpstr>
      <vt:lpstr>Tech Cost</vt:lpstr>
      <vt:lpstr>Education Efficiency</vt:lpstr>
      <vt:lpstr>State Sim</vt:lpstr>
      <vt:lpstr>Treaty Ports</vt:lpstr>
      <vt:lpstr>Goods values</vt:lpstr>
      <vt:lpstr>POP Growth</vt:lpstr>
      <vt:lpstr>Military</vt:lpstr>
      <vt:lpstr>Navy</vt:lpstr>
      <vt:lpstr>Stocks</vt:lpstr>
      <vt:lpstr>Colonial RGOs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Debski Franciszek</dc:creator>
  <dc:description/>
  <cp:lastModifiedBy>Debski Franciszek</cp:lastModifiedBy>
  <cp:revision>403</cp:revision>
  <dcterms:created xsi:type="dcterms:W3CDTF">2026-08-26T05:40:12Z</dcterms:created>
  <dcterms:modified xsi:type="dcterms:W3CDTF">2026-09-29T09:27:18Z</dcterms:modified>
  <dc:language>pl-PL</dc:language>
</cp:coreProperties>
</file>