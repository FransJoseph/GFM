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l009526\Downloads\"/>
    </mc:Choice>
  </mc:AlternateContent>
  <xr:revisionPtr revIDLastSave="0" documentId="13_ncr:1_{99EFEE16-AE4D-4F19-B739-2A1D984B2543}" xr6:coauthVersionLast="47" xr6:coauthVersionMax="47" xr10:uidLastSave="{00000000-0000-0000-0000-000000000000}"/>
  <bookViews>
    <workbookView xWindow="-120" yWindow="-120" windowWidth="29040" windowHeight="15720" activeTab="1" xr2:uid="{E71ADBAF-35C5-46E0-97B5-8329015DE3B3}"/>
  </bookViews>
  <sheets>
    <sheet name="Ugulem" sheetId="1" r:id="rId1"/>
    <sheet name="Votes Malłopolsk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9" i="2" l="1"/>
  <c r="B5" i="2"/>
  <c r="B6" i="2"/>
  <c r="B7" i="2"/>
  <c r="F4" i="2"/>
  <c r="G3" i="2"/>
  <c r="G2" i="2"/>
  <c r="A2" i="2"/>
  <c r="B2" i="2"/>
  <c r="N3" i="1"/>
  <c r="N2" i="1"/>
  <c r="M3" i="1"/>
  <c r="M2" i="1"/>
  <c r="E37" i="1"/>
  <c r="E38" i="1" s="1"/>
  <c r="D37" i="1"/>
  <c r="F38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21" i="1"/>
  <c r="D38" i="1" s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21" i="1"/>
  <c r="C38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C21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2" i="1"/>
  <c r="G18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2" i="1"/>
  <c r="E18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F18" i="1"/>
  <c r="C18" i="1"/>
  <c r="G4" i="2" l="1"/>
  <c r="G37" i="1"/>
  <c r="M4" i="1" s="1"/>
  <c r="D18" i="1"/>
  <c r="G38" i="1" l="1"/>
  <c r="H37" i="1" s="1"/>
  <c r="J37" i="1" s="1"/>
  <c r="H28" i="1" l="1"/>
  <c r="J28" i="1" s="1"/>
  <c r="H30" i="1"/>
  <c r="J30" i="1" s="1"/>
  <c r="H31" i="1"/>
  <c r="J31" i="1" s="1"/>
  <c r="H33" i="1"/>
  <c r="J33" i="1" s="1"/>
  <c r="H34" i="1"/>
  <c r="J34" i="1" s="1"/>
  <c r="H24" i="1"/>
  <c r="J24" i="1" s="1"/>
  <c r="H25" i="1"/>
  <c r="J25" i="1" s="1"/>
  <c r="H35" i="1"/>
  <c r="J35" i="1" s="1"/>
  <c r="H36" i="1"/>
  <c r="J36" i="1" s="1"/>
  <c r="H27" i="1"/>
  <c r="J27" i="1" s="1"/>
  <c r="H32" i="1"/>
  <c r="J32" i="1" s="1"/>
  <c r="H26" i="1"/>
  <c r="J26" i="1" s="1"/>
  <c r="H21" i="1"/>
  <c r="J21" i="1" s="1"/>
  <c r="H22" i="1"/>
  <c r="J22" i="1" s="1"/>
  <c r="H29" i="1"/>
  <c r="J29" i="1" s="1"/>
  <c r="H23" i="1"/>
  <c r="J2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tc={E2F74365-40FB-42D1-9C55-FFF3AC124844}</author>
    <author>tc={D477F33E-055E-4D1E-8D1C-94C73D69E156}</author>
  </authors>
  <commentList>
    <comment ref="C37" authorId="0" shapeId="0" xr:uid="{E2F74365-40FB-42D1-9C55-FFF3AC124844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Teritories do not vote</t>
      </text>
    </comment>
    <comment ref="C38" authorId="1" shapeId="0" xr:uid="{D477F33E-055E-4D1E-8D1C-94C73D69E156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Only States can Vote</t>
      </text>
    </comment>
  </commentList>
</comments>
</file>

<file path=xl/sharedStrings.xml><?xml version="1.0" encoding="utf-8"?>
<sst xmlns="http://schemas.openxmlformats.org/spreadsheetml/2006/main" count="63" uniqueCount="38">
  <si>
    <t>Mazowieckie</t>
  </si>
  <si>
    <t>Śląskie</t>
  </si>
  <si>
    <t>Wielkopolskie</t>
  </si>
  <si>
    <t>Małopolskie</t>
  </si>
  <si>
    <t>Dolnośląskie</t>
  </si>
  <si>
    <t>Łódzkie</t>
  </si>
  <si>
    <t>Pomorskie</t>
  </si>
  <si>
    <t>Podkarpackie</t>
  </si>
  <si>
    <t>Lubelskie</t>
  </si>
  <si>
    <t>Zachodniopomorskie</t>
  </si>
  <si>
    <t>Kujawsko-pomorskie</t>
  </si>
  <si>
    <t>Warmińsko-Mazurskie</t>
  </si>
  <si>
    <t>Świętokrzyskie</t>
  </si>
  <si>
    <t>Podlaskie</t>
  </si>
  <si>
    <t>Lubuskie</t>
  </si>
  <si>
    <t>Opolskie</t>
  </si>
  <si>
    <t>POPs</t>
  </si>
  <si>
    <t>Name</t>
  </si>
  <si>
    <t>Lp</t>
  </si>
  <si>
    <t>Representatives</t>
  </si>
  <si>
    <t>Senate</t>
  </si>
  <si>
    <t>Rel</t>
  </si>
  <si>
    <t>Total</t>
  </si>
  <si>
    <t>Dif</t>
  </si>
  <si>
    <t>Should have</t>
  </si>
  <si>
    <t>Have</t>
  </si>
  <si>
    <t>DC</t>
  </si>
  <si>
    <t>Smallzowieckie</t>
  </si>
  <si>
    <t>Candidate</t>
  </si>
  <si>
    <t>Red</t>
  </si>
  <si>
    <t>Blue</t>
  </si>
  <si>
    <t>Electoral Votes</t>
  </si>
  <si>
    <t>%</t>
  </si>
  <si>
    <t>POPs per district</t>
  </si>
  <si>
    <t>Disttrict Number</t>
  </si>
  <si>
    <t>Votes</t>
  </si>
  <si>
    <t>Sum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</si>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</sst>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7" formatCode="_-* #,##0_-;\-* #,##0_-;_-* &quot;-&quot;??_-;_-@_-"/>
  </numFmts>
  <fonts count="5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u/>
      <sz val="11"/>
      <color theme="10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sz val="11"/>
      <color rgb="FF33333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12">
    <xf numFmtId="0" fontId="0" fillId="0" borderId="0" xfId="0"/>
    <xf numFmtId="3" fontId="0" fillId="0" borderId="0" xfId="0" applyNumberFormat="1"/>
    <xf numFmtId="3" fontId="3" fillId="0" borderId="0" xfId="0" applyNumberFormat="1" applyFont="1"/>
    <xf numFmtId="3" fontId="4" fillId="0" borderId="0" xfId="0" applyNumberFormat="1" applyFont="1"/>
    <xf numFmtId="0" fontId="0" fillId="0" borderId="0" xfId="0" applyAlignment="1">
      <alignment horizontal="center" vertical="center"/>
    </xf>
    <xf numFmtId="3" fontId="2" fillId="0" borderId="0" xfId="2" applyNumberFormat="1"/>
    <xf numFmtId="2" fontId="0" fillId="0" borderId="0" xfId="0" applyNumberFormat="1"/>
    <xf numFmtId="10" fontId="0" fillId="0" borderId="0" xfId="1" applyNumberFormat="1" applyFont="1"/>
    <xf numFmtId="167" fontId="0" fillId="0" borderId="0" xfId="3" applyNumberFormat="1" applyFont="1"/>
    <xf numFmtId="167" fontId="0" fillId="0" borderId="0" xfId="3" applyNumberFormat="1" applyFont="1" applyAlignment="1">
      <alignment horizontal="center" vertical="center"/>
    </xf>
    <xf numFmtId="9" fontId="0" fillId="0" borderId="0" xfId="1" applyFont="1" applyAlignment="1">
      <alignment horizontal="center" vertical="center"/>
    </xf>
    <xf numFmtId="167" fontId="0" fillId="0" borderId="0" xfId="0" applyNumberFormat="1" applyAlignment="1">
      <alignment horizontal="center" vertical="center"/>
    </xf>
  </cellXfs>
  <cellStyles count="4">
    <cellStyle name="Dziesiętny" xfId="3" builtinId="3"/>
    <cellStyle name="Hiperłącze" xfId="2" builtinId="8"/>
    <cellStyle name="Normalny" xfId="0" builtinId="0"/>
    <cellStyle name="Procentowy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ebski Franciszek" id="{1A744369-4770-48DE-BC71-FBF855FF67AD}" userId="S::PL009526@synthosgroup.com::89d3b29e-fb05-44b4-a50f-9d755304d948" providerId="AD"/>
</personList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37" dT="2026-09-11T12:25:08.92" personId="{1A744369-4770-48DE-BC71-FBF855FF67AD}" id="{E2F74365-40FB-42D1-9C55-FFF3AC124844}">
    <text>Teritories do not vote</text>
  </threadedComment>
  <threadedComment ref="C38" dT="2026-09-11T12:28:31.02" personId="{1A744369-4770-48DE-BC71-FBF855FF67AD}" id="{D477F33E-055E-4D1E-8D1C-94C73D69E156}">
    <text>Only States can Vote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5F90A-A9E5-434D-AC38-6492E93D457E}">
  <dimension ref="A1:N40"/>
  <sheetViews>
    <sheetView zoomScale="160" zoomScaleNormal="160" workbookViewId="0">
      <selection activeCell="K15" sqref="K15"/>
    </sheetView>
  </sheetViews>
  <sheetFormatPr defaultRowHeight="15" x14ac:dyDescent="0.25"/>
  <cols>
    <col min="1" max="1" width="3" bestFit="1" customWidth="1"/>
    <col min="2" max="2" width="21.140625" bestFit="1" customWidth="1"/>
    <col min="3" max="3" width="10.140625" bestFit="1" customWidth="1"/>
    <col min="4" max="4" width="15" bestFit="1" customWidth="1"/>
    <col min="5" max="5" width="6.85546875" bestFit="1" customWidth="1"/>
    <col min="9" max="9" width="11.7109375" bestFit="1" customWidth="1"/>
    <col min="12" max="12" width="10" bestFit="1" customWidth="1"/>
    <col min="13" max="13" width="14.140625" bestFit="1" customWidth="1"/>
  </cols>
  <sheetData>
    <row r="1" spans="1:14" x14ac:dyDescent="0.25">
      <c r="A1" s="4" t="s">
        <v>18</v>
      </c>
      <c r="B1" s="4" t="s">
        <v>17</v>
      </c>
      <c r="C1" s="4" t="s">
        <v>16</v>
      </c>
      <c r="D1" s="4" t="s">
        <v>19</v>
      </c>
      <c r="E1" s="4" t="s">
        <v>21</v>
      </c>
      <c r="F1" s="4" t="s">
        <v>20</v>
      </c>
      <c r="G1" s="4" t="s">
        <v>22</v>
      </c>
      <c r="H1" s="4" t="s">
        <v>25</v>
      </c>
      <c r="I1" s="4" t="s">
        <v>24</v>
      </c>
      <c r="J1" s="4" t="s">
        <v>23</v>
      </c>
      <c r="L1" s="4" t="s">
        <v>28</v>
      </c>
      <c r="M1" s="4" t="s">
        <v>31</v>
      </c>
      <c r="N1" s="4" t="s">
        <v>32</v>
      </c>
    </row>
    <row r="2" spans="1:14" x14ac:dyDescent="0.25">
      <c r="A2">
        <v>1</v>
      </c>
      <c r="B2" t="s">
        <v>0</v>
      </c>
      <c r="C2" s="2">
        <v>5403412</v>
      </c>
      <c r="D2" s="6">
        <f>C2/$C$18*435</f>
        <v>61.19276153891574</v>
      </c>
      <c r="E2">
        <v>61</v>
      </c>
      <c r="F2">
        <v>2</v>
      </c>
      <c r="G2">
        <f>E2+F2</f>
        <v>63</v>
      </c>
      <c r="H2" s="7">
        <f>G2/$G$18</f>
        <v>0.13490364025695931</v>
      </c>
      <c r="I2" s="7">
        <f>C2/$C$18</f>
        <v>0.1406730150319902</v>
      </c>
      <c r="J2" s="6">
        <f>(H2/I2)-1</f>
        <v>-4.1012661694347585E-2</v>
      </c>
      <c r="L2" t="s">
        <v>29</v>
      </c>
      <c r="M2">
        <f>SUM(G5,G7,G9,G10,G14,G15)</f>
        <v>154</v>
      </c>
      <c r="N2" s="7">
        <f>M2/$M$4</f>
        <v>0.32976445396145609</v>
      </c>
    </row>
    <row r="3" spans="1:14" x14ac:dyDescent="0.25">
      <c r="A3">
        <v>2</v>
      </c>
      <c r="B3" t="s">
        <v>1</v>
      </c>
      <c r="C3" s="2">
        <v>4533565</v>
      </c>
      <c r="D3" s="6">
        <f t="shared" ref="D3:D17" si="0">C3/$C$18*435</f>
        <v>51.341885824396606</v>
      </c>
      <c r="E3">
        <v>51</v>
      </c>
      <c r="F3">
        <v>2</v>
      </c>
      <c r="G3">
        <f t="shared" ref="G3:G17" si="1">E3+F3</f>
        <v>53</v>
      </c>
      <c r="H3" s="7">
        <f t="shared" ref="H3:H17" si="2">G3/$G$18</f>
        <v>0.11349036402569593</v>
      </c>
      <c r="I3" s="7">
        <f t="shared" ref="I3:I17" si="3">C3/$C$18</f>
        <v>0.11802732373424507</v>
      </c>
      <c r="J3" s="6">
        <f t="shared" ref="J3:J17" si="4">(H3/I3)-1</f>
        <v>-3.8439910056460636E-2</v>
      </c>
      <c r="L3" t="s">
        <v>30</v>
      </c>
      <c r="M3">
        <f>SUM(G2,G3,G4,G6,G8,G11,G12,G13,G16,G17)</f>
        <v>313</v>
      </c>
      <c r="N3" s="7">
        <f>M3/$M$4</f>
        <v>0.67023554603854385</v>
      </c>
    </row>
    <row r="4" spans="1:14" x14ac:dyDescent="0.25">
      <c r="A4">
        <v>3</v>
      </c>
      <c r="B4" t="s">
        <v>2</v>
      </c>
      <c r="C4" s="3">
        <v>3493969</v>
      </c>
      <c r="D4" s="6">
        <f t="shared" si="0"/>
        <v>39.56863031013809</v>
      </c>
      <c r="E4">
        <v>40</v>
      </c>
      <c r="F4">
        <v>2</v>
      </c>
      <c r="G4">
        <f t="shared" si="1"/>
        <v>42</v>
      </c>
      <c r="H4" s="7">
        <f t="shared" si="2"/>
        <v>8.9935760171306209E-2</v>
      </c>
      <c r="I4" s="7">
        <f t="shared" si="3"/>
        <v>9.0962368529053081E-2</v>
      </c>
      <c r="J4" s="6">
        <f t="shared" si="4"/>
        <v>-1.1286077686279428E-2</v>
      </c>
      <c r="M4">
        <f>SUM(M2:M3)</f>
        <v>467</v>
      </c>
    </row>
    <row r="5" spans="1:14" x14ac:dyDescent="0.25">
      <c r="A5">
        <v>4</v>
      </c>
      <c r="B5" t="s">
        <v>3</v>
      </c>
      <c r="C5" s="2">
        <v>3400577</v>
      </c>
      <c r="D5" s="6">
        <f t="shared" si="0"/>
        <v>38.510981108921818</v>
      </c>
      <c r="E5">
        <v>39</v>
      </c>
      <c r="F5">
        <v>2</v>
      </c>
      <c r="G5">
        <f t="shared" si="1"/>
        <v>41</v>
      </c>
      <c r="H5" s="7">
        <f t="shared" si="2"/>
        <v>8.7794432548179868E-2</v>
      </c>
      <c r="I5" s="7">
        <f t="shared" si="3"/>
        <v>8.853099105499268E-2</v>
      </c>
      <c r="J5" s="6">
        <f t="shared" si="4"/>
        <v>-8.319781559378292E-3</v>
      </c>
    </row>
    <row r="6" spans="1:14" x14ac:dyDescent="0.25">
      <c r="A6">
        <v>5</v>
      </c>
      <c r="B6" t="s">
        <v>4</v>
      </c>
      <c r="C6" s="3">
        <v>2901225</v>
      </c>
      <c r="D6" s="6">
        <f t="shared" si="0"/>
        <v>32.855900974373377</v>
      </c>
      <c r="E6">
        <v>33</v>
      </c>
      <c r="F6">
        <v>2</v>
      </c>
      <c r="G6">
        <f t="shared" si="1"/>
        <v>35</v>
      </c>
      <c r="H6" s="7">
        <f t="shared" si="2"/>
        <v>7.4946466809421838E-2</v>
      </c>
      <c r="I6" s="7">
        <f t="shared" si="3"/>
        <v>7.5530806837639949E-2</v>
      </c>
      <c r="J6" s="6">
        <f t="shared" si="4"/>
        <v>-7.7364462619100571E-3</v>
      </c>
    </row>
    <row r="7" spans="1:14" x14ac:dyDescent="0.25">
      <c r="A7">
        <v>6</v>
      </c>
      <c r="B7" t="s">
        <v>5</v>
      </c>
      <c r="C7" s="3">
        <v>2466322</v>
      </c>
      <c r="D7" s="6">
        <f t="shared" si="0"/>
        <v>27.930695276277607</v>
      </c>
      <c r="E7">
        <v>28</v>
      </c>
      <c r="F7">
        <v>2</v>
      </c>
      <c r="G7">
        <f t="shared" si="1"/>
        <v>30</v>
      </c>
      <c r="H7" s="7">
        <f t="shared" si="2"/>
        <v>6.4239828693790149E-2</v>
      </c>
      <c r="I7" s="7">
        <f t="shared" si="3"/>
        <v>6.4208494887994502E-2</v>
      </c>
      <c r="J7" s="6">
        <f t="shared" si="4"/>
        <v>4.8800093897716224E-4</v>
      </c>
      <c r="L7" s="8"/>
    </row>
    <row r="8" spans="1:14" x14ac:dyDescent="0.25">
      <c r="A8">
        <v>7</v>
      </c>
      <c r="B8" t="s">
        <v>6</v>
      </c>
      <c r="C8" s="3">
        <v>2333523</v>
      </c>
      <c r="D8" s="6">
        <f t="shared" si="0"/>
        <v>26.426768213228097</v>
      </c>
      <c r="E8">
        <v>26</v>
      </c>
      <c r="F8">
        <v>2</v>
      </c>
      <c r="G8">
        <f t="shared" si="1"/>
        <v>28</v>
      </c>
      <c r="H8" s="7">
        <f t="shared" si="2"/>
        <v>5.9957173447537475E-2</v>
      </c>
      <c r="I8" s="7">
        <f t="shared" si="3"/>
        <v>6.0751191294777233E-2</v>
      </c>
      <c r="J8" s="6">
        <f t="shared" si="4"/>
        <v>-1.3069996329570288E-2</v>
      </c>
    </row>
    <row r="9" spans="1:14" x14ac:dyDescent="0.25">
      <c r="A9">
        <v>8</v>
      </c>
      <c r="B9" t="s">
        <v>7</v>
      </c>
      <c r="C9" s="3">
        <v>2129015</v>
      </c>
      <c r="D9" s="6">
        <f t="shared" si="0"/>
        <v>24.110748395231511</v>
      </c>
      <c r="E9">
        <v>24</v>
      </c>
      <c r="F9">
        <v>2</v>
      </c>
      <c r="G9">
        <f t="shared" si="1"/>
        <v>26</v>
      </c>
      <c r="H9" s="7">
        <f t="shared" si="2"/>
        <v>5.5674518201284794E-2</v>
      </c>
      <c r="I9" s="7">
        <f t="shared" si="3"/>
        <v>5.5427007805129908E-2</v>
      </c>
      <c r="J9" s="6">
        <f t="shared" si="4"/>
        <v>4.4655197160394788E-3</v>
      </c>
    </row>
    <row r="10" spans="1:14" x14ac:dyDescent="0.25">
      <c r="A10">
        <v>9</v>
      </c>
      <c r="B10" t="s">
        <v>8</v>
      </c>
      <c r="C10" s="3">
        <v>2117619</v>
      </c>
      <c r="D10" s="6">
        <f t="shared" si="0"/>
        <v>23.98169054983725</v>
      </c>
      <c r="E10">
        <v>24</v>
      </c>
      <c r="F10">
        <v>2</v>
      </c>
      <c r="G10">
        <f t="shared" si="1"/>
        <v>26</v>
      </c>
      <c r="H10" s="7">
        <f t="shared" si="2"/>
        <v>5.5674518201284794E-2</v>
      </c>
      <c r="I10" s="7">
        <f t="shared" si="3"/>
        <v>5.5130323103074141E-2</v>
      </c>
      <c r="J10" s="6">
        <f t="shared" si="4"/>
        <v>9.8710667302492894E-3</v>
      </c>
    </row>
    <row r="11" spans="1:14" x14ac:dyDescent="0.25">
      <c r="A11">
        <v>10</v>
      </c>
      <c r="B11" t="s">
        <v>10</v>
      </c>
      <c r="C11" s="3">
        <v>2077775</v>
      </c>
      <c r="D11" s="6">
        <f t="shared" si="0"/>
        <v>23.53046373412219</v>
      </c>
      <c r="E11">
        <v>24</v>
      </c>
      <c r="F11">
        <v>2</v>
      </c>
      <c r="G11">
        <f t="shared" si="1"/>
        <v>26</v>
      </c>
      <c r="H11" s="7">
        <f t="shared" si="2"/>
        <v>5.5674518201284794E-2</v>
      </c>
      <c r="I11" s="7">
        <f t="shared" si="3"/>
        <v>5.4093020078441814E-2</v>
      </c>
      <c r="J11" s="6">
        <f t="shared" si="4"/>
        <v>2.9236639413913412E-2</v>
      </c>
    </row>
    <row r="12" spans="1:14" x14ac:dyDescent="0.25">
      <c r="A12">
        <v>11</v>
      </c>
      <c r="B12" t="s">
        <v>9</v>
      </c>
      <c r="C12" s="3">
        <v>1701030</v>
      </c>
      <c r="D12" s="6">
        <f t="shared" si="0"/>
        <v>19.263887921287854</v>
      </c>
      <c r="E12">
        <v>19</v>
      </c>
      <c r="F12">
        <v>2</v>
      </c>
      <c r="G12">
        <f t="shared" si="1"/>
        <v>21</v>
      </c>
      <c r="H12" s="7">
        <f t="shared" si="2"/>
        <v>4.4967880085653104E-2</v>
      </c>
      <c r="I12" s="7">
        <f t="shared" si="3"/>
        <v>4.4284799819052534E-2</v>
      </c>
      <c r="J12" s="6">
        <f t="shared" si="4"/>
        <v>1.5424711625470433E-2</v>
      </c>
    </row>
    <row r="13" spans="1:14" x14ac:dyDescent="0.25">
      <c r="A13">
        <v>12</v>
      </c>
      <c r="B13" t="s">
        <v>11</v>
      </c>
      <c r="C13" s="3">
        <v>1428983</v>
      </c>
      <c r="D13" s="6">
        <f t="shared" si="0"/>
        <v>16.182999919710809</v>
      </c>
      <c r="E13">
        <v>16</v>
      </c>
      <c r="F13">
        <v>2</v>
      </c>
      <c r="G13">
        <f t="shared" si="1"/>
        <v>18</v>
      </c>
      <c r="H13" s="7">
        <f t="shared" si="2"/>
        <v>3.8543897216274089E-2</v>
      </c>
      <c r="I13" s="7">
        <f t="shared" si="3"/>
        <v>3.720229866600186E-2</v>
      </c>
      <c r="J13" s="6">
        <f t="shared" si="4"/>
        <v>3.6062248795886376E-2</v>
      </c>
    </row>
    <row r="14" spans="1:14" x14ac:dyDescent="0.25">
      <c r="A14">
        <v>13</v>
      </c>
      <c r="B14" t="s">
        <v>12</v>
      </c>
      <c r="C14" s="3">
        <v>1241546</v>
      </c>
      <c r="D14" s="6">
        <f t="shared" si="0"/>
        <v>14.060306398548672</v>
      </c>
      <c r="E14">
        <v>14</v>
      </c>
      <c r="F14">
        <v>2</v>
      </c>
      <c r="G14">
        <f t="shared" si="1"/>
        <v>16</v>
      </c>
      <c r="H14" s="7">
        <f t="shared" si="2"/>
        <v>3.4261241970021415E-2</v>
      </c>
      <c r="I14" s="7">
        <f t="shared" si="3"/>
        <v>3.2322543444939476E-2</v>
      </c>
      <c r="J14" s="6">
        <f t="shared" si="4"/>
        <v>5.9979763918778684E-2</v>
      </c>
    </row>
    <row r="15" spans="1:14" x14ac:dyDescent="0.25">
      <c r="A15">
        <v>14</v>
      </c>
      <c r="B15" t="s">
        <v>13</v>
      </c>
      <c r="C15" s="3">
        <v>1181533</v>
      </c>
      <c r="D15" s="6">
        <f t="shared" si="0"/>
        <v>13.380668940173306</v>
      </c>
      <c r="E15">
        <v>13</v>
      </c>
      <c r="F15">
        <v>2</v>
      </c>
      <c r="G15">
        <f t="shared" si="1"/>
        <v>15</v>
      </c>
      <c r="H15" s="7">
        <f t="shared" si="2"/>
        <v>3.2119914346895075E-2</v>
      </c>
      <c r="I15" s="7">
        <f t="shared" si="3"/>
        <v>3.0760158483157024E-2</v>
      </c>
      <c r="J15" s="6">
        <f t="shared" si="4"/>
        <v>4.4205099413990201E-2</v>
      </c>
    </row>
    <row r="16" spans="1:14" x14ac:dyDescent="0.25">
      <c r="A16">
        <v>15</v>
      </c>
      <c r="B16" t="s">
        <v>14</v>
      </c>
      <c r="C16" s="3">
        <v>1014548</v>
      </c>
      <c r="D16" s="6">
        <f t="shared" si="0"/>
        <v>11.489590990615536</v>
      </c>
      <c r="E16">
        <v>12</v>
      </c>
      <c r="F16">
        <v>2</v>
      </c>
      <c r="G16">
        <f t="shared" si="1"/>
        <v>14</v>
      </c>
      <c r="H16" s="7">
        <f t="shared" si="2"/>
        <v>2.9978586723768737E-2</v>
      </c>
      <c r="I16" s="7">
        <f t="shared" si="3"/>
        <v>2.641285285198974E-2</v>
      </c>
      <c r="J16" s="6">
        <f t="shared" si="4"/>
        <v>0.13499995217329896</v>
      </c>
    </row>
    <row r="17" spans="1:10" x14ac:dyDescent="0.25">
      <c r="A17">
        <v>16</v>
      </c>
      <c r="B17" t="s">
        <v>15</v>
      </c>
      <c r="C17" s="3">
        <v>986506</v>
      </c>
      <c r="D17" s="6">
        <f t="shared" si="0"/>
        <v>11.172019904221555</v>
      </c>
      <c r="E17">
        <v>11</v>
      </c>
      <c r="F17">
        <v>2</v>
      </c>
      <c r="G17">
        <f t="shared" si="1"/>
        <v>13</v>
      </c>
      <c r="H17" s="7">
        <f t="shared" si="2"/>
        <v>2.7837259100642397E-2</v>
      </c>
      <c r="I17" s="7">
        <f t="shared" si="3"/>
        <v>2.5682804377520817E-2</v>
      </c>
      <c r="J17" s="6">
        <f t="shared" si="4"/>
        <v>8.3887051096619869E-2</v>
      </c>
    </row>
    <row r="18" spans="1:10" x14ac:dyDescent="0.25">
      <c r="C18" s="5">
        <f>SUM(C2:C17)</f>
        <v>38411148</v>
      </c>
      <c r="D18" s="5">
        <f>SUM(D2:D17)</f>
        <v>434.99999999999994</v>
      </c>
      <c r="E18" s="5">
        <f>SUM(E2:E17)</f>
        <v>435</v>
      </c>
      <c r="F18" s="5">
        <f>SUM(F2:F17)</f>
        <v>32</v>
      </c>
      <c r="G18" s="5">
        <f>SUM(G2:G17)</f>
        <v>467</v>
      </c>
      <c r="H18" s="5"/>
      <c r="I18" s="5"/>
      <c r="J18" s="5"/>
    </row>
    <row r="21" spans="1:10" x14ac:dyDescent="0.25">
      <c r="A21">
        <v>1</v>
      </c>
      <c r="B21" t="s">
        <v>27</v>
      </c>
      <c r="C21" s="1">
        <f>C2-1862402</f>
        <v>3541010</v>
      </c>
      <c r="D21" s="6">
        <f>C21/$C$38*435</f>
        <v>42.144793421913846</v>
      </c>
      <c r="E21">
        <v>42</v>
      </c>
      <c r="F21">
        <v>2</v>
      </c>
      <c r="G21">
        <f>E21+F21</f>
        <v>44</v>
      </c>
      <c r="H21" s="7">
        <f>G21/$G$38</f>
        <v>9.1858037578288101E-2</v>
      </c>
      <c r="I21" s="7">
        <f>C21/$C$38</f>
        <v>9.6884582579112297E-2</v>
      </c>
      <c r="J21" s="6">
        <f>(H21/I21)-1</f>
        <v>-5.1881784149915733E-2</v>
      </c>
    </row>
    <row r="22" spans="1:10" x14ac:dyDescent="0.25">
      <c r="A22">
        <v>2</v>
      </c>
      <c r="B22" t="s">
        <v>1</v>
      </c>
      <c r="C22" s="2">
        <v>4533565</v>
      </c>
      <c r="D22" s="6">
        <f t="shared" ref="D22:D36" si="5">C22/$C$38*435</f>
        <v>53.958096811310568</v>
      </c>
      <c r="E22">
        <v>54</v>
      </c>
      <c r="F22">
        <v>2</v>
      </c>
      <c r="G22">
        <f t="shared" ref="G22:G36" si="6">E22+F22</f>
        <v>56</v>
      </c>
      <c r="H22" s="7">
        <f t="shared" ref="H22:H37" si="7">G22/$G$38</f>
        <v>0.11691022964509394</v>
      </c>
      <c r="I22" s="7">
        <f t="shared" ref="I22:I37" si="8">C22/$C$38</f>
        <v>0.12404160186508177</v>
      </c>
      <c r="J22" s="6">
        <f t="shared" ref="J22:J36" si="9">(H22/I22)-1</f>
        <v>-5.7491777861305882E-2</v>
      </c>
    </row>
    <row r="23" spans="1:10" x14ac:dyDescent="0.25">
      <c r="A23">
        <v>3</v>
      </c>
      <c r="B23" t="s">
        <v>2</v>
      </c>
      <c r="C23" s="3">
        <v>3493969</v>
      </c>
      <c r="D23" s="6">
        <f t="shared" si="5"/>
        <v>41.584915526239939</v>
      </c>
      <c r="E23">
        <v>42</v>
      </c>
      <c r="F23">
        <v>2</v>
      </c>
      <c r="G23">
        <f t="shared" si="6"/>
        <v>44</v>
      </c>
      <c r="H23" s="7">
        <f t="shared" si="7"/>
        <v>9.1858037578288101E-2</v>
      </c>
      <c r="I23" s="7">
        <f t="shared" si="8"/>
        <v>9.5597506956873426E-2</v>
      </c>
      <c r="J23" s="6">
        <f t="shared" si="9"/>
        <v>-3.9116808561464933E-2</v>
      </c>
    </row>
    <row r="24" spans="1:10" x14ac:dyDescent="0.25">
      <c r="A24">
        <v>4</v>
      </c>
      <c r="B24" t="s">
        <v>3</v>
      </c>
      <c r="C24" s="2">
        <v>3400577</v>
      </c>
      <c r="D24" s="6">
        <f t="shared" si="5"/>
        <v>40.473372054953678</v>
      </c>
      <c r="E24">
        <v>40</v>
      </c>
      <c r="F24">
        <v>2</v>
      </c>
      <c r="G24">
        <f t="shared" si="6"/>
        <v>42</v>
      </c>
      <c r="H24" s="7">
        <f t="shared" si="7"/>
        <v>8.7682672233820466E-2</v>
      </c>
      <c r="I24" s="7">
        <f t="shared" si="8"/>
        <v>9.304223460908892E-2</v>
      </c>
      <c r="J24" s="6">
        <f t="shared" si="9"/>
        <v>-5.760354314130911E-2</v>
      </c>
    </row>
    <row r="25" spans="1:10" x14ac:dyDescent="0.25">
      <c r="A25">
        <v>5</v>
      </c>
      <c r="B25" t="s">
        <v>4</v>
      </c>
      <c r="C25" s="3">
        <v>2901225</v>
      </c>
      <c r="D25" s="6">
        <f t="shared" si="5"/>
        <v>34.530127928328923</v>
      </c>
      <c r="E25">
        <v>35</v>
      </c>
      <c r="F25">
        <v>2</v>
      </c>
      <c r="G25">
        <f t="shared" si="6"/>
        <v>37</v>
      </c>
      <c r="H25" s="7">
        <f t="shared" si="7"/>
        <v>7.724425887265135E-2</v>
      </c>
      <c r="I25" s="7">
        <f t="shared" si="8"/>
        <v>7.9379604432940051E-2</v>
      </c>
      <c r="J25" s="6">
        <f t="shared" si="9"/>
        <v>-2.690043085428373E-2</v>
      </c>
    </row>
    <row r="26" spans="1:10" x14ac:dyDescent="0.25">
      <c r="A26">
        <v>6</v>
      </c>
      <c r="B26" t="s">
        <v>5</v>
      </c>
      <c r="C26" s="3">
        <v>2466322</v>
      </c>
      <c r="D26" s="6">
        <f t="shared" si="5"/>
        <v>29.35395020119158</v>
      </c>
      <c r="E26">
        <v>29</v>
      </c>
      <c r="F26">
        <v>2</v>
      </c>
      <c r="G26">
        <f t="shared" si="6"/>
        <v>31</v>
      </c>
      <c r="H26" s="7">
        <f t="shared" si="7"/>
        <v>6.471816283924843E-2</v>
      </c>
      <c r="I26" s="7">
        <f t="shared" si="8"/>
        <v>6.7480345290095584E-2</v>
      </c>
      <c r="J26" s="6">
        <f t="shared" si="9"/>
        <v>-4.0933140442192872E-2</v>
      </c>
    </row>
    <row r="27" spans="1:10" x14ac:dyDescent="0.25">
      <c r="A27">
        <v>7</v>
      </c>
      <c r="B27" t="s">
        <v>6</v>
      </c>
      <c r="C27" s="3">
        <v>2333523</v>
      </c>
      <c r="D27" s="6">
        <f t="shared" si="5"/>
        <v>27.77338803908621</v>
      </c>
      <c r="E27">
        <v>28</v>
      </c>
      <c r="F27">
        <v>2</v>
      </c>
      <c r="G27">
        <f t="shared" si="6"/>
        <v>30</v>
      </c>
      <c r="H27" s="7">
        <f t="shared" si="7"/>
        <v>6.2630480167014613E-2</v>
      </c>
      <c r="I27" s="7">
        <f t="shared" si="8"/>
        <v>6.3846869055370598E-2</v>
      </c>
      <c r="J27" s="6">
        <f t="shared" si="9"/>
        <v>-1.9051660736896681E-2</v>
      </c>
    </row>
    <row r="28" spans="1:10" x14ac:dyDescent="0.25">
      <c r="A28">
        <v>8</v>
      </c>
      <c r="B28" t="s">
        <v>7</v>
      </c>
      <c r="C28" s="3">
        <v>2129015</v>
      </c>
      <c r="D28" s="6">
        <f t="shared" si="5"/>
        <v>25.339351588150247</v>
      </c>
      <c r="E28">
        <v>25</v>
      </c>
      <c r="F28">
        <v>2</v>
      </c>
      <c r="G28">
        <f t="shared" si="6"/>
        <v>27</v>
      </c>
      <c r="H28" s="7">
        <f t="shared" si="7"/>
        <v>5.6367432150313153E-2</v>
      </c>
      <c r="I28" s="7">
        <f t="shared" si="8"/>
        <v>5.8251382961264933E-2</v>
      </c>
      <c r="J28" s="6">
        <f t="shared" si="9"/>
        <v>-3.2341735340507549E-2</v>
      </c>
    </row>
    <row r="29" spans="1:10" x14ac:dyDescent="0.25">
      <c r="A29">
        <v>9</v>
      </c>
      <c r="B29" t="s">
        <v>8</v>
      </c>
      <c r="C29" s="3">
        <v>2117619</v>
      </c>
      <c r="D29" s="6">
        <f t="shared" si="5"/>
        <v>25.203717386090347</v>
      </c>
      <c r="E29">
        <v>25</v>
      </c>
      <c r="F29">
        <v>2</v>
      </c>
      <c r="G29">
        <f t="shared" si="6"/>
        <v>27</v>
      </c>
      <c r="H29" s="7">
        <f t="shared" si="7"/>
        <v>5.6367432150313153E-2</v>
      </c>
      <c r="I29" s="7">
        <f t="shared" si="8"/>
        <v>5.793958019790884E-2</v>
      </c>
      <c r="J29" s="6">
        <f t="shared" si="9"/>
        <v>-2.7134267149081404E-2</v>
      </c>
    </row>
    <row r="30" spans="1:10" x14ac:dyDescent="0.25">
      <c r="A30">
        <v>10</v>
      </c>
      <c r="B30" t="s">
        <v>10</v>
      </c>
      <c r="C30" s="3">
        <v>2077775</v>
      </c>
      <c r="D30" s="6">
        <f t="shared" si="5"/>
        <v>24.729497559232264</v>
      </c>
      <c r="E30">
        <v>25</v>
      </c>
      <c r="F30">
        <v>2</v>
      </c>
      <c r="G30">
        <f t="shared" si="6"/>
        <v>27</v>
      </c>
      <c r="H30" s="7">
        <f t="shared" si="7"/>
        <v>5.6367432150313153E-2</v>
      </c>
      <c r="I30" s="7">
        <f t="shared" si="8"/>
        <v>5.6849419676396014E-2</v>
      </c>
      <c r="J30" s="6">
        <f t="shared" si="9"/>
        <v>-8.4783191952789716E-3</v>
      </c>
    </row>
    <row r="31" spans="1:10" x14ac:dyDescent="0.25">
      <c r="A31">
        <v>11</v>
      </c>
      <c r="B31" t="s">
        <v>9</v>
      </c>
      <c r="C31" s="3">
        <v>1701030</v>
      </c>
      <c r="D31" s="6">
        <f t="shared" si="5"/>
        <v>20.245511296064716</v>
      </c>
      <c r="E31">
        <v>20</v>
      </c>
      <c r="F31">
        <v>2</v>
      </c>
      <c r="G31">
        <f t="shared" si="6"/>
        <v>22</v>
      </c>
      <c r="H31" s="7">
        <f t="shared" si="7"/>
        <v>4.5929018789144051E-2</v>
      </c>
      <c r="I31" s="7">
        <f t="shared" si="8"/>
        <v>4.6541405278309689E-2</v>
      </c>
      <c r="J31" s="6">
        <f t="shared" si="9"/>
        <v>-1.3157885661244428E-2</v>
      </c>
    </row>
    <row r="32" spans="1:10" x14ac:dyDescent="0.25">
      <c r="A32">
        <v>12</v>
      </c>
      <c r="B32" t="s">
        <v>11</v>
      </c>
      <c r="C32" s="3">
        <v>1428983</v>
      </c>
      <c r="D32" s="6">
        <f t="shared" si="5"/>
        <v>17.007631534061389</v>
      </c>
      <c r="E32">
        <v>17</v>
      </c>
      <c r="F32">
        <v>2</v>
      </c>
      <c r="G32">
        <f t="shared" si="6"/>
        <v>19</v>
      </c>
      <c r="H32" s="7">
        <f t="shared" si="7"/>
        <v>3.9665970772442591E-2</v>
      </c>
      <c r="I32" s="7">
        <f t="shared" si="8"/>
        <v>3.9098003526577906E-2</v>
      </c>
      <c r="J32" s="6">
        <f t="shared" si="9"/>
        <v>1.4526758264743478E-2</v>
      </c>
    </row>
    <row r="33" spans="1:10" x14ac:dyDescent="0.25">
      <c r="A33">
        <v>13</v>
      </c>
      <c r="B33" t="s">
        <v>12</v>
      </c>
      <c r="C33" s="3">
        <v>1241546</v>
      </c>
      <c r="D33" s="6">
        <f t="shared" si="5"/>
        <v>14.776772642213222</v>
      </c>
      <c r="E33">
        <v>15</v>
      </c>
      <c r="F33">
        <v>2</v>
      </c>
      <c r="G33">
        <f t="shared" si="6"/>
        <v>17</v>
      </c>
      <c r="H33" s="7">
        <f t="shared" si="7"/>
        <v>3.5490605427974949E-2</v>
      </c>
      <c r="I33" s="7">
        <f t="shared" si="8"/>
        <v>3.3969592280949937E-2</v>
      </c>
      <c r="J33" s="6">
        <f t="shared" si="9"/>
        <v>4.4775725726858173E-2</v>
      </c>
    </row>
    <row r="34" spans="1:10" x14ac:dyDescent="0.25">
      <c r="A34">
        <v>14</v>
      </c>
      <c r="B34" t="s">
        <v>13</v>
      </c>
      <c r="C34" s="3">
        <v>1181533</v>
      </c>
      <c r="D34" s="6">
        <f t="shared" si="5"/>
        <v>14.062503129382332</v>
      </c>
      <c r="E34">
        <v>14</v>
      </c>
      <c r="F34">
        <v>2</v>
      </c>
      <c r="G34">
        <f t="shared" si="6"/>
        <v>16</v>
      </c>
      <c r="H34" s="7">
        <f t="shared" si="7"/>
        <v>3.3402922755741124E-2</v>
      </c>
      <c r="I34" s="7">
        <f t="shared" si="8"/>
        <v>3.2327593400878922E-2</v>
      </c>
      <c r="J34" s="6">
        <f t="shared" si="9"/>
        <v>3.3263513974812753E-2</v>
      </c>
    </row>
    <row r="35" spans="1:10" x14ac:dyDescent="0.25">
      <c r="A35">
        <v>15</v>
      </c>
      <c r="B35" t="s">
        <v>14</v>
      </c>
      <c r="C35" s="3">
        <v>1014548</v>
      </c>
      <c r="D35" s="6">
        <f t="shared" si="5"/>
        <v>12.075062164923525</v>
      </c>
      <c r="E35">
        <v>12</v>
      </c>
      <c r="F35">
        <v>2</v>
      </c>
      <c r="G35">
        <f t="shared" si="6"/>
        <v>14</v>
      </c>
      <c r="H35" s="7">
        <f t="shared" si="7"/>
        <v>2.9227557411273485E-2</v>
      </c>
      <c r="I35" s="7">
        <f t="shared" si="8"/>
        <v>2.7758763597525344E-2</v>
      </c>
      <c r="J35" s="6">
        <f t="shared" si="9"/>
        <v>5.2912796659253303E-2</v>
      </c>
    </row>
    <row r="36" spans="1:10" x14ac:dyDescent="0.25">
      <c r="A36">
        <v>16</v>
      </c>
      <c r="B36" t="s">
        <v>15</v>
      </c>
      <c r="C36" s="3">
        <v>986506</v>
      </c>
      <c r="D36" s="6">
        <f t="shared" si="5"/>
        <v>11.741308716857208</v>
      </c>
      <c r="E36">
        <v>12</v>
      </c>
      <c r="F36">
        <v>2</v>
      </c>
      <c r="G36">
        <f t="shared" si="6"/>
        <v>14</v>
      </c>
      <c r="H36" s="7">
        <f t="shared" si="7"/>
        <v>2.9227557411273485E-2</v>
      </c>
      <c r="I36" s="7">
        <f t="shared" si="8"/>
        <v>2.6991514291625766E-2</v>
      </c>
      <c r="J36" s="6">
        <f t="shared" si="9"/>
        <v>8.2842448018615178E-2</v>
      </c>
    </row>
    <row r="37" spans="1:10" x14ac:dyDescent="0.25">
      <c r="A37">
        <v>17</v>
      </c>
      <c r="B37" t="s">
        <v>26</v>
      </c>
      <c r="C37" s="1">
        <v>1862402</v>
      </c>
      <c r="D37" s="6">
        <f>0/$C$18*435</f>
        <v>0</v>
      </c>
      <c r="E37">
        <f>MIN(E21:E36)</f>
        <v>12</v>
      </c>
      <c r="F37">
        <v>0</v>
      </c>
      <c r="G37">
        <f t="shared" ref="G37" si="10">E37+F37</f>
        <v>12</v>
      </c>
      <c r="H37" s="7">
        <f t="shared" si="7"/>
        <v>2.5052192066805846E-2</v>
      </c>
      <c r="I37" s="7">
        <f t="shared" si="8"/>
        <v>5.0956659361172066E-2</v>
      </c>
      <c r="J37" s="6">
        <f t="shared" ref="J37" si="11">(H37/I37)-1</f>
        <v>-0.50836274628522637</v>
      </c>
    </row>
    <row r="38" spans="1:10" x14ac:dyDescent="0.25">
      <c r="C38" s="5">
        <f>SUM(C21:C36)</f>
        <v>36548746</v>
      </c>
      <c r="D38" s="5">
        <f>SUM(D21:D36)</f>
        <v>434.99999999999994</v>
      </c>
      <c r="E38" s="5">
        <f>SUM(E21:E37)</f>
        <v>447</v>
      </c>
      <c r="F38" s="5">
        <f>SUM(F21:F37)</f>
        <v>32</v>
      </c>
      <c r="G38" s="5">
        <f>SUM(G21:G37)</f>
        <v>479</v>
      </c>
    </row>
    <row r="40" spans="1:10" x14ac:dyDescent="0.25">
      <c r="D40" s="7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ECDA5-F14E-4BCC-9329-96E87CC251F2}">
  <dimension ref="A1:G9"/>
  <sheetViews>
    <sheetView tabSelected="1" zoomScale="145" zoomScaleNormal="145" workbookViewId="0">
      <selection activeCell="G10" sqref="G10"/>
    </sheetView>
  </sheetViews>
  <sheetFormatPr defaultRowHeight="15" x14ac:dyDescent="0.25"/>
  <cols>
    <col min="1" max="1" width="15.5703125" style="4" bestFit="1" customWidth="1"/>
    <col min="2" max="2" width="15.7109375" style="4" bestFit="1" customWidth="1"/>
    <col min="3" max="3" width="9.140625" style="4"/>
    <col min="4" max="4" width="10" bestFit="1" customWidth="1"/>
    <col min="5" max="5" width="9.5703125" bestFit="1" customWidth="1"/>
  </cols>
  <sheetData>
    <row r="1" spans="1:7" x14ac:dyDescent="0.25">
      <c r="A1" s="4" t="s">
        <v>19</v>
      </c>
      <c r="B1" s="4" t="s">
        <v>33</v>
      </c>
      <c r="E1" s="4" t="s">
        <v>28</v>
      </c>
      <c r="F1" s="4" t="s">
        <v>35</v>
      </c>
      <c r="G1" s="4" t="s">
        <v>32</v>
      </c>
    </row>
    <row r="2" spans="1:7" x14ac:dyDescent="0.25">
      <c r="A2" s="4">
        <f>Ugulem!E5</f>
        <v>39</v>
      </c>
      <c r="B2" s="9">
        <f>Ugulem!C5/Ugulem!E5</f>
        <v>87194.282051282047</v>
      </c>
      <c r="E2" s="4" t="s">
        <v>29</v>
      </c>
      <c r="F2" s="9">
        <v>24000</v>
      </c>
      <c r="G2" s="10">
        <f>F2/(F2+F3)</f>
        <v>0.53333333333333333</v>
      </c>
    </row>
    <row r="3" spans="1:7" x14ac:dyDescent="0.25">
      <c r="E3" s="4" t="s">
        <v>30</v>
      </c>
      <c r="F3" s="9">
        <v>21000</v>
      </c>
      <c r="G3" s="10">
        <f>F3/(F2+F3)</f>
        <v>0.46666666666666667</v>
      </c>
    </row>
    <row r="4" spans="1:7" x14ac:dyDescent="0.25">
      <c r="A4" s="4" t="s">
        <v>34</v>
      </c>
      <c r="B4" s="4" t="s">
        <v>16</v>
      </c>
      <c r="C4" s="4" t="s">
        <v>37</v>
      </c>
      <c r="E4" s="4" t="s">
        <v>36</v>
      </c>
      <c r="F4" s="11">
        <f>SUM(F2:F3)</f>
        <v>45000</v>
      </c>
      <c r="G4" s="10">
        <f>SUM(G2:G3)</f>
        <v>1</v>
      </c>
    </row>
    <row r="5" spans="1:7" x14ac:dyDescent="0.25">
      <c r="A5" s="4">
        <v>1</v>
      </c>
      <c r="B5" s="9">
        <f>35420/2+18971/2+4303+6328+9082+10067+8303+10876+12797</f>
        <v>88951.5</v>
      </c>
      <c r="C5" s="4" t="s">
        <v>29</v>
      </c>
    </row>
    <row r="6" spans="1:7" x14ac:dyDescent="0.25">
      <c r="A6" s="4">
        <v>2</v>
      </c>
      <c r="B6" s="9">
        <f>35420/2+18971/2+12283+8112+36327</f>
        <v>83917.5</v>
      </c>
      <c r="C6" s="4" t="s">
        <v>29</v>
      </c>
    </row>
    <row r="7" spans="1:7" x14ac:dyDescent="0.25">
      <c r="A7" s="4">
        <v>3</v>
      </c>
      <c r="B7" s="9">
        <f>20306+33240+41840</f>
        <v>95386</v>
      </c>
      <c r="C7" s="4" t="s">
        <v>29</v>
      </c>
    </row>
    <row r="8" spans="1:7" x14ac:dyDescent="0.25">
      <c r="A8" s="4">
        <v>4</v>
      </c>
    </row>
    <row r="9" spans="1:7" x14ac:dyDescent="0.25">
      <c r="A9" s="4">
        <v>5</v>
      </c>
      <c r="B9" s="9">
        <f>43704+32194+9362</f>
        <v>85260</v>
      </c>
      <c r="C9" s="4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Ugulem</vt:lpstr>
      <vt:lpstr>Votes Malłopolska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Debski Franciszek</dc:creator>
  <cp:lastModifiedBy>Debski Franciszek</cp:lastModifiedBy>
  <dcterms:created xsi:type="dcterms:W3CDTF">2026-09-11T09:08:47Z</dcterms:created>
  <dcterms:modified xsi:type="dcterms:W3CDTF">2026-09-14T09:37:45Z</dcterms:modified>
</cp:coreProperties>
</file>